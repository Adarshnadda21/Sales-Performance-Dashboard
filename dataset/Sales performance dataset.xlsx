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nadda\Downloads\"/>
    </mc:Choice>
  </mc:AlternateContent>
  <xr:revisionPtr revIDLastSave="0" documentId="13_ncr:1_{3A428C80-F6EA-4CD9-9F05-05938DD8EDA4}" xr6:coauthVersionLast="47" xr6:coauthVersionMax="47" xr10:uidLastSave="{00000000-0000-0000-0000-000000000000}"/>
  <bookViews>
    <workbookView xWindow="-108" yWindow="-108" windowWidth="23256" windowHeight="12456" firstSheet="5" activeTab="8" xr2:uid="{00000000-000D-0000-FFFF-FFFF00000000}"/>
  </bookViews>
  <sheets>
    <sheet name="SalesData" sheetId="1" r:id="rId1"/>
    <sheet name="KPI" sheetId="20" r:id="rId2"/>
    <sheet name="Time series Analysis" sheetId="3" r:id="rId3"/>
    <sheet name="Regional Analysis" sheetId="4" r:id="rId4"/>
    <sheet name="Product  Analysis" sheetId="14" r:id="rId5"/>
    <sheet name="Salesman Performance" sheetId="10" r:id="rId6"/>
    <sheet name="Category Analysis" sheetId="5" r:id="rId7"/>
    <sheet name="Segment Analysis" sheetId="11" r:id="rId8"/>
    <sheet name="SALES PERFORMANCE DASHBOARD" sheetId="12" r:id="rId9"/>
  </sheets>
  <definedNames>
    <definedName name="Slicer_Category1">#N/A</definedName>
    <definedName name="Slicer_Region">#N/A</definedName>
    <definedName name="Slicer_Sales_Pers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5" i="20" l="1"/>
  <c r="F6" i="20"/>
  <c r="F7" i="20"/>
  <c r="F8" i="20"/>
  <c r="F9" i="20"/>
  <c r="F10" i="20"/>
  <c r="V1001" i="1"/>
  <c r="U1001" i="1"/>
  <c r="T1001" i="1"/>
  <c r="S1001" i="1"/>
  <c r="R1001" i="1"/>
  <c r="P1001" i="1"/>
  <c r="O1001" i="1"/>
  <c r="V1000" i="1"/>
  <c r="U1000" i="1"/>
  <c r="T1000" i="1"/>
  <c r="S1000" i="1"/>
  <c r="R1000" i="1"/>
  <c r="P1000" i="1"/>
  <c r="O1000" i="1"/>
  <c r="V999" i="1"/>
  <c r="U999" i="1"/>
  <c r="T999" i="1"/>
  <c r="S999" i="1"/>
  <c r="R999" i="1"/>
  <c r="P999" i="1"/>
  <c r="O999" i="1"/>
  <c r="V998" i="1"/>
  <c r="U998" i="1"/>
  <c r="T998" i="1"/>
  <c r="S998" i="1"/>
  <c r="R998" i="1"/>
  <c r="P998" i="1"/>
  <c r="O998" i="1"/>
  <c r="V997" i="1"/>
  <c r="U997" i="1"/>
  <c r="T997" i="1"/>
  <c r="S997" i="1"/>
  <c r="R997" i="1"/>
  <c r="P997" i="1"/>
  <c r="O997" i="1"/>
  <c r="V996" i="1"/>
  <c r="U996" i="1"/>
  <c r="T996" i="1"/>
  <c r="S996" i="1"/>
  <c r="R996" i="1"/>
  <c r="P996" i="1"/>
  <c r="O996" i="1"/>
  <c r="V995" i="1"/>
  <c r="U995" i="1"/>
  <c r="T995" i="1"/>
  <c r="S995" i="1"/>
  <c r="R995" i="1"/>
  <c r="P995" i="1"/>
  <c r="O995" i="1"/>
  <c r="V994" i="1"/>
  <c r="U994" i="1"/>
  <c r="T994" i="1"/>
  <c r="S994" i="1"/>
  <c r="R994" i="1"/>
  <c r="P994" i="1"/>
  <c r="O994" i="1"/>
  <c r="V993" i="1"/>
  <c r="U993" i="1"/>
  <c r="T993" i="1"/>
  <c r="S993" i="1"/>
  <c r="R993" i="1"/>
  <c r="P993" i="1"/>
  <c r="O993" i="1"/>
  <c r="V992" i="1"/>
  <c r="U992" i="1"/>
  <c r="T992" i="1"/>
  <c r="S992" i="1"/>
  <c r="R992" i="1"/>
  <c r="P992" i="1"/>
  <c r="O992" i="1"/>
  <c r="V991" i="1"/>
  <c r="U991" i="1"/>
  <c r="T991" i="1"/>
  <c r="S991" i="1"/>
  <c r="R991" i="1"/>
  <c r="P991" i="1"/>
  <c r="O991" i="1"/>
  <c r="V990" i="1"/>
  <c r="U990" i="1"/>
  <c r="T990" i="1"/>
  <c r="S990" i="1"/>
  <c r="R990" i="1"/>
  <c r="P990" i="1"/>
  <c r="O990" i="1"/>
  <c r="V989" i="1"/>
  <c r="U989" i="1"/>
  <c r="T989" i="1"/>
  <c r="S989" i="1"/>
  <c r="R989" i="1"/>
  <c r="P989" i="1"/>
  <c r="O989" i="1"/>
  <c r="V988" i="1"/>
  <c r="U988" i="1"/>
  <c r="T988" i="1"/>
  <c r="S988" i="1"/>
  <c r="R988" i="1"/>
  <c r="P988" i="1"/>
  <c r="O988" i="1"/>
  <c r="V987" i="1"/>
  <c r="U987" i="1"/>
  <c r="T987" i="1"/>
  <c r="S987" i="1"/>
  <c r="R987" i="1"/>
  <c r="P987" i="1"/>
  <c r="O987" i="1"/>
  <c r="V986" i="1"/>
  <c r="U986" i="1"/>
  <c r="T986" i="1"/>
  <c r="S986" i="1"/>
  <c r="R986" i="1"/>
  <c r="P986" i="1"/>
  <c r="O986" i="1"/>
  <c r="V985" i="1"/>
  <c r="U985" i="1"/>
  <c r="T985" i="1"/>
  <c r="S985" i="1"/>
  <c r="R985" i="1"/>
  <c r="P985" i="1"/>
  <c r="O985" i="1"/>
  <c r="V984" i="1"/>
  <c r="U984" i="1"/>
  <c r="T984" i="1"/>
  <c r="S984" i="1"/>
  <c r="R984" i="1"/>
  <c r="P984" i="1"/>
  <c r="O984" i="1"/>
  <c r="V983" i="1"/>
  <c r="U983" i="1"/>
  <c r="T983" i="1"/>
  <c r="S983" i="1"/>
  <c r="R983" i="1"/>
  <c r="P983" i="1"/>
  <c r="O983" i="1"/>
  <c r="V982" i="1"/>
  <c r="U982" i="1"/>
  <c r="T982" i="1"/>
  <c r="S982" i="1"/>
  <c r="R982" i="1"/>
  <c r="P982" i="1"/>
  <c r="O982" i="1"/>
  <c r="V981" i="1"/>
  <c r="U981" i="1"/>
  <c r="T981" i="1"/>
  <c r="S981" i="1"/>
  <c r="R981" i="1"/>
  <c r="P981" i="1"/>
  <c r="O981" i="1"/>
  <c r="V980" i="1"/>
  <c r="U980" i="1"/>
  <c r="T980" i="1"/>
  <c r="S980" i="1"/>
  <c r="R980" i="1"/>
  <c r="P980" i="1"/>
  <c r="O980" i="1"/>
  <c r="V979" i="1"/>
  <c r="U979" i="1"/>
  <c r="T979" i="1"/>
  <c r="S979" i="1"/>
  <c r="R979" i="1"/>
  <c r="P979" i="1"/>
  <c r="O979" i="1"/>
  <c r="V978" i="1"/>
  <c r="U978" i="1"/>
  <c r="T978" i="1"/>
  <c r="S978" i="1"/>
  <c r="R978" i="1"/>
  <c r="P978" i="1"/>
  <c r="O978" i="1"/>
  <c r="V977" i="1"/>
  <c r="U977" i="1"/>
  <c r="T977" i="1"/>
  <c r="S977" i="1"/>
  <c r="R977" i="1"/>
  <c r="P977" i="1"/>
  <c r="O977" i="1"/>
  <c r="V976" i="1"/>
  <c r="U976" i="1"/>
  <c r="T976" i="1"/>
  <c r="S976" i="1"/>
  <c r="R976" i="1"/>
  <c r="P976" i="1"/>
  <c r="O976" i="1"/>
  <c r="V975" i="1"/>
  <c r="U975" i="1"/>
  <c r="T975" i="1"/>
  <c r="S975" i="1"/>
  <c r="R975" i="1"/>
  <c r="P975" i="1"/>
  <c r="O975" i="1"/>
  <c r="V974" i="1"/>
  <c r="U974" i="1"/>
  <c r="T974" i="1"/>
  <c r="S974" i="1"/>
  <c r="R974" i="1"/>
  <c r="P974" i="1"/>
  <c r="O974" i="1"/>
  <c r="V973" i="1"/>
  <c r="U973" i="1"/>
  <c r="T973" i="1"/>
  <c r="S973" i="1"/>
  <c r="R973" i="1"/>
  <c r="P973" i="1"/>
  <c r="O973" i="1"/>
  <c r="V972" i="1"/>
  <c r="U972" i="1"/>
  <c r="T972" i="1"/>
  <c r="S972" i="1"/>
  <c r="R972" i="1"/>
  <c r="P972" i="1"/>
  <c r="O972" i="1"/>
  <c r="V971" i="1"/>
  <c r="U971" i="1"/>
  <c r="T971" i="1"/>
  <c r="S971" i="1"/>
  <c r="R971" i="1"/>
  <c r="P971" i="1"/>
  <c r="O971" i="1"/>
  <c r="V970" i="1"/>
  <c r="U970" i="1"/>
  <c r="T970" i="1"/>
  <c r="S970" i="1"/>
  <c r="R970" i="1"/>
  <c r="P970" i="1"/>
  <c r="O970" i="1"/>
  <c r="V969" i="1"/>
  <c r="U969" i="1"/>
  <c r="T969" i="1"/>
  <c r="S969" i="1"/>
  <c r="R969" i="1"/>
  <c r="P969" i="1"/>
  <c r="O969" i="1"/>
  <c r="V968" i="1"/>
  <c r="U968" i="1"/>
  <c r="T968" i="1"/>
  <c r="S968" i="1"/>
  <c r="R968" i="1"/>
  <c r="P968" i="1"/>
  <c r="O968" i="1"/>
  <c r="V967" i="1"/>
  <c r="U967" i="1"/>
  <c r="T967" i="1"/>
  <c r="S967" i="1"/>
  <c r="R967" i="1"/>
  <c r="P967" i="1"/>
  <c r="O967" i="1"/>
  <c r="V966" i="1"/>
  <c r="U966" i="1"/>
  <c r="T966" i="1"/>
  <c r="S966" i="1"/>
  <c r="R966" i="1"/>
  <c r="P966" i="1"/>
  <c r="O966" i="1"/>
  <c r="V965" i="1"/>
  <c r="U965" i="1"/>
  <c r="T965" i="1"/>
  <c r="S965" i="1"/>
  <c r="R965" i="1"/>
  <c r="P965" i="1"/>
  <c r="O965" i="1"/>
  <c r="V964" i="1"/>
  <c r="U964" i="1"/>
  <c r="T964" i="1"/>
  <c r="S964" i="1"/>
  <c r="R964" i="1"/>
  <c r="P964" i="1"/>
  <c r="O964" i="1"/>
  <c r="V963" i="1"/>
  <c r="U963" i="1"/>
  <c r="T963" i="1"/>
  <c r="S963" i="1"/>
  <c r="R963" i="1"/>
  <c r="P963" i="1"/>
  <c r="O963" i="1"/>
  <c r="V962" i="1"/>
  <c r="U962" i="1"/>
  <c r="T962" i="1"/>
  <c r="S962" i="1"/>
  <c r="R962" i="1"/>
  <c r="P962" i="1"/>
  <c r="O962" i="1"/>
  <c r="V961" i="1"/>
  <c r="U961" i="1"/>
  <c r="T961" i="1"/>
  <c r="S961" i="1"/>
  <c r="R961" i="1"/>
  <c r="P961" i="1"/>
  <c r="O961" i="1"/>
  <c r="V960" i="1"/>
  <c r="U960" i="1"/>
  <c r="T960" i="1"/>
  <c r="S960" i="1"/>
  <c r="R960" i="1"/>
  <c r="P960" i="1"/>
  <c r="O960" i="1"/>
  <c r="V959" i="1"/>
  <c r="U959" i="1"/>
  <c r="T959" i="1"/>
  <c r="S959" i="1"/>
  <c r="R959" i="1"/>
  <c r="P959" i="1"/>
  <c r="O959" i="1"/>
  <c r="V958" i="1"/>
  <c r="U958" i="1"/>
  <c r="T958" i="1"/>
  <c r="S958" i="1"/>
  <c r="R958" i="1"/>
  <c r="P958" i="1"/>
  <c r="O958" i="1"/>
  <c r="V957" i="1"/>
  <c r="U957" i="1"/>
  <c r="T957" i="1"/>
  <c r="S957" i="1"/>
  <c r="R957" i="1"/>
  <c r="P957" i="1"/>
  <c r="O957" i="1"/>
  <c r="V956" i="1"/>
  <c r="U956" i="1"/>
  <c r="T956" i="1"/>
  <c r="S956" i="1"/>
  <c r="R956" i="1"/>
  <c r="P956" i="1"/>
  <c r="O956" i="1"/>
  <c r="V955" i="1"/>
  <c r="U955" i="1"/>
  <c r="T955" i="1"/>
  <c r="S955" i="1"/>
  <c r="R955" i="1"/>
  <c r="P955" i="1"/>
  <c r="O955" i="1"/>
  <c r="V954" i="1"/>
  <c r="U954" i="1"/>
  <c r="T954" i="1"/>
  <c r="S954" i="1"/>
  <c r="R954" i="1"/>
  <c r="P954" i="1"/>
  <c r="O954" i="1"/>
  <c r="V953" i="1"/>
  <c r="U953" i="1"/>
  <c r="T953" i="1"/>
  <c r="S953" i="1"/>
  <c r="R953" i="1"/>
  <c r="P953" i="1"/>
  <c r="O953" i="1"/>
  <c r="V952" i="1"/>
  <c r="U952" i="1"/>
  <c r="T952" i="1"/>
  <c r="S952" i="1"/>
  <c r="R952" i="1"/>
  <c r="P952" i="1"/>
  <c r="O952" i="1"/>
  <c r="V951" i="1"/>
  <c r="U951" i="1"/>
  <c r="T951" i="1"/>
  <c r="S951" i="1"/>
  <c r="R951" i="1"/>
  <c r="P951" i="1"/>
  <c r="O951" i="1"/>
  <c r="V950" i="1"/>
  <c r="U950" i="1"/>
  <c r="T950" i="1"/>
  <c r="S950" i="1"/>
  <c r="R950" i="1"/>
  <c r="P950" i="1"/>
  <c r="O950" i="1"/>
  <c r="V949" i="1"/>
  <c r="U949" i="1"/>
  <c r="T949" i="1"/>
  <c r="S949" i="1"/>
  <c r="R949" i="1"/>
  <c r="P949" i="1"/>
  <c r="O949" i="1"/>
  <c r="V948" i="1"/>
  <c r="U948" i="1"/>
  <c r="T948" i="1"/>
  <c r="S948" i="1"/>
  <c r="R948" i="1"/>
  <c r="P948" i="1"/>
  <c r="O948" i="1"/>
  <c r="V947" i="1"/>
  <c r="U947" i="1"/>
  <c r="T947" i="1"/>
  <c r="S947" i="1"/>
  <c r="R947" i="1"/>
  <c r="P947" i="1"/>
  <c r="O947" i="1"/>
  <c r="V946" i="1"/>
  <c r="U946" i="1"/>
  <c r="T946" i="1"/>
  <c r="S946" i="1"/>
  <c r="R946" i="1"/>
  <c r="P946" i="1"/>
  <c r="O946" i="1"/>
  <c r="V945" i="1"/>
  <c r="U945" i="1"/>
  <c r="T945" i="1"/>
  <c r="S945" i="1"/>
  <c r="R945" i="1"/>
  <c r="P945" i="1"/>
  <c r="O945" i="1"/>
  <c r="V944" i="1"/>
  <c r="U944" i="1"/>
  <c r="T944" i="1"/>
  <c r="S944" i="1"/>
  <c r="R944" i="1"/>
  <c r="P944" i="1"/>
  <c r="O944" i="1"/>
  <c r="V943" i="1"/>
  <c r="U943" i="1"/>
  <c r="T943" i="1"/>
  <c r="S943" i="1"/>
  <c r="R943" i="1"/>
  <c r="P943" i="1"/>
  <c r="O943" i="1"/>
  <c r="V942" i="1"/>
  <c r="U942" i="1"/>
  <c r="T942" i="1"/>
  <c r="S942" i="1"/>
  <c r="R942" i="1"/>
  <c r="P942" i="1"/>
  <c r="O942" i="1"/>
  <c r="V941" i="1"/>
  <c r="U941" i="1"/>
  <c r="T941" i="1"/>
  <c r="S941" i="1"/>
  <c r="R941" i="1"/>
  <c r="P941" i="1"/>
  <c r="O941" i="1"/>
  <c r="V940" i="1"/>
  <c r="U940" i="1"/>
  <c r="T940" i="1"/>
  <c r="S940" i="1"/>
  <c r="R940" i="1"/>
  <c r="P940" i="1"/>
  <c r="O940" i="1"/>
  <c r="V939" i="1"/>
  <c r="U939" i="1"/>
  <c r="T939" i="1"/>
  <c r="S939" i="1"/>
  <c r="R939" i="1"/>
  <c r="P939" i="1"/>
  <c r="O939" i="1"/>
  <c r="V938" i="1"/>
  <c r="U938" i="1"/>
  <c r="T938" i="1"/>
  <c r="S938" i="1"/>
  <c r="R938" i="1"/>
  <c r="P938" i="1"/>
  <c r="O938" i="1"/>
  <c r="V937" i="1"/>
  <c r="U937" i="1"/>
  <c r="T937" i="1"/>
  <c r="S937" i="1"/>
  <c r="R937" i="1"/>
  <c r="P937" i="1"/>
  <c r="O937" i="1"/>
  <c r="V936" i="1"/>
  <c r="U936" i="1"/>
  <c r="T936" i="1"/>
  <c r="S936" i="1"/>
  <c r="R936" i="1"/>
  <c r="P936" i="1"/>
  <c r="O936" i="1"/>
  <c r="V935" i="1"/>
  <c r="U935" i="1"/>
  <c r="T935" i="1"/>
  <c r="S935" i="1"/>
  <c r="R935" i="1"/>
  <c r="P935" i="1"/>
  <c r="O935" i="1"/>
  <c r="V934" i="1"/>
  <c r="U934" i="1"/>
  <c r="T934" i="1"/>
  <c r="S934" i="1"/>
  <c r="R934" i="1"/>
  <c r="P934" i="1"/>
  <c r="O934" i="1"/>
  <c r="V933" i="1"/>
  <c r="U933" i="1"/>
  <c r="T933" i="1"/>
  <c r="S933" i="1"/>
  <c r="R933" i="1"/>
  <c r="P933" i="1"/>
  <c r="O933" i="1"/>
  <c r="V932" i="1"/>
  <c r="U932" i="1"/>
  <c r="T932" i="1"/>
  <c r="S932" i="1"/>
  <c r="R932" i="1"/>
  <c r="P932" i="1"/>
  <c r="O932" i="1"/>
  <c r="V931" i="1"/>
  <c r="U931" i="1"/>
  <c r="T931" i="1"/>
  <c r="S931" i="1"/>
  <c r="R931" i="1"/>
  <c r="P931" i="1"/>
  <c r="O931" i="1"/>
  <c r="V930" i="1"/>
  <c r="U930" i="1"/>
  <c r="T930" i="1"/>
  <c r="S930" i="1"/>
  <c r="R930" i="1"/>
  <c r="P930" i="1"/>
  <c r="O930" i="1"/>
  <c r="V929" i="1"/>
  <c r="U929" i="1"/>
  <c r="T929" i="1"/>
  <c r="S929" i="1"/>
  <c r="R929" i="1"/>
  <c r="P929" i="1"/>
  <c r="O929" i="1"/>
  <c r="V928" i="1"/>
  <c r="U928" i="1"/>
  <c r="T928" i="1"/>
  <c r="S928" i="1"/>
  <c r="R928" i="1"/>
  <c r="P928" i="1"/>
  <c r="O928" i="1"/>
  <c r="V927" i="1"/>
  <c r="U927" i="1"/>
  <c r="T927" i="1"/>
  <c r="S927" i="1"/>
  <c r="R927" i="1"/>
  <c r="P927" i="1"/>
  <c r="O927" i="1"/>
  <c r="V926" i="1"/>
  <c r="U926" i="1"/>
  <c r="T926" i="1"/>
  <c r="S926" i="1"/>
  <c r="R926" i="1"/>
  <c r="P926" i="1"/>
  <c r="O926" i="1"/>
  <c r="V925" i="1"/>
  <c r="U925" i="1"/>
  <c r="T925" i="1"/>
  <c r="S925" i="1"/>
  <c r="R925" i="1"/>
  <c r="P925" i="1"/>
  <c r="O925" i="1"/>
  <c r="V924" i="1"/>
  <c r="U924" i="1"/>
  <c r="T924" i="1"/>
  <c r="S924" i="1"/>
  <c r="R924" i="1"/>
  <c r="P924" i="1"/>
  <c r="O924" i="1"/>
  <c r="V923" i="1"/>
  <c r="U923" i="1"/>
  <c r="T923" i="1"/>
  <c r="S923" i="1"/>
  <c r="R923" i="1"/>
  <c r="P923" i="1"/>
  <c r="O923" i="1"/>
  <c r="V922" i="1"/>
  <c r="U922" i="1"/>
  <c r="T922" i="1"/>
  <c r="S922" i="1"/>
  <c r="R922" i="1"/>
  <c r="P922" i="1"/>
  <c r="O922" i="1"/>
  <c r="V921" i="1"/>
  <c r="U921" i="1"/>
  <c r="T921" i="1"/>
  <c r="S921" i="1"/>
  <c r="R921" i="1"/>
  <c r="P921" i="1"/>
  <c r="O921" i="1"/>
  <c r="V920" i="1"/>
  <c r="U920" i="1"/>
  <c r="T920" i="1"/>
  <c r="S920" i="1"/>
  <c r="R920" i="1"/>
  <c r="P920" i="1"/>
  <c r="O920" i="1"/>
  <c r="V919" i="1"/>
  <c r="U919" i="1"/>
  <c r="T919" i="1"/>
  <c r="S919" i="1"/>
  <c r="R919" i="1"/>
  <c r="P919" i="1"/>
  <c r="O919" i="1"/>
  <c r="V918" i="1"/>
  <c r="U918" i="1"/>
  <c r="T918" i="1"/>
  <c r="S918" i="1"/>
  <c r="R918" i="1"/>
  <c r="P918" i="1"/>
  <c r="O918" i="1"/>
  <c r="V917" i="1"/>
  <c r="U917" i="1"/>
  <c r="T917" i="1"/>
  <c r="S917" i="1"/>
  <c r="R917" i="1"/>
  <c r="P917" i="1"/>
  <c r="O917" i="1"/>
  <c r="V916" i="1"/>
  <c r="U916" i="1"/>
  <c r="T916" i="1"/>
  <c r="S916" i="1"/>
  <c r="R916" i="1"/>
  <c r="P916" i="1"/>
  <c r="O916" i="1"/>
  <c r="V915" i="1"/>
  <c r="U915" i="1"/>
  <c r="T915" i="1"/>
  <c r="S915" i="1"/>
  <c r="R915" i="1"/>
  <c r="P915" i="1"/>
  <c r="O915" i="1"/>
  <c r="V914" i="1"/>
  <c r="U914" i="1"/>
  <c r="T914" i="1"/>
  <c r="S914" i="1"/>
  <c r="R914" i="1"/>
  <c r="P914" i="1"/>
  <c r="O914" i="1"/>
  <c r="V913" i="1"/>
  <c r="U913" i="1"/>
  <c r="T913" i="1"/>
  <c r="S913" i="1"/>
  <c r="R913" i="1"/>
  <c r="P913" i="1"/>
  <c r="O913" i="1"/>
  <c r="V912" i="1"/>
  <c r="U912" i="1"/>
  <c r="T912" i="1"/>
  <c r="S912" i="1"/>
  <c r="R912" i="1"/>
  <c r="P912" i="1"/>
  <c r="O912" i="1"/>
  <c r="V911" i="1"/>
  <c r="U911" i="1"/>
  <c r="T911" i="1"/>
  <c r="S911" i="1"/>
  <c r="R911" i="1"/>
  <c r="P911" i="1"/>
  <c r="O911" i="1"/>
  <c r="V910" i="1"/>
  <c r="U910" i="1"/>
  <c r="T910" i="1"/>
  <c r="S910" i="1"/>
  <c r="R910" i="1"/>
  <c r="P910" i="1"/>
  <c r="O910" i="1"/>
  <c r="V909" i="1"/>
  <c r="U909" i="1"/>
  <c r="T909" i="1"/>
  <c r="S909" i="1"/>
  <c r="R909" i="1"/>
  <c r="P909" i="1"/>
  <c r="O909" i="1"/>
  <c r="V908" i="1"/>
  <c r="U908" i="1"/>
  <c r="T908" i="1"/>
  <c r="S908" i="1"/>
  <c r="R908" i="1"/>
  <c r="P908" i="1"/>
  <c r="O908" i="1"/>
  <c r="V907" i="1"/>
  <c r="U907" i="1"/>
  <c r="T907" i="1"/>
  <c r="S907" i="1"/>
  <c r="R907" i="1"/>
  <c r="P907" i="1"/>
  <c r="O907" i="1"/>
  <c r="V906" i="1"/>
  <c r="U906" i="1"/>
  <c r="T906" i="1"/>
  <c r="S906" i="1"/>
  <c r="R906" i="1"/>
  <c r="P906" i="1"/>
  <c r="O906" i="1"/>
  <c r="V905" i="1"/>
  <c r="U905" i="1"/>
  <c r="T905" i="1"/>
  <c r="S905" i="1"/>
  <c r="R905" i="1"/>
  <c r="P905" i="1"/>
  <c r="O905" i="1"/>
  <c r="V904" i="1"/>
  <c r="U904" i="1"/>
  <c r="T904" i="1"/>
  <c r="S904" i="1"/>
  <c r="R904" i="1"/>
  <c r="P904" i="1"/>
  <c r="O904" i="1"/>
  <c r="V903" i="1"/>
  <c r="U903" i="1"/>
  <c r="T903" i="1"/>
  <c r="S903" i="1"/>
  <c r="R903" i="1"/>
  <c r="P903" i="1"/>
  <c r="O903" i="1"/>
  <c r="V902" i="1"/>
  <c r="U902" i="1"/>
  <c r="T902" i="1"/>
  <c r="S902" i="1"/>
  <c r="R902" i="1"/>
  <c r="P902" i="1"/>
  <c r="O902" i="1"/>
  <c r="V901" i="1"/>
  <c r="U901" i="1"/>
  <c r="T901" i="1"/>
  <c r="S901" i="1"/>
  <c r="R901" i="1"/>
  <c r="P901" i="1"/>
  <c r="O901" i="1"/>
  <c r="V900" i="1"/>
  <c r="U900" i="1"/>
  <c r="T900" i="1"/>
  <c r="S900" i="1"/>
  <c r="R900" i="1"/>
  <c r="P900" i="1"/>
  <c r="O900" i="1"/>
  <c r="V899" i="1"/>
  <c r="U899" i="1"/>
  <c r="T899" i="1"/>
  <c r="S899" i="1"/>
  <c r="R899" i="1"/>
  <c r="P899" i="1"/>
  <c r="O899" i="1"/>
  <c r="V898" i="1"/>
  <c r="U898" i="1"/>
  <c r="T898" i="1"/>
  <c r="S898" i="1"/>
  <c r="R898" i="1"/>
  <c r="P898" i="1"/>
  <c r="O898" i="1"/>
  <c r="V897" i="1"/>
  <c r="U897" i="1"/>
  <c r="T897" i="1"/>
  <c r="S897" i="1"/>
  <c r="R897" i="1"/>
  <c r="P897" i="1"/>
  <c r="O897" i="1"/>
  <c r="V896" i="1"/>
  <c r="U896" i="1"/>
  <c r="T896" i="1"/>
  <c r="S896" i="1"/>
  <c r="R896" i="1"/>
  <c r="P896" i="1"/>
  <c r="O896" i="1"/>
  <c r="V895" i="1"/>
  <c r="U895" i="1"/>
  <c r="T895" i="1"/>
  <c r="S895" i="1"/>
  <c r="R895" i="1"/>
  <c r="P895" i="1"/>
  <c r="O895" i="1"/>
  <c r="V894" i="1"/>
  <c r="U894" i="1"/>
  <c r="T894" i="1"/>
  <c r="S894" i="1"/>
  <c r="R894" i="1"/>
  <c r="P894" i="1"/>
  <c r="O894" i="1"/>
  <c r="V893" i="1"/>
  <c r="U893" i="1"/>
  <c r="T893" i="1"/>
  <c r="S893" i="1"/>
  <c r="R893" i="1"/>
  <c r="P893" i="1"/>
  <c r="O893" i="1"/>
  <c r="V892" i="1"/>
  <c r="U892" i="1"/>
  <c r="T892" i="1"/>
  <c r="S892" i="1"/>
  <c r="R892" i="1"/>
  <c r="P892" i="1"/>
  <c r="O892" i="1"/>
  <c r="V891" i="1"/>
  <c r="U891" i="1"/>
  <c r="T891" i="1"/>
  <c r="S891" i="1"/>
  <c r="R891" i="1"/>
  <c r="P891" i="1"/>
  <c r="O891" i="1"/>
  <c r="V890" i="1"/>
  <c r="U890" i="1"/>
  <c r="T890" i="1"/>
  <c r="S890" i="1"/>
  <c r="R890" i="1"/>
  <c r="P890" i="1"/>
  <c r="O890" i="1"/>
  <c r="V889" i="1"/>
  <c r="U889" i="1"/>
  <c r="T889" i="1"/>
  <c r="S889" i="1"/>
  <c r="R889" i="1"/>
  <c r="P889" i="1"/>
  <c r="O889" i="1"/>
  <c r="V888" i="1"/>
  <c r="U888" i="1"/>
  <c r="T888" i="1"/>
  <c r="S888" i="1"/>
  <c r="R888" i="1"/>
  <c r="P888" i="1"/>
  <c r="O888" i="1"/>
  <c r="V887" i="1"/>
  <c r="U887" i="1"/>
  <c r="T887" i="1"/>
  <c r="S887" i="1"/>
  <c r="R887" i="1"/>
  <c r="P887" i="1"/>
  <c r="O887" i="1"/>
  <c r="V886" i="1"/>
  <c r="U886" i="1"/>
  <c r="T886" i="1"/>
  <c r="S886" i="1"/>
  <c r="R886" i="1"/>
  <c r="P886" i="1"/>
  <c r="O886" i="1"/>
  <c r="V885" i="1"/>
  <c r="U885" i="1"/>
  <c r="T885" i="1"/>
  <c r="S885" i="1"/>
  <c r="R885" i="1"/>
  <c r="P885" i="1"/>
  <c r="O885" i="1"/>
  <c r="V884" i="1"/>
  <c r="U884" i="1"/>
  <c r="T884" i="1"/>
  <c r="S884" i="1"/>
  <c r="R884" i="1"/>
  <c r="P884" i="1"/>
  <c r="O884" i="1"/>
  <c r="V883" i="1"/>
  <c r="U883" i="1"/>
  <c r="T883" i="1"/>
  <c r="S883" i="1"/>
  <c r="R883" i="1"/>
  <c r="P883" i="1"/>
  <c r="O883" i="1"/>
  <c r="V882" i="1"/>
  <c r="U882" i="1"/>
  <c r="T882" i="1"/>
  <c r="S882" i="1"/>
  <c r="R882" i="1"/>
  <c r="P882" i="1"/>
  <c r="O882" i="1"/>
  <c r="V881" i="1"/>
  <c r="U881" i="1"/>
  <c r="T881" i="1"/>
  <c r="S881" i="1"/>
  <c r="R881" i="1"/>
  <c r="P881" i="1"/>
  <c r="O881" i="1"/>
  <c r="V880" i="1"/>
  <c r="U880" i="1"/>
  <c r="T880" i="1"/>
  <c r="S880" i="1"/>
  <c r="R880" i="1"/>
  <c r="P880" i="1"/>
  <c r="O880" i="1"/>
  <c r="V879" i="1"/>
  <c r="U879" i="1"/>
  <c r="T879" i="1"/>
  <c r="S879" i="1"/>
  <c r="R879" i="1"/>
  <c r="P879" i="1"/>
  <c r="O879" i="1"/>
  <c r="V878" i="1"/>
  <c r="U878" i="1"/>
  <c r="T878" i="1"/>
  <c r="S878" i="1"/>
  <c r="R878" i="1"/>
  <c r="P878" i="1"/>
  <c r="O878" i="1"/>
  <c r="V877" i="1"/>
  <c r="U877" i="1"/>
  <c r="T877" i="1"/>
  <c r="S877" i="1"/>
  <c r="R877" i="1"/>
  <c r="P877" i="1"/>
  <c r="O877" i="1"/>
  <c r="V876" i="1"/>
  <c r="U876" i="1"/>
  <c r="T876" i="1"/>
  <c r="S876" i="1"/>
  <c r="R876" i="1"/>
  <c r="P876" i="1"/>
  <c r="O876" i="1"/>
  <c r="V875" i="1"/>
  <c r="U875" i="1"/>
  <c r="T875" i="1"/>
  <c r="S875" i="1"/>
  <c r="R875" i="1"/>
  <c r="P875" i="1"/>
  <c r="O875" i="1"/>
  <c r="V874" i="1"/>
  <c r="U874" i="1"/>
  <c r="T874" i="1"/>
  <c r="S874" i="1"/>
  <c r="R874" i="1"/>
  <c r="P874" i="1"/>
  <c r="O874" i="1"/>
  <c r="V873" i="1"/>
  <c r="U873" i="1"/>
  <c r="T873" i="1"/>
  <c r="S873" i="1"/>
  <c r="R873" i="1"/>
  <c r="P873" i="1"/>
  <c r="O873" i="1"/>
  <c r="V872" i="1"/>
  <c r="U872" i="1"/>
  <c r="T872" i="1"/>
  <c r="S872" i="1"/>
  <c r="R872" i="1"/>
  <c r="P872" i="1"/>
  <c r="O872" i="1"/>
  <c r="V871" i="1"/>
  <c r="U871" i="1"/>
  <c r="T871" i="1"/>
  <c r="S871" i="1"/>
  <c r="R871" i="1"/>
  <c r="P871" i="1"/>
  <c r="O871" i="1"/>
  <c r="V870" i="1"/>
  <c r="U870" i="1"/>
  <c r="T870" i="1"/>
  <c r="S870" i="1"/>
  <c r="R870" i="1"/>
  <c r="P870" i="1"/>
  <c r="O870" i="1"/>
  <c r="V869" i="1"/>
  <c r="U869" i="1"/>
  <c r="T869" i="1"/>
  <c r="S869" i="1"/>
  <c r="R869" i="1"/>
  <c r="P869" i="1"/>
  <c r="O869" i="1"/>
  <c r="V868" i="1"/>
  <c r="U868" i="1"/>
  <c r="T868" i="1"/>
  <c r="S868" i="1"/>
  <c r="R868" i="1"/>
  <c r="P868" i="1"/>
  <c r="O868" i="1"/>
  <c r="V867" i="1"/>
  <c r="U867" i="1"/>
  <c r="T867" i="1"/>
  <c r="S867" i="1"/>
  <c r="R867" i="1"/>
  <c r="P867" i="1"/>
  <c r="O867" i="1"/>
  <c r="V866" i="1"/>
  <c r="U866" i="1"/>
  <c r="T866" i="1"/>
  <c r="S866" i="1"/>
  <c r="R866" i="1"/>
  <c r="P866" i="1"/>
  <c r="O866" i="1"/>
  <c r="V865" i="1"/>
  <c r="U865" i="1"/>
  <c r="T865" i="1"/>
  <c r="S865" i="1"/>
  <c r="R865" i="1"/>
  <c r="P865" i="1"/>
  <c r="O865" i="1"/>
  <c r="V864" i="1"/>
  <c r="U864" i="1"/>
  <c r="T864" i="1"/>
  <c r="S864" i="1"/>
  <c r="R864" i="1"/>
  <c r="P864" i="1"/>
  <c r="O864" i="1"/>
  <c r="V863" i="1"/>
  <c r="U863" i="1"/>
  <c r="T863" i="1"/>
  <c r="S863" i="1"/>
  <c r="R863" i="1"/>
  <c r="P863" i="1"/>
  <c r="O863" i="1"/>
  <c r="V862" i="1"/>
  <c r="U862" i="1"/>
  <c r="T862" i="1"/>
  <c r="S862" i="1"/>
  <c r="R862" i="1"/>
  <c r="P862" i="1"/>
  <c r="O862" i="1"/>
  <c r="V861" i="1"/>
  <c r="U861" i="1"/>
  <c r="T861" i="1"/>
  <c r="S861" i="1"/>
  <c r="R861" i="1"/>
  <c r="P861" i="1"/>
  <c r="O861" i="1"/>
  <c r="V860" i="1"/>
  <c r="U860" i="1"/>
  <c r="T860" i="1"/>
  <c r="S860" i="1"/>
  <c r="R860" i="1"/>
  <c r="P860" i="1"/>
  <c r="O860" i="1"/>
  <c r="V859" i="1"/>
  <c r="U859" i="1"/>
  <c r="T859" i="1"/>
  <c r="S859" i="1"/>
  <c r="R859" i="1"/>
  <c r="P859" i="1"/>
  <c r="O859" i="1"/>
  <c r="V858" i="1"/>
  <c r="U858" i="1"/>
  <c r="T858" i="1"/>
  <c r="S858" i="1"/>
  <c r="R858" i="1"/>
  <c r="P858" i="1"/>
  <c r="O858" i="1"/>
  <c r="V857" i="1"/>
  <c r="U857" i="1"/>
  <c r="T857" i="1"/>
  <c r="S857" i="1"/>
  <c r="R857" i="1"/>
  <c r="P857" i="1"/>
  <c r="O857" i="1"/>
  <c r="V856" i="1"/>
  <c r="U856" i="1"/>
  <c r="T856" i="1"/>
  <c r="S856" i="1"/>
  <c r="R856" i="1"/>
  <c r="P856" i="1"/>
  <c r="O856" i="1"/>
  <c r="V855" i="1"/>
  <c r="U855" i="1"/>
  <c r="T855" i="1"/>
  <c r="S855" i="1"/>
  <c r="R855" i="1"/>
  <c r="P855" i="1"/>
  <c r="O855" i="1"/>
  <c r="V854" i="1"/>
  <c r="U854" i="1"/>
  <c r="T854" i="1"/>
  <c r="S854" i="1"/>
  <c r="R854" i="1"/>
  <c r="P854" i="1"/>
  <c r="O854" i="1"/>
  <c r="V853" i="1"/>
  <c r="U853" i="1"/>
  <c r="T853" i="1"/>
  <c r="S853" i="1"/>
  <c r="R853" i="1"/>
  <c r="P853" i="1"/>
  <c r="O853" i="1"/>
  <c r="V852" i="1"/>
  <c r="U852" i="1"/>
  <c r="T852" i="1"/>
  <c r="S852" i="1"/>
  <c r="R852" i="1"/>
  <c r="P852" i="1"/>
  <c r="O852" i="1"/>
  <c r="V851" i="1"/>
  <c r="U851" i="1"/>
  <c r="T851" i="1"/>
  <c r="S851" i="1"/>
  <c r="R851" i="1"/>
  <c r="P851" i="1"/>
  <c r="O851" i="1"/>
  <c r="V850" i="1"/>
  <c r="U850" i="1"/>
  <c r="T850" i="1"/>
  <c r="S850" i="1"/>
  <c r="R850" i="1"/>
  <c r="P850" i="1"/>
  <c r="O850" i="1"/>
  <c r="V849" i="1"/>
  <c r="U849" i="1"/>
  <c r="T849" i="1"/>
  <c r="S849" i="1"/>
  <c r="R849" i="1"/>
  <c r="P849" i="1"/>
  <c r="O849" i="1"/>
  <c r="V848" i="1"/>
  <c r="U848" i="1"/>
  <c r="T848" i="1"/>
  <c r="S848" i="1"/>
  <c r="R848" i="1"/>
  <c r="P848" i="1"/>
  <c r="O848" i="1"/>
  <c r="V847" i="1"/>
  <c r="U847" i="1"/>
  <c r="T847" i="1"/>
  <c r="S847" i="1"/>
  <c r="R847" i="1"/>
  <c r="P847" i="1"/>
  <c r="O847" i="1"/>
  <c r="V846" i="1"/>
  <c r="U846" i="1"/>
  <c r="T846" i="1"/>
  <c r="S846" i="1"/>
  <c r="R846" i="1"/>
  <c r="P846" i="1"/>
  <c r="O846" i="1"/>
  <c r="V845" i="1"/>
  <c r="U845" i="1"/>
  <c r="T845" i="1"/>
  <c r="S845" i="1"/>
  <c r="R845" i="1"/>
  <c r="P845" i="1"/>
  <c r="O845" i="1"/>
  <c r="V844" i="1"/>
  <c r="U844" i="1"/>
  <c r="T844" i="1"/>
  <c r="S844" i="1"/>
  <c r="R844" i="1"/>
  <c r="P844" i="1"/>
  <c r="O844" i="1"/>
  <c r="V843" i="1"/>
  <c r="U843" i="1"/>
  <c r="T843" i="1"/>
  <c r="S843" i="1"/>
  <c r="R843" i="1"/>
  <c r="P843" i="1"/>
  <c r="O843" i="1"/>
  <c r="V842" i="1"/>
  <c r="U842" i="1"/>
  <c r="T842" i="1"/>
  <c r="S842" i="1"/>
  <c r="R842" i="1"/>
  <c r="P842" i="1"/>
  <c r="O842" i="1"/>
  <c r="V841" i="1"/>
  <c r="U841" i="1"/>
  <c r="T841" i="1"/>
  <c r="S841" i="1"/>
  <c r="R841" i="1"/>
  <c r="P841" i="1"/>
  <c r="O841" i="1"/>
  <c r="V840" i="1"/>
  <c r="U840" i="1"/>
  <c r="T840" i="1"/>
  <c r="S840" i="1"/>
  <c r="R840" i="1"/>
  <c r="P840" i="1"/>
  <c r="O840" i="1"/>
  <c r="V839" i="1"/>
  <c r="U839" i="1"/>
  <c r="T839" i="1"/>
  <c r="S839" i="1"/>
  <c r="R839" i="1"/>
  <c r="P839" i="1"/>
  <c r="O839" i="1"/>
  <c r="V838" i="1"/>
  <c r="U838" i="1"/>
  <c r="T838" i="1"/>
  <c r="S838" i="1"/>
  <c r="R838" i="1"/>
  <c r="P838" i="1"/>
  <c r="O838" i="1"/>
  <c r="V837" i="1"/>
  <c r="U837" i="1"/>
  <c r="T837" i="1"/>
  <c r="S837" i="1"/>
  <c r="R837" i="1"/>
  <c r="P837" i="1"/>
  <c r="O837" i="1"/>
  <c r="V836" i="1"/>
  <c r="U836" i="1"/>
  <c r="T836" i="1"/>
  <c r="S836" i="1"/>
  <c r="R836" i="1"/>
  <c r="P836" i="1"/>
  <c r="O836" i="1"/>
  <c r="V835" i="1"/>
  <c r="U835" i="1"/>
  <c r="T835" i="1"/>
  <c r="S835" i="1"/>
  <c r="R835" i="1"/>
  <c r="P835" i="1"/>
  <c r="O835" i="1"/>
  <c r="V834" i="1"/>
  <c r="U834" i="1"/>
  <c r="T834" i="1"/>
  <c r="S834" i="1"/>
  <c r="R834" i="1"/>
  <c r="P834" i="1"/>
  <c r="O834" i="1"/>
  <c r="V833" i="1"/>
  <c r="U833" i="1"/>
  <c r="T833" i="1"/>
  <c r="S833" i="1"/>
  <c r="R833" i="1"/>
  <c r="P833" i="1"/>
  <c r="O833" i="1"/>
  <c r="V832" i="1"/>
  <c r="U832" i="1"/>
  <c r="T832" i="1"/>
  <c r="S832" i="1"/>
  <c r="R832" i="1"/>
  <c r="P832" i="1"/>
  <c r="O832" i="1"/>
  <c r="V831" i="1"/>
  <c r="U831" i="1"/>
  <c r="T831" i="1"/>
  <c r="S831" i="1"/>
  <c r="R831" i="1"/>
  <c r="P831" i="1"/>
  <c r="O831" i="1"/>
  <c r="V830" i="1"/>
  <c r="U830" i="1"/>
  <c r="T830" i="1"/>
  <c r="S830" i="1"/>
  <c r="R830" i="1"/>
  <c r="P830" i="1"/>
  <c r="O830" i="1"/>
  <c r="V829" i="1"/>
  <c r="U829" i="1"/>
  <c r="T829" i="1"/>
  <c r="S829" i="1"/>
  <c r="R829" i="1"/>
  <c r="P829" i="1"/>
  <c r="O829" i="1"/>
  <c r="V828" i="1"/>
  <c r="U828" i="1"/>
  <c r="T828" i="1"/>
  <c r="S828" i="1"/>
  <c r="R828" i="1"/>
  <c r="P828" i="1"/>
  <c r="O828" i="1"/>
  <c r="V827" i="1"/>
  <c r="U827" i="1"/>
  <c r="T827" i="1"/>
  <c r="S827" i="1"/>
  <c r="R827" i="1"/>
  <c r="P827" i="1"/>
  <c r="O827" i="1"/>
  <c r="V826" i="1"/>
  <c r="U826" i="1"/>
  <c r="T826" i="1"/>
  <c r="S826" i="1"/>
  <c r="R826" i="1"/>
  <c r="P826" i="1"/>
  <c r="O826" i="1"/>
  <c r="V825" i="1"/>
  <c r="U825" i="1"/>
  <c r="T825" i="1"/>
  <c r="S825" i="1"/>
  <c r="R825" i="1"/>
  <c r="P825" i="1"/>
  <c r="O825" i="1"/>
  <c r="V824" i="1"/>
  <c r="U824" i="1"/>
  <c r="T824" i="1"/>
  <c r="S824" i="1"/>
  <c r="R824" i="1"/>
  <c r="P824" i="1"/>
  <c r="O824" i="1"/>
  <c r="V823" i="1"/>
  <c r="U823" i="1"/>
  <c r="T823" i="1"/>
  <c r="S823" i="1"/>
  <c r="R823" i="1"/>
  <c r="P823" i="1"/>
  <c r="O823" i="1"/>
  <c r="V822" i="1"/>
  <c r="U822" i="1"/>
  <c r="T822" i="1"/>
  <c r="S822" i="1"/>
  <c r="R822" i="1"/>
  <c r="P822" i="1"/>
  <c r="O822" i="1"/>
  <c r="V821" i="1"/>
  <c r="U821" i="1"/>
  <c r="T821" i="1"/>
  <c r="S821" i="1"/>
  <c r="R821" i="1"/>
  <c r="P821" i="1"/>
  <c r="O821" i="1"/>
  <c r="V820" i="1"/>
  <c r="U820" i="1"/>
  <c r="T820" i="1"/>
  <c r="S820" i="1"/>
  <c r="R820" i="1"/>
  <c r="P820" i="1"/>
  <c r="O820" i="1"/>
  <c r="V819" i="1"/>
  <c r="U819" i="1"/>
  <c r="T819" i="1"/>
  <c r="S819" i="1"/>
  <c r="R819" i="1"/>
  <c r="P819" i="1"/>
  <c r="O819" i="1"/>
  <c r="V818" i="1"/>
  <c r="U818" i="1"/>
  <c r="T818" i="1"/>
  <c r="S818" i="1"/>
  <c r="R818" i="1"/>
  <c r="P818" i="1"/>
  <c r="O818" i="1"/>
  <c r="V817" i="1"/>
  <c r="U817" i="1"/>
  <c r="T817" i="1"/>
  <c r="S817" i="1"/>
  <c r="R817" i="1"/>
  <c r="P817" i="1"/>
  <c r="O817" i="1"/>
  <c r="V816" i="1"/>
  <c r="U816" i="1"/>
  <c r="T816" i="1"/>
  <c r="S816" i="1"/>
  <c r="R816" i="1"/>
  <c r="P816" i="1"/>
  <c r="O816" i="1"/>
  <c r="V815" i="1"/>
  <c r="U815" i="1"/>
  <c r="T815" i="1"/>
  <c r="S815" i="1"/>
  <c r="R815" i="1"/>
  <c r="P815" i="1"/>
  <c r="O815" i="1"/>
  <c r="V814" i="1"/>
  <c r="U814" i="1"/>
  <c r="T814" i="1"/>
  <c r="S814" i="1"/>
  <c r="R814" i="1"/>
  <c r="P814" i="1"/>
  <c r="O814" i="1"/>
  <c r="V813" i="1"/>
  <c r="U813" i="1"/>
  <c r="T813" i="1"/>
  <c r="S813" i="1"/>
  <c r="R813" i="1"/>
  <c r="P813" i="1"/>
  <c r="O813" i="1"/>
  <c r="V812" i="1"/>
  <c r="U812" i="1"/>
  <c r="T812" i="1"/>
  <c r="S812" i="1"/>
  <c r="R812" i="1"/>
  <c r="P812" i="1"/>
  <c r="O812" i="1"/>
  <c r="V811" i="1"/>
  <c r="U811" i="1"/>
  <c r="T811" i="1"/>
  <c r="S811" i="1"/>
  <c r="R811" i="1"/>
  <c r="P811" i="1"/>
  <c r="O811" i="1"/>
  <c r="V810" i="1"/>
  <c r="U810" i="1"/>
  <c r="T810" i="1"/>
  <c r="S810" i="1"/>
  <c r="R810" i="1"/>
  <c r="P810" i="1"/>
  <c r="O810" i="1"/>
  <c r="V809" i="1"/>
  <c r="U809" i="1"/>
  <c r="T809" i="1"/>
  <c r="S809" i="1"/>
  <c r="R809" i="1"/>
  <c r="P809" i="1"/>
  <c r="O809" i="1"/>
  <c r="V808" i="1"/>
  <c r="U808" i="1"/>
  <c r="T808" i="1"/>
  <c r="S808" i="1"/>
  <c r="R808" i="1"/>
  <c r="P808" i="1"/>
  <c r="O808" i="1"/>
  <c r="V807" i="1"/>
  <c r="U807" i="1"/>
  <c r="T807" i="1"/>
  <c r="S807" i="1"/>
  <c r="R807" i="1"/>
  <c r="P807" i="1"/>
  <c r="O807" i="1"/>
  <c r="V806" i="1"/>
  <c r="U806" i="1"/>
  <c r="T806" i="1"/>
  <c r="S806" i="1"/>
  <c r="R806" i="1"/>
  <c r="P806" i="1"/>
  <c r="O806" i="1"/>
  <c r="V805" i="1"/>
  <c r="U805" i="1"/>
  <c r="T805" i="1"/>
  <c r="S805" i="1"/>
  <c r="R805" i="1"/>
  <c r="P805" i="1"/>
  <c r="O805" i="1"/>
  <c r="V804" i="1"/>
  <c r="U804" i="1"/>
  <c r="T804" i="1"/>
  <c r="S804" i="1"/>
  <c r="R804" i="1"/>
  <c r="P804" i="1"/>
  <c r="O804" i="1"/>
  <c r="V803" i="1"/>
  <c r="U803" i="1"/>
  <c r="T803" i="1"/>
  <c r="S803" i="1"/>
  <c r="R803" i="1"/>
  <c r="P803" i="1"/>
  <c r="O803" i="1"/>
  <c r="V802" i="1"/>
  <c r="U802" i="1"/>
  <c r="T802" i="1"/>
  <c r="S802" i="1"/>
  <c r="R802" i="1"/>
  <c r="P802" i="1"/>
  <c r="O802" i="1"/>
  <c r="V801" i="1"/>
  <c r="U801" i="1"/>
  <c r="T801" i="1"/>
  <c r="S801" i="1"/>
  <c r="R801" i="1"/>
  <c r="P801" i="1"/>
  <c r="O801" i="1"/>
  <c r="V800" i="1"/>
  <c r="U800" i="1"/>
  <c r="T800" i="1"/>
  <c r="S800" i="1"/>
  <c r="R800" i="1"/>
  <c r="P800" i="1"/>
  <c r="O800" i="1"/>
  <c r="V799" i="1"/>
  <c r="U799" i="1"/>
  <c r="T799" i="1"/>
  <c r="S799" i="1"/>
  <c r="R799" i="1"/>
  <c r="P799" i="1"/>
  <c r="O799" i="1"/>
  <c r="V798" i="1"/>
  <c r="U798" i="1"/>
  <c r="T798" i="1"/>
  <c r="S798" i="1"/>
  <c r="R798" i="1"/>
  <c r="P798" i="1"/>
  <c r="O798" i="1"/>
  <c r="V797" i="1"/>
  <c r="U797" i="1"/>
  <c r="T797" i="1"/>
  <c r="S797" i="1"/>
  <c r="R797" i="1"/>
  <c r="P797" i="1"/>
  <c r="O797" i="1"/>
  <c r="V796" i="1"/>
  <c r="U796" i="1"/>
  <c r="T796" i="1"/>
  <c r="S796" i="1"/>
  <c r="R796" i="1"/>
  <c r="P796" i="1"/>
  <c r="O796" i="1"/>
  <c r="V795" i="1"/>
  <c r="U795" i="1"/>
  <c r="T795" i="1"/>
  <c r="S795" i="1"/>
  <c r="R795" i="1"/>
  <c r="P795" i="1"/>
  <c r="O795" i="1"/>
  <c r="V794" i="1"/>
  <c r="U794" i="1"/>
  <c r="T794" i="1"/>
  <c r="S794" i="1"/>
  <c r="R794" i="1"/>
  <c r="P794" i="1"/>
  <c r="O794" i="1"/>
  <c r="V793" i="1"/>
  <c r="U793" i="1"/>
  <c r="T793" i="1"/>
  <c r="S793" i="1"/>
  <c r="R793" i="1"/>
  <c r="P793" i="1"/>
  <c r="O793" i="1"/>
  <c r="V792" i="1"/>
  <c r="U792" i="1"/>
  <c r="T792" i="1"/>
  <c r="S792" i="1"/>
  <c r="R792" i="1"/>
  <c r="P792" i="1"/>
  <c r="O792" i="1"/>
  <c r="V791" i="1"/>
  <c r="U791" i="1"/>
  <c r="T791" i="1"/>
  <c r="S791" i="1"/>
  <c r="R791" i="1"/>
  <c r="P791" i="1"/>
  <c r="O791" i="1"/>
  <c r="V790" i="1"/>
  <c r="U790" i="1"/>
  <c r="T790" i="1"/>
  <c r="S790" i="1"/>
  <c r="R790" i="1"/>
  <c r="P790" i="1"/>
  <c r="O790" i="1"/>
  <c r="V789" i="1"/>
  <c r="U789" i="1"/>
  <c r="T789" i="1"/>
  <c r="S789" i="1"/>
  <c r="R789" i="1"/>
  <c r="P789" i="1"/>
  <c r="O789" i="1"/>
  <c r="V788" i="1"/>
  <c r="U788" i="1"/>
  <c r="T788" i="1"/>
  <c r="S788" i="1"/>
  <c r="R788" i="1"/>
  <c r="P788" i="1"/>
  <c r="O788" i="1"/>
  <c r="V787" i="1"/>
  <c r="U787" i="1"/>
  <c r="T787" i="1"/>
  <c r="S787" i="1"/>
  <c r="R787" i="1"/>
  <c r="P787" i="1"/>
  <c r="O787" i="1"/>
  <c r="V786" i="1"/>
  <c r="U786" i="1"/>
  <c r="T786" i="1"/>
  <c r="S786" i="1"/>
  <c r="R786" i="1"/>
  <c r="P786" i="1"/>
  <c r="O786" i="1"/>
  <c r="V785" i="1"/>
  <c r="U785" i="1"/>
  <c r="T785" i="1"/>
  <c r="S785" i="1"/>
  <c r="R785" i="1"/>
  <c r="P785" i="1"/>
  <c r="O785" i="1"/>
  <c r="V784" i="1"/>
  <c r="U784" i="1"/>
  <c r="T784" i="1"/>
  <c r="S784" i="1"/>
  <c r="R784" i="1"/>
  <c r="P784" i="1"/>
  <c r="O784" i="1"/>
  <c r="V783" i="1"/>
  <c r="U783" i="1"/>
  <c r="T783" i="1"/>
  <c r="S783" i="1"/>
  <c r="R783" i="1"/>
  <c r="P783" i="1"/>
  <c r="O783" i="1"/>
  <c r="V782" i="1"/>
  <c r="U782" i="1"/>
  <c r="T782" i="1"/>
  <c r="S782" i="1"/>
  <c r="R782" i="1"/>
  <c r="P782" i="1"/>
  <c r="O782" i="1"/>
  <c r="V781" i="1"/>
  <c r="U781" i="1"/>
  <c r="T781" i="1"/>
  <c r="S781" i="1"/>
  <c r="R781" i="1"/>
  <c r="P781" i="1"/>
  <c r="O781" i="1"/>
  <c r="V780" i="1"/>
  <c r="U780" i="1"/>
  <c r="T780" i="1"/>
  <c r="S780" i="1"/>
  <c r="R780" i="1"/>
  <c r="P780" i="1"/>
  <c r="O780" i="1"/>
  <c r="V779" i="1"/>
  <c r="U779" i="1"/>
  <c r="T779" i="1"/>
  <c r="S779" i="1"/>
  <c r="R779" i="1"/>
  <c r="P779" i="1"/>
  <c r="O779" i="1"/>
  <c r="V778" i="1"/>
  <c r="U778" i="1"/>
  <c r="T778" i="1"/>
  <c r="S778" i="1"/>
  <c r="R778" i="1"/>
  <c r="P778" i="1"/>
  <c r="O778" i="1"/>
  <c r="V777" i="1"/>
  <c r="U777" i="1"/>
  <c r="T777" i="1"/>
  <c r="S777" i="1"/>
  <c r="R777" i="1"/>
  <c r="P777" i="1"/>
  <c r="O777" i="1"/>
  <c r="V776" i="1"/>
  <c r="U776" i="1"/>
  <c r="T776" i="1"/>
  <c r="S776" i="1"/>
  <c r="R776" i="1"/>
  <c r="P776" i="1"/>
  <c r="O776" i="1"/>
  <c r="V775" i="1"/>
  <c r="U775" i="1"/>
  <c r="T775" i="1"/>
  <c r="S775" i="1"/>
  <c r="R775" i="1"/>
  <c r="P775" i="1"/>
  <c r="O775" i="1"/>
  <c r="V774" i="1"/>
  <c r="U774" i="1"/>
  <c r="T774" i="1"/>
  <c r="S774" i="1"/>
  <c r="R774" i="1"/>
  <c r="P774" i="1"/>
  <c r="O774" i="1"/>
  <c r="V773" i="1"/>
  <c r="U773" i="1"/>
  <c r="T773" i="1"/>
  <c r="S773" i="1"/>
  <c r="R773" i="1"/>
  <c r="P773" i="1"/>
  <c r="O773" i="1"/>
  <c r="V772" i="1"/>
  <c r="U772" i="1"/>
  <c r="T772" i="1"/>
  <c r="S772" i="1"/>
  <c r="R772" i="1"/>
  <c r="P772" i="1"/>
  <c r="O772" i="1"/>
  <c r="V771" i="1"/>
  <c r="U771" i="1"/>
  <c r="T771" i="1"/>
  <c r="S771" i="1"/>
  <c r="R771" i="1"/>
  <c r="P771" i="1"/>
  <c r="O771" i="1"/>
  <c r="V770" i="1"/>
  <c r="U770" i="1"/>
  <c r="T770" i="1"/>
  <c r="S770" i="1"/>
  <c r="R770" i="1"/>
  <c r="P770" i="1"/>
  <c r="O770" i="1"/>
  <c r="V769" i="1"/>
  <c r="U769" i="1"/>
  <c r="T769" i="1"/>
  <c r="S769" i="1"/>
  <c r="R769" i="1"/>
  <c r="P769" i="1"/>
  <c r="O769" i="1"/>
  <c r="V768" i="1"/>
  <c r="U768" i="1"/>
  <c r="T768" i="1"/>
  <c r="S768" i="1"/>
  <c r="R768" i="1"/>
  <c r="P768" i="1"/>
  <c r="O768" i="1"/>
  <c r="V767" i="1"/>
  <c r="U767" i="1"/>
  <c r="T767" i="1"/>
  <c r="S767" i="1"/>
  <c r="R767" i="1"/>
  <c r="P767" i="1"/>
  <c r="O767" i="1"/>
  <c r="V766" i="1"/>
  <c r="U766" i="1"/>
  <c r="T766" i="1"/>
  <c r="S766" i="1"/>
  <c r="R766" i="1"/>
  <c r="P766" i="1"/>
  <c r="O766" i="1"/>
  <c r="V765" i="1"/>
  <c r="U765" i="1"/>
  <c r="T765" i="1"/>
  <c r="S765" i="1"/>
  <c r="R765" i="1"/>
  <c r="P765" i="1"/>
  <c r="O765" i="1"/>
  <c r="V764" i="1"/>
  <c r="U764" i="1"/>
  <c r="T764" i="1"/>
  <c r="S764" i="1"/>
  <c r="R764" i="1"/>
  <c r="P764" i="1"/>
  <c r="O764" i="1"/>
  <c r="V763" i="1"/>
  <c r="U763" i="1"/>
  <c r="T763" i="1"/>
  <c r="S763" i="1"/>
  <c r="R763" i="1"/>
  <c r="P763" i="1"/>
  <c r="O763" i="1"/>
  <c r="V762" i="1"/>
  <c r="U762" i="1"/>
  <c r="T762" i="1"/>
  <c r="S762" i="1"/>
  <c r="R762" i="1"/>
  <c r="P762" i="1"/>
  <c r="O762" i="1"/>
  <c r="V761" i="1"/>
  <c r="U761" i="1"/>
  <c r="T761" i="1"/>
  <c r="S761" i="1"/>
  <c r="R761" i="1"/>
  <c r="P761" i="1"/>
  <c r="O761" i="1"/>
  <c r="V760" i="1"/>
  <c r="U760" i="1"/>
  <c r="T760" i="1"/>
  <c r="S760" i="1"/>
  <c r="R760" i="1"/>
  <c r="P760" i="1"/>
  <c r="O760" i="1"/>
  <c r="V759" i="1"/>
  <c r="U759" i="1"/>
  <c r="T759" i="1"/>
  <c r="S759" i="1"/>
  <c r="R759" i="1"/>
  <c r="P759" i="1"/>
  <c r="O759" i="1"/>
  <c r="V758" i="1"/>
  <c r="U758" i="1"/>
  <c r="T758" i="1"/>
  <c r="S758" i="1"/>
  <c r="R758" i="1"/>
  <c r="P758" i="1"/>
  <c r="O758" i="1"/>
  <c r="V757" i="1"/>
  <c r="U757" i="1"/>
  <c r="T757" i="1"/>
  <c r="S757" i="1"/>
  <c r="R757" i="1"/>
  <c r="P757" i="1"/>
  <c r="O757" i="1"/>
  <c r="V756" i="1"/>
  <c r="U756" i="1"/>
  <c r="T756" i="1"/>
  <c r="S756" i="1"/>
  <c r="R756" i="1"/>
  <c r="P756" i="1"/>
  <c r="O756" i="1"/>
  <c r="V755" i="1"/>
  <c r="U755" i="1"/>
  <c r="T755" i="1"/>
  <c r="S755" i="1"/>
  <c r="R755" i="1"/>
  <c r="P755" i="1"/>
  <c r="O755" i="1"/>
  <c r="V754" i="1"/>
  <c r="U754" i="1"/>
  <c r="T754" i="1"/>
  <c r="S754" i="1"/>
  <c r="R754" i="1"/>
  <c r="P754" i="1"/>
  <c r="O754" i="1"/>
  <c r="V753" i="1"/>
  <c r="U753" i="1"/>
  <c r="T753" i="1"/>
  <c r="S753" i="1"/>
  <c r="R753" i="1"/>
  <c r="P753" i="1"/>
  <c r="O753" i="1"/>
  <c r="V752" i="1"/>
  <c r="U752" i="1"/>
  <c r="T752" i="1"/>
  <c r="S752" i="1"/>
  <c r="R752" i="1"/>
  <c r="P752" i="1"/>
  <c r="O752" i="1"/>
  <c r="V751" i="1"/>
  <c r="U751" i="1"/>
  <c r="T751" i="1"/>
  <c r="S751" i="1"/>
  <c r="R751" i="1"/>
  <c r="P751" i="1"/>
  <c r="O751" i="1"/>
  <c r="V750" i="1"/>
  <c r="U750" i="1"/>
  <c r="T750" i="1"/>
  <c r="S750" i="1"/>
  <c r="R750" i="1"/>
  <c r="P750" i="1"/>
  <c r="O750" i="1"/>
  <c r="V749" i="1"/>
  <c r="U749" i="1"/>
  <c r="T749" i="1"/>
  <c r="S749" i="1"/>
  <c r="R749" i="1"/>
  <c r="P749" i="1"/>
  <c r="O749" i="1"/>
  <c r="V748" i="1"/>
  <c r="U748" i="1"/>
  <c r="T748" i="1"/>
  <c r="S748" i="1"/>
  <c r="R748" i="1"/>
  <c r="P748" i="1"/>
  <c r="O748" i="1"/>
  <c r="V747" i="1"/>
  <c r="U747" i="1"/>
  <c r="T747" i="1"/>
  <c r="S747" i="1"/>
  <c r="R747" i="1"/>
  <c r="P747" i="1"/>
  <c r="O747" i="1"/>
  <c r="V746" i="1"/>
  <c r="U746" i="1"/>
  <c r="T746" i="1"/>
  <c r="S746" i="1"/>
  <c r="R746" i="1"/>
  <c r="P746" i="1"/>
  <c r="O746" i="1"/>
  <c r="V745" i="1"/>
  <c r="U745" i="1"/>
  <c r="T745" i="1"/>
  <c r="S745" i="1"/>
  <c r="R745" i="1"/>
  <c r="P745" i="1"/>
  <c r="O745" i="1"/>
  <c r="V744" i="1"/>
  <c r="U744" i="1"/>
  <c r="T744" i="1"/>
  <c r="S744" i="1"/>
  <c r="R744" i="1"/>
  <c r="P744" i="1"/>
  <c r="O744" i="1"/>
  <c r="V743" i="1"/>
  <c r="U743" i="1"/>
  <c r="T743" i="1"/>
  <c r="S743" i="1"/>
  <c r="R743" i="1"/>
  <c r="P743" i="1"/>
  <c r="O743" i="1"/>
  <c r="V742" i="1"/>
  <c r="U742" i="1"/>
  <c r="T742" i="1"/>
  <c r="S742" i="1"/>
  <c r="R742" i="1"/>
  <c r="P742" i="1"/>
  <c r="O742" i="1"/>
  <c r="V741" i="1"/>
  <c r="U741" i="1"/>
  <c r="T741" i="1"/>
  <c r="S741" i="1"/>
  <c r="R741" i="1"/>
  <c r="P741" i="1"/>
  <c r="O741" i="1"/>
  <c r="V740" i="1"/>
  <c r="U740" i="1"/>
  <c r="T740" i="1"/>
  <c r="S740" i="1"/>
  <c r="R740" i="1"/>
  <c r="P740" i="1"/>
  <c r="O740" i="1"/>
  <c r="V739" i="1"/>
  <c r="U739" i="1"/>
  <c r="T739" i="1"/>
  <c r="S739" i="1"/>
  <c r="R739" i="1"/>
  <c r="P739" i="1"/>
  <c r="O739" i="1"/>
  <c r="V738" i="1"/>
  <c r="U738" i="1"/>
  <c r="T738" i="1"/>
  <c r="S738" i="1"/>
  <c r="R738" i="1"/>
  <c r="P738" i="1"/>
  <c r="O738" i="1"/>
  <c r="V737" i="1"/>
  <c r="U737" i="1"/>
  <c r="T737" i="1"/>
  <c r="S737" i="1"/>
  <c r="R737" i="1"/>
  <c r="P737" i="1"/>
  <c r="O737" i="1"/>
  <c r="V736" i="1"/>
  <c r="U736" i="1"/>
  <c r="T736" i="1"/>
  <c r="S736" i="1"/>
  <c r="R736" i="1"/>
  <c r="P736" i="1"/>
  <c r="O736" i="1"/>
  <c r="V735" i="1"/>
  <c r="U735" i="1"/>
  <c r="T735" i="1"/>
  <c r="S735" i="1"/>
  <c r="R735" i="1"/>
  <c r="P735" i="1"/>
  <c r="O735" i="1"/>
  <c r="V734" i="1"/>
  <c r="U734" i="1"/>
  <c r="T734" i="1"/>
  <c r="S734" i="1"/>
  <c r="R734" i="1"/>
  <c r="P734" i="1"/>
  <c r="O734" i="1"/>
  <c r="V733" i="1"/>
  <c r="U733" i="1"/>
  <c r="T733" i="1"/>
  <c r="S733" i="1"/>
  <c r="R733" i="1"/>
  <c r="P733" i="1"/>
  <c r="O733" i="1"/>
  <c r="V732" i="1"/>
  <c r="U732" i="1"/>
  <c r="T732" i="1"/>
  <c r="S732" i="1"/>
  <c r="R732" i="1"/>
  <c r="P732" i="1"/>
  <c r="O732" i="1"/>
  <c r="V731" i="1"/>
  <c r="U731" i="1"/>
  <c r="T731" i="1"/>
  <c r="S731" i="1"/>
  <c r="R731" i="1"/>
  <c r="P731" i="1"/>
  <c r="O731" i="1"/>
  <c r="V730" i="1"/>
  <c r="U730" i="1"/>
  <c r="T730" i="1"/>
  <c r="S730" i="1"/>
  <c r="R730" i="1"/>
  <c r="P730" i="1"/>
  <c r="O730" i="1"/>
  <c r="V729" i="1"/>
  <c r="U729" i="1"/>
  <c r="T729" i="1"/>
  <c r="S729" i="1"/>
  <c r="R729" i="1"/>
  <c r="P729" i="1"/>
  <c r="O729" i="1"/>
  <c r="V728" i="1"/>
  <c r="U728" i="1"/>
  <c r="T728" i="1"/>
  <c r="S728" i="1"/>
  <c r="R728" i="1"/>
  <c r="P728" i="1"/>
  <c r="O728" i="1"/>
  <c r="V727" i="1"/>
  <c r="U727" i="1"/>
  <c r="T727" i="1"/>
  <c r="S727" i="1"/>
  <c r="R727" i="1"/>
  <c r="P727" i="1"/>
  <c r="O727" i="1"/>
  <c r="V726" i="1"/>
  <c r="U726" i="1"/>
  <c r="T726" i="1"/>
  <c r="S726" i="1"/>
  <c r="R726" i="1"/>
  <c r="P726" i="1"/>
  <c r="O726" i="1"/>
  <c r="V725" i="1"/>
  <c r="U725" i="1"/>
  <c r="T725" i="1"/>
  <c r="S725" i="1"/>
  <c r="R725" i="1"/>
  <c r="P725" i="1"/>
  <c r="O725" i="1"/>
  <c r="V724" i="1"/>
  <c r="U724" i="1"/>
  <c r="T724" i="1"/>
  <c r="S724" i="1"/>
  <c r="R724" i="1"/>
  <c r="P724" i="1"/>
  <c r="O724" i="1"/>
  <c r="V723" i="1"/>
  <c r="U723" i="1"/>
  <c r="T723" i="1"/>
  <c r="S723" i="1"/>
  <c r="R723" i="1"/>
  <c r="P723" i="1"/>
  <c r="O723" i="1"/>
  <c r="V722" i="1"/>
  <c r="U722" i="1"/>
  <c r="T722" i="1"/>
  <c r="S722" i="1"/>
  <c r="R722" i="1"/>
  <c r="P722" i="1"/>
  <c r="O722" i="1"/>
  <c r="V721" i="1"/>
  <c r="U721" i="1"/>
  <c r="T721" i="1"/>
  <c r="S721" i="1"/>
  <c r="R721" i="1"/>
  <c r="P721" i="1"/>
  <c r="O721" i="1"/>
  <c r="V720" i="1"/>
  <c r="U720" i="1"/>
  <c r="T720" i="1"/>
  <c r="S720" i="1"/>
  <c r="R720" i="1"/>
  <c r="P720" i="1"/>
  <c r="O720" i="1"/>
  <c r="V719" i="1"/>
  <c r="U719" i="1"/>
  <c r="T719" i="1"/>
  <c r="S719" i="1"/>
  <c r="R719" i="1"/>
  <c r="P719" i="1"/>
  <c r="O719" i="1"/>
  <c r="V718" i="1"/>
  <c r="U718" i="1"/>
  <c r="T718" i="1"/>
  <c r="S718" i="1"/>
  <c r="R718" i="1"/>
  <c r="P718" i="1"/>
  <c r="O718" i="1"/>
  <c r="V717" i="1"/>
  <c r="U717" i="1"/>
  <c r="T717" i="1"/>
  <c r="S717" i="1"/>
  <c r="R717" i="1"/>
  <c r="P717" i="1"/>
  <c r="O717" i="1"/>
  <c r="V716" i="1"/>
  <c r="U716" i="1"/>
  <c r="T716" i="1"/>
  <c r="S716" i="1"/>
  <c r="R716" i="1"/>
  <c r="P716" i="1"/>
  <c r="O716" i="1"/>
  <c r="V715" i="1"/>
  <c r="U715" i="1"/>
  <c r="T715" i="1"/>
  <c r="S715" i="1"/>
  <c r="R715" i="1"/>
  <c r="P715" i="1"/>
  <c r="O715" i="1"/>
  <c r="V714" i="1"/>
  <c r="U714" i="1"/>
  <c r="T714" i="1"/>
  <c r="S714" i="1"/>
  <c r="R714" i="1"/>
  <c r="P714" i="1"/>
  <c r="O714" i="1"/>
  <c r="V713" i="1"/>
  <c r="U713" i="1"/>
  <c r="T713" i="1"/>
  <c r="S713" i="1"/>
  <c r="R713" i="1"/>
  <c r="P713" i="1"/>
  <c r="O713" i="1"/>
  <c r="V712" i="1"/>
  <c r="U712" i="1"/>
  <c r="T712" i="1"/>
  <c r="S712" i="1"/>
  <c r="R712" i="1"/>
  <c r="P712" i="1"/>
  <c r="O712" i="1"/>
  <c r="V711" i="1"/>
  <c r="U711" i="1"/>
  <c r="T711" i="1"/>
  <c r="S711" i="1"/>
  <c r="R711" i="1"/>
  <c r="P711" i="1"/>
  <c r="O711" i="1"/>
  <c r="V710" i="1"/>
  <c r="U710" i="1"/>
  <c r="T710" i="1"/>
  <c r="S710" i="1"/>
  <c r="R710" i="1"/>
  <c r="P710" i="1"/>
  <c r="O710" i="1"/>
  <c r="V709" i="1"/>
  <c r="U709" i="1"/>
  <c r="T709" i="1"/>
  <c r="S709" i="1"/>
  <c r="R709" i="1"/>
  <c r="P709" i="1"/>
  <c r="O709" i="1"/>
  <c r="V708" i="1"/>
  <c r="U708" i="1"/>
  <c r="T708" i="1"/>
  <c r="S708" i="1"/>
  <c r="R708" i="1"/>
  <c r="P708" i="1"/>
  <c r="O708" i="1"/>
  <c r="V707" i="1"/>
  <c r="U707" i="1"/>
  <c r="T707" i="1"/>
  <c r="S707" i="1"/>
  <c r="R707" i="1"/>
  <c r="P707" i="1"/>
  <c r="O707" i="1"/>
  <c r="V706" i="1"/>
  <c r="U706" i="1"/>
  <c r="T706" i="1"/>
  <c r="S706" i="1"/>
  <c r="R706" i="1"/>
  <c r="P706" i="1"/>
  <c r="O706" i="1"/>
  <c r="V705" i="1"/>
  <c r="U705" i="1"/>
  <c r="T705" i="1"/>
  <c r="S705" i="1"/>
  <c r="R705" i="1"/>
  <c r="P705" i="1"/>
  <c r="O705" i="1"/>
  <c r="V704" i="1"/>
  <c r="U704" i="1"/>
  <c r="T704" i="1"/>
  <c r="S704" i="1"/>
  <c r="R704" i="1"/>
  <c r="P704" i="1"/>
  <c r="O704" i="1"/>
  <c r="V703" i="1"/>
  <c r="U703" i="1"/>
  <c r="T703" i="1"/>
  <c r="S703" i="1"/>
  <c r="R703" i="1"/>
  <c r="P703" i="1"/>
  <c r="O703" i="1"/>
  <c r="V702" i="1"/>
  <c r="U702" i="1"/>
  <c r="T702" i="1"/>
  <c r="S702" i="1"/>
  <c r="R702" i="1"/>
  <c r="P702" i="1"/>
  <c r="O702" i="1"/>
  <c r="V701" i="1"/>
  <c r="U701" i="1"/>
  <c r="T701" i="1"/>
  <c r="S701" i="1"/>
  <c r="R701" i="1"/>
  <c r="P701" i="1"/>
  <c r="O701" i="1"/>
  <c r="V700" i="1"/>
  <c r="U700" i="1"/>
  <c r="T700" i="1"/>
  <c r="S700" i="1"/>
  <c r="R700" i="1"/>
  <c r="P700" i="1"/>
  <c r="O700" i="1"/>
  <c r="V699" i="1"/>
  <c r="U699" i="1"/>
  <c r="T699" i="1"/>
  <c r="S699" i="1"/>
  <c r="R699" i="1"/>
  <c r="P699" i="1"/>
  <c r="O699" i="1"/>
  <c r="V698" i="1"/>
  <c r="U698" i="1"/>
  <c r="T698" i="1"/>
  <c r="S698" i="1"/>
  <c r="R698" i="1"/>
  <c r="P698" i="1"/>
  <c r="O698" i="1"/>
  <c r="V697" i="1"/>
  <c r="U697" i="1"/>
  <c r="T697" i="1"/>
  <c r="S697" i="1"/>
  <c r="R697" i="1"/>
  <c r="P697" i="1"/>
  <c r="O697" i="1"/>
  <c r="V696" i="1"/>
  <c r="U696" i="1"/>
  <c r="T696" i="1"/>
  <c r="S696" i="1"/>
  <c r="R696" i="1"/>
  <c r="P696" i="1"/>
  <c r="O696" i="1"/>
  <c r="V695" i="1"/>
  <c r="U695" i="1"/>
  <c r="T695" i="1"/>
  <c r="S695" i="1"/>
  <c r="R695" i="1"/>
  <c r="P695" i="1"/>
  <c r="O695" i="1"/>
  <c r="V694" i="1"/>
  <c r="U694" i="1"/>
  <c r="T694" i="1"/>
  <c r="S694" i="1"/>
  <c r="R694" i="1"/>
  <c r="P694" i="1"/>
  <c r="O694" i="1"/>
  <c r="V693" i="1"/>
  <c r="U693" i="1"/>
  <c r="T693" i="1"/>
  <c r="S693" i="1"/>
  <c r="R693" i="1"/>
  <c r="P693" i="1"/>
  <c r="O693" i="1"/>
  <c r="V692" i="1"/>
  <c r="U692" i="1"/>
  <c r="T692" i="1"/>
  <c r="S692" i="1"/>
  <c r="R692" i="1"/>
  <c r="P692" i="1"/>
  <c r="O692" i="1"/>
  <c r="V691" i="1"/>
  <c r="U691" i="1"/>
  <c r="T691" i="1"/>
  <c r="S691" i="1"/>
  <c r="R691" i="1"/>
  <c r="P691" i="1"/>
  <c r="O691" i="1"/>
  <c r="V690" i="1"/>
  <c r="U690" i="1"/>
  <c r="T690" i="1"/>
  <c r="S690" i="1"/>
  <c r="R690" i="1"/>
  <c r="P690" i="1"/>
  <c r="O690" i="1"/>
  <c r="V689" i="1"/>
  <c r="U689" i="1"/>
  <c r="T689" i="1"/>
  <c r="S689" i="1"/>
  <c r="R689" i="1"/>
  <c r="P689" i="1"/>
  <c r="O689" i="1"/>
  <c r="V688" i="1"/>
  <c r="U688" i="1"/>
  <c r="T688" i="1"/>
  <c r="S688" i="1"/>
  <c r="R688" i="1"/>
  <c r="P688" i="1"/>
  <c r="O688" i="1"/>
  <c r="V687" i="1"/>
  <c r="U687" i="1"/>
  <c r="T687" i="1"/>
  <c r="S687" i="1"/>
  <c r="R687" i="1"/>
  <c r="P687" i="1"/>
  <c r="O687" i="1"/>
  <c r="V686" i="1"/>
  <c r="U686" i="1"/>
  <c r="T686" i="1"/>
  <c r="S686" i="1"/>
  <c r="R686" i="1"/>
  <c r="P686" i="1"/>
  <c r="O686" i="1"/>
  <c r="V685" i="1"/>
  <c r="U685" i="1"/>
  <c r="T685" i="1"/>
  <c r="S685" i="1"/>
  <c r="R685" i="1"/>
  <c r="P685" i="1"/>
  <c r="O685" i="1"/>
  <c r="V684" i="1"/>
  <c r="U684" i="1"/>
  <c r="T684" i="1"/>
  <c r="S684" i="1"/>
  <c r="R684" i="1"/>
  <c r="P684" i="1"/>
  <c r="O684" i="1"/>
  <c r="V683" i="1"/>
  <c r="U683" i="1"/>
  <c r="T683" i="1"/>
  <c r="S683" i="1"/>
  <c r="R683" i="1"/>
  <c r="P683" i="1"/>
  <c r="O683" i="1"/>
  <c r="V682" i="1"/>
  <c r="U682" i="1"/>
  <c r="T682" i="1"/>
  <c r="S682" i="1"/>
  <c r="R682" i="1"/>
  <c r="P682" i="1"/>
  <c r="O682" i="1"/>
  <c r="V681" i="1"/>
  <c r="U681" i="1"/>
  <c r="T681" i="1"/>
  <c r="S681" i="1"/>
  <c r="R681" i="1"/>
  <c r="P681" i="1"/>
  <c r="O681" i="1"/>
  <c r="V680" i="1"/>
  <c r="U680" i="1"/>
  <c r="T680" i="1"/>
  <c r="S680" i="1"/>
  <c r="R680" i="1"/>
  <c r="P680" i="1"/>
  <c r="O680" i="1"/>
  <c r="V679" i="1"/>
  <c r="U679" i="1"/>
  <c r="T679" i="1"/>
  <c r="S679" i="1"/>
  <c r="R679" i="1"/>
  <c r="P679" i="1"/>
  <c r="O679" i="1"/>
  <c r="V678" i="1"/>
  <c r="U678" i="1"/>
  <c r="T678" i="1"/>
  <c r="S678" i="1"/>
  <c r="R678" i="1"/>
  <c r="P678" i="1"/>
  <c r="O678" i="1"/>
  <c r="V677" i="1"/>
  <c r="U677" i="1"/>
  <c r="T677" i="1"/>
  <c r="S677" i="1"/>
  <c r="R677" i="1"/>
  <c r="P677" i="1"/>
  <c r="O677" i="1"/>
  <c r="V676" i="1"/>
  <c r="U676" i="1"/>
  <c r="T676" i="1"/>
  <c r="S676" i="1"/>
  <c r="R676" i="1"/>
  <c r="P676" i="1"/>
  <c r="O676" i="1"/>
  <c r="V675" i="1"/>
  <c r="U675" i="1"/>
  <c r="T675" i="1"/>
  <c r="S675" i="1"/>
  <c r="R675" i="1"/>
  <c r="P675" i="1"/>
  <c r="O675" i="1"/>
  <c r="V674" i="1"/>
  <c r="U674" i="1"/>
  <c r="T674" i="1"/>
  <c r="S674" i="1"/>
  <c r="R674" i="1"/>
  <c r="P674" i="1"/>
  <c r="O674" i="1"/>
  <c r="V673" i="1"/>
  <c r="U673" i="1"/>
  <c r="T673" i="1"/>
  <c r="S673" i="1"/>
  <c r="R673" i="1"/>
  <c r="P673" i="1"/>
  <c r="O673" i="1"/>
  <c r="V672" i="1"/>
  <c r="U672" i="1"/>
  <c r="T672" i="1"/>
  <c r="S672" i="1"/>
  <c r="R672" i="1"/>
  <c r="P672" i="1"/>
  <c r="O672" i="1"/>
  <c r="V671" i="1"/>
  <c r="U671" i="1"/>
  <c r="T671" i="1"/>
  <c r="S671" i="1"/>
  <c r="R671" i="1"/>
  <c r="P671" i="1"/>
  <c r="O671" i="1"/>
  <c r="V670" i="1"/>
  <c r="U670" i="1"/>
  <c r="T670" i="1"/>
  <c r="S670" i="1"/>
  <c r="R670" i="1"/>
  <c r="P670" i="1"/>
  <c r="O670" i="1"/>
  <c r="V669" i="1"/>
  <c r="U669" i="1"/>
  <c r="T669" i="1"/>
  <c r="S669" i="1"/>
  <c r="R669" i="1"/>
  <c r="P669" i="1"/>
  <c r="O669" i="1"/>
  <c r="V668" i="1"/>
  <c r="U668" i="1"/>
  <c r="T668" i="1"/>
  <c r="S668" i="1"/>
  <c r="R668" i="1"/>
  <c r="P668" i="1"/>
  <c r="O668" i="1"/>
  <c r="V667" i="1"/>
  <c r="U667" i="1"/>
  <c r="T667" i="1"/>
  <c r="S667" i="1"/>
  <c r="R667" i="1"/>
  <c r="P667" i="1"/>
  <c r="O667" i="1"/>
  <c r="V666" i="1"/>
  <c r="U666" i="1"/>
  <c r="T666" i="1"/>
  <c r="S666" i="1"/>
  <c r="R666" i="1"/>
  <c r="P666" i="1"/>
  <c r="O666" i="1"/>
  <c r="V665" i="1"/>
  <c r="U665" i="1"/>
  <c r="T665" i="1"/>
  <c r="S665" i="1"/>
  <c r="R665" i="1"/>
  <c r="P665" i="1"/>
  <c r="O665" i="1"/>
  <c r="V664" i="1"/>
  <c r="U664" i="1"/>
  <c r="T664" i="1"/>
  <c r="S664" i="1"/>
  <c r="R664" i="1"/>
  <c r="P664" i="1"/>
  <c r="O664" i="1"/>
  <c r="V663" i="1"/>
  <c r="U663" i="1"/>
  <c r="T663" i="1"/>
  <c r="S663" i="1"/>
  <c r="R663" i="1"/>
  <c r="P663" i="1"/>
  <c r="O663" i="1"/>
  <c r="V662" i="1"/>
  <c r="U662" i="1"/>
  <c r="T662" i="1"/>
  <c r="S662" i="1"/>
  <c r="R662" i="1"/>
  <c r="P662" i="1"/>
  <c r="O662" i="1"/>
  <c r="V661" i="1"/>
  <c r="U661" i="1"/>
  <c r="T661" i="1"/>
  <c r="S661" i="1"/>
  <c r="R661" i="1"/>
  <c r="P661" i="1"/>
  <c r="O661" i="1"/>
  <c r="V660" i="1"/>
  <c r="U660" i="1"/>
  <c r="T660" i="1"/>
  <c r="S660" i="1"/>
  <c r="R660" i="1"/>
  <c r="P660" i="1"/>
  <c r="O660" i="1"/>
  <c r="V659" i="1"/>
  <c r="U659" i="1"/>
  <c r="T659" i="1"/>
  <c r="S659" i="1"/>
  <c r="R659" i="1"/>
  <c r="P659" i="1"/>
  <c r="O659" i="1"/>
  <c r="V658" i="1"/>
  <c r="U658" i="1"/>
  <c r="T658" i="1"/>
  <c r="S658" i="1"/>
  <c r="R658" i="1"/>
  <c r="P658" i="1"/>
  <c r="O658" i="1"/>
  <c r="V657" i="1"/>
  <c r="U657" i="1"/>
  <c r="T657" i="1"/>
  <c r="S657" i="1"/>
  <c r="R657" i="1"/>
  <c r="P657" i="1"/>
  <c r="O657" i="1"/>
  <c r="V656" i="1"/>
  <c r="U656" i="1"/>
  <c r="T656" i="1"/>
  <c r="S656" i="1"/>
  <c r="R656" i="1"/>
  <c r="P656" i="1"/>
  <c r="O656" i="1"/>
  <c r="V655" i="1"/>
  <c r="U655" i="1"/>
  <c r="T655" i="1"/>
  <c r="S655" i="1"/>
  <c r="R655" i="1"/>
  <c r="P655" i="1"/>
  <c r="O655" i="1"/>
  <c r="V654" i="1"/>
  <c r="U654" i="1"/>
  <c r="T654" i="1"/>
  <c r="S654" i="1"/>
  <c r="R654" i="1"/>
  <c r="P654" i="1"/>
  <c r="O654" i="1"/>
  <c r="V653" i="1"/>
  <c r="U653" i="1"/>
  <c r="T653" i="1"/>
  <c r="S653" i="1"/>
  <c r="R653" i="1"/>
  <c r="P653" i="1"/>
  <c r="O653" i="1"/>
  <c r="V652" i="1"/>
  <c r="U652" i="1"/>
  <c r="T652" i="1"/>
  <c r="S652" i="1"/>
  <c r="R652" i="1"/>
  <c r="P652" i="1"/>
  <c r="O652" i="1"/>
  <c r="V651" i="1"/>
  <c r="U651" i="1"/>
  <c r="T651" i="1"/>
  <c r="S651" i="1"/>
  <c r="R651" i="1"/>
  <c r="P651" i="1"/>
  <c r="O651" i="1"/>
  <c r="V650" i="1"/>
  <c r="U650" i="1"/>
  <c r="T650" i="1"/>
  <c r="S650" i="1"/>
  <c r="R650" i="1"/>
  <c r="P650" i="1"/>
  <c r="O650" i="1"/>
  <c r="V649" i="1"/>
  <c r="U649" i="1"/>
  <c r="T649" i="1"/>
  <c r="S649" i="1"/>
  <c r="R649" i="1"/>
  <c r="P649" i="1"/>
  <c r="O649" i="1"/>
  <c r="V648" i="1"/>
  <c r="U648" i="1"/>
  <c r="T648" i="1"/>
  <c r="S648" i="1"/>
  <c r="R648" i="1"/>
  <c r="P648" i="1"/>
  <c r="O648" i="1"/>
  <c r="V647" i="1"/>
  <c r="U647" i="1"/>
  <c r="T647" i="1"/>
  <c r="S647" i="1"/>
  <c r="R647" i="1"/>
  <c r="P647" i="1"/>
  <c r="O647" i="1"/>
  <c r="V646" i="1"/>
  <c r="U646" i="1"/>
  <c r="T646" i="1"/>
  <c r="S646" i="1"/>
  <c r="R646" i="1"/>
  <c r="P646" i="1"/>
  <c r="O646" i="1"/>
  <c r="V645" i="1"/>
  <c r="U645" i="1"/>
  <c r="T645" i="1"/>
  <c r="S645" i="1"/>
  <c r="R645" i="1"/>
  <c r="P645" i="1"/>
  <c r="O645" i="1"/>
  <c r="V644" i="1"/>
  <c r="U644" i="1"/>
  <c r="T644" i="1"/>
  <c r="S644" i="1"/>
  <c r="R644" i="1"/>
  <c r="P644" i="1"/>
  <c r="O644" i="1"/>
  <c r="V643" i="1"/>
  <c r="U643" i="1"/>
  <c r="T643" i="1"/>
  <c r="S643" i="1"/>
  <c r="R643" i="1"/>
  <c r="P643" i="1"/>
  <c r="O643" i="1"/>
  <c r="V642" i="1"/>
  <c r="U642" i="1"/>
  <c r="T642" i="1"/>
  <c r="S642" i="1"/>
  <c r="R642" i="1"/>
  <c r="P642" i="1"/>
  <c r="O642" i="1"/>
  <c r="V641" i="1"/>
  <c r="U641" i="1"/>
  <c r="T641" i="1"/>
  <c r="S641" i="1"/>
  <c r="R641" i="1"/>
  <c r="P641" i="1"/>
  <c r="O641" i="1"/>
  <c r="V640" i="1"/>
  <c r="U640" i="1"/>
  <c r="T640" i="1"/>
  <c r="S640" i="1"/>
  <c r="R640" i="1"/>
  <c r="P640" i="1"/>
  <c r="O640" i="1"/>
  <c r="V639" i="1"/>
  <c r="U639" i="1"/>
  <c r="T639" i="1"/>
  <c r="S639" i="1"/>
  <c r="R639" i="1"/>
  <c r="P639" i="1"/>
  <c r="O639" i="1"/>
  <c r="V638" i="1"/>
  <c r="U638" i="1"/>
  <c r="T638" i="1"/>
  <c r="S638" i="1"/>
  <c r="R638" i="1"/>
  <c r="P638" i="1"/>
  <c r="O638" i="1"/>
  <c r="V637" i="1"/>
  <c r="U637" i="1"/>
  <c r="T637" i="1"/>
  <c r="S637" i="1"/>
  <c r="R637" i="1"/>
  <c r="P637" i="1"/>
  <c r="O637" i="1"/>
  <c r="V636" i="1"/>
  <c r="U636" i="1"/>
  <c r="T636" i="1"/>
  <c r="S636" i="1"/>
  <c r="R636" i="1"/>
  <c r="P636" i="1"/>
  <c r="O636" i="1"/>
  <c r="V635" i="1"/>
  <c r="U635" i="1"/>
  <c r="T635" i="1"/>
  <c r="S635" i="1"/>
  <c r="R635" i="1"/>
  <c r="P635" i="1"/>
  <c r="O635" i="1"/>
  <c r="V634" i="1"/>
  <c r="U634" i="1"/>
  <c r="T634" i="1"/>
  <c r="S634" i="1"/>
  <c r="R634" i="1"/>
  <c r="P634" i="1"/>
  <c r="O634" i="1"/>
  <c r="V633" i="1"/>
  <c r="U633" i="1"/>
  <c r="T633" i="1"/>
  <c r="S633" i="1"/>
  <c r="R633" i="1"/>
  <c r="P633" i="1"/>
  <c r="O633" i="1"/>
  <c r="V632" i="1"/>
  <c r="U632" i="1"/>
  <c r="T632" i="1"/>
  <c r="S632" i="1"/>
  <c r="R632" i="1"/>
  <c r="P632" i="1"/>
  <c r="O632" i="1"/>
  <c r="V631" i="1"/>
  <c r="U631" i="1"/>
  <c r="T631" i="1"/>
  <c r="S631" i="1"/>
  <c r="R631" i="1"/>
  <c r="P631" i="1"/>
  <c r="O631" i="1"/>
  <c r="V630" i="1"/>
  <c r="U630" i="1"/>
  <c r="T630" i="1"/>
  <c r="S630" i="1"/>
  <c r="R630" i="1"/>
  <c r="P630" i="1"/>
  <c r="O630" i="1"/>
  <c r="V629" i="1"/>
  <c r="U629" i="1"/>
  <c r="T629" i="1"/>
  <c r="S629" i="1"/>
  <c r="R629" i="1"/>
  <c r="P629" i="1"/>
  <c r="O629" i="1"/>
  <c r="V628" i="1"/>
  <c r="U628" i="1"/>
  <c r="T628" i="1"/>
  <c r="S628" i="1"/>
  <c r="R628" i="1"/>
  <c r="P628" i="1"/>
  <c r="O628" i="1"/>
  <c r="V627" i="1"/>
  <c r="U627" i="1"/>
  <c r="T627" i="1"/>
  <c r="S627" i="1"/>
  <c r="R627" i="1"/>
  <c r="P627" i="1"/>
  <c r="O627" i="1"/>
  <c r="V626" i="1"/>
  <c r="U626" i="1"/>
  <c r="T626" i="1"/>
  <c r="S626" i="1"/>
  <c r="R626" i="1"/>
  <c r="P626" i="1"/>
  <c r="O626" i="1"/>
  <c r="V625" i="1"/>
  <c r="U625" i="1"/>
  <c r="T625" i="1"/>
  <c r="S625" i="1"/>
  <c r="R625" i="1"/>
  <c r="P625" i="1"/>
  <c r="O625" i="1"/>
  <c r="V624" i="1"/>
  <c r="U624" i="1"/>
  <c r="T624" i="1"/>
  <c r="S624" i="1"/>
  <c r="R624" i="1"/>
  <c r="P624" i="1"/>
  <c r="O624" i="1"/>
  <c r="V623" i="1"/>
  <c r="U623" i="1"/>
  <c r="T623" i="1"/>
  <c r="S623" i="1"/>
  <c r="R623" i="1"/>
  <c r="P623" i="1"/>
  <c r="O623" i="1"/>
  <c r="V622" i="1"/>
  <c r="U622" i="1"/>
  <c r="T622" i="1"/>
  <c r="S622" i="1"/>
  <c r="R622" i="1"/>
  <c r="P622" i="1"/>
  <c r="O622" i="1"/>
  <c r="V621" i="1"/>
  <c r="U621" i="1"/>
  <c r="T621" i="1"/>
  <c r="S621" i="1"/>
  <c r="R621" i="1"/>
  <c r="P621" i="1"/>
  <c r="O621" i="1"/>
  <c r="V620" i="1"/>
  <c r="U620" i="1"/>
  <c r="T620" i="1"/>
  <c r="S620" i="1"/>
  <c r="R620" i="1"/>
  <c r="P620" i="1"/>
  <c r="O620" i="1"/>
  <c r="V619" i="1"/>
  <c r="U619" i="1"/>
  <c r="T619" i="1"/>
  <c r="S619" i="1"/>
  <c r="R619" i="1"/>
  <c r="P619" i="1"/>
  <c r="O619" i="1"/>
  <c r="V618" i="1"/>
  <c r="U618" i="1"/>
  <c r="T618" i="1"/>
  <c r="S618" i="1"/>
  <c r="R618" i="1"/>
  <c r="P618" i="1"/>
  <c r="O618" i="1"/>
  <c r="V617" i="1"/>
  <c r="U617" i="1"/>
  <c r="T617" i="1"/>
  <c r="S617" i="1"/>
  <c r="R617" i="1"/>
  <c r="P617" i="1"/>
  <c r="O617" i="1"/>
  <c r="V616" i="1"/>
  <c r="U616" i="1"/>
  <c r="T616" i="1"/>
  <c r="S616" i="1"/>
  <c r="R616" i="1"/>
  <c r="P616" i="1"/>
  <c r="O616" i="1"/>
  <c r="V615" i="1"/>
  <c r="U615" i="1"/>
  <c r="T615" i="1"/>
  <c r="S615" i="1"/>
  <c r="R615" i="1"/>
  <c r="P615" i="1"/>
  <c r="O615" i="1"/>
  <c r="V614" i="1"/>
  <c r="U614" i="1"/>
  <c r="T614" i="1"/>
  <c r="S614" i="1"/>
  <c r="R614" i="1"/>
  <c r="P614" i="1"/>
  <c r="O614" i="1"/>
  <c r="V613" i="1"/>
  <c r="U613" i="1"/>
  <c r="T613" i="1"/>
  <c r="S613" i="1"/>
  <c r="R613" i="1"/>
  <c r="P613" i="1"/>
  <c r="O613" i="1"/>
  <c r="V612" i="1"/>
  <c r="U612" i="1"/>
  <c r="T612" i="1"/>
  <c r="S612" i="1"/>
  <c r="R612" i="1"/>
  <c r="P612" i="1"/>
  <c r="O612" i="1"/>
  <c r="V611" i="1"/>
  <c r="U611" i="1"/>
  <c r="T611" i="1"/>
  <c r="S611" i="1"/>
  <c r="R611" i="1"/>
  <c r="P611" i="1"/>
  <c r="O611" i="1"/>
  <c r="V610" i="1"/>
  <c r="U610" i="1"/>
  <c r="T610" i="1"/>
  <c r="S610" i="1"/>
  <c r="R610" i="1"/>
  <c r="P610" i="1"/>
  <c r="O610" i="1"/>
  <c r="V609" i="1"/>
  <c r="U609" i="1"/>
  <c r="T609" i="1"/>
  <c r="S609" i="1"/>
  <c r="R609" i="1"/>
  <c r="P609" i="1"/>
  <c r="O609" i="1"/>
  <c r="V608" i="1"/>
  <c r="U608" i="1"/>
  <c r="T608" i="1"/>
  <c r="S608" i="1"/>
  <c r="R608" i="1"/>
  <c r="P608" i="1"/>
  <c r="O608" i="1"/>
  <c r="V607" i="1"/>
  <c r="U607" i="1"/>
  <c r="T607" i="1"/>
  <c r="S607" i="1"/>
  <c r="R607" i="1"/>
  <c r="P607" i="1"/>
  <c r="O607" i="1"/>
  <c r="V606" i="1"/>
  <c r="U606" i="1"/>
  <c r="T606" i="1"/>
  <c r="S606" i="1"/>
  <c r="R606" i="1"/>
  <c r="P606" i="1"/>
  <c r="O606" i="1"/>
  <c r="V605" i="1"/>
  <c r="U605" i="1"/>
  <c r="T605" i="1"/>
  <c r="S605" i="1"/>
  <c r="R605" i="1"/>
  <c r="P605" i="1"/>
  <c r="O605" i="1"/>
  <c r="V604" i="1"/>
  <c r="U604" i="1"/>
  <c r="T604" i="1"/>
  <c r="S604" i="1"/>
  <c r="R604" i="1"/>
  <c r="P604" i="1"/>
  <c r="O604" i="1"/>
  <c r="V603" i="1"/>
  <c r="U603" i="1"/>
  <c r="T603" i="1"/>
  <c r="S603" i="1"/>
  <c r="R603" i="1"/>
  <c r="P603" i="1"/>
  <c r="O603" i="1"/>
  <c r="V602" i="1"/>
  <c r="U602" i="1"/>
  <c r="T602" i="1"/>
  <c r="S602" i="1"/>
  <c r="R602" i="1"/>
  <c r="P602" i="1"/>
  <c r="O602" i="1"/>
  <c r="V601" i="1"/>
  <c r="U601" i="1"/>
  <c r="T601" i="1"/>
  <c r="S601" i="1"/>
  <c r="R601" i="1"/>
  <c r="P601" i="1"/>
  <c r="O601" i="1"/>
  <c r="V600" i="1"/>
  <c r="U600" i="1"/>
  <c r="T600" i="1"/>
  <c r="S600" i="1"/>
  <c r="R600" i="1"/>
  <c r="P600" i="1"/>
  <c r="O600" i="1"/>
  <c r="V599" i="1"/>
  <c r="U599" i="1"/>
  <c r="T599" i="1"/>
  <c r="S599" i="1"/>
  <c r="R599" i="1"/>
  <c r="P599" i="1"/>
  <c r="O599" i="1"/>
  <c r="V598" i="1"/>
  <c r="U598" i="1"/>
  <c r="T598" i="1"/>
  <c r="S598" i="1"/>
  <c r="R598" i="1"/>
  <c r="P598" i="1"/>
  <c r="O598" i="1"/>
  <c r="V597" i="1"/>
  <c r="U597" i="1"/>
  <c r="T597" i="1"/>
  <c r="S597" i="1"/>
  <c r="R597" i="1"/>
  <c r="P597" i="1"/>
  <c r="O597" i="1"/>
  <c r="V596" i="1"/>
  <c r="U596" i="1"/>
  <c r="T596" i="1"/>
  <c r="S596" i="1"/>
  <c r="R596" i="1"/>
  <c r="P596" i="1"/>
  <c r="O596" i="1"/>
  <c r="V595" i="1"/>
  <c r="U595" i="1"/>
  <c r="T595" i="1"/>
  <c r="S595" i="1"/>
  <c r="R595" i="1"/>
  <c r="P595" i="1"/>
  <c r="O595" i="1"/>
  <c r="V594" i="1"/>
  <c r="U594" i="1"/>
  <c r="T594" i="1"/>
  <c r="S594" i="1"/>
  <c r="R594" i="1"/>
  <c r="P594" i="1"/>
  <c r="O594" i="1"/>
  <c r="V593" i="1"/>
  <c r="U593" i="1"/>
  <c r="T593" i="1"/>
  <c r="S593" i="1"/>
  <c r="R593" i="1"/>
  <c r="P593" i="1"/>
  <c r="O593" i="1"/>
  <c r="V592" i="1"/>
  <c r="U592" i="1"/>
  <c r="T592" i="1"/>
  <c r="S592" i="1"/>
  <c r="R592" i="1"/>
  <c r="P592" i="1"/>
  <c r="O592" i="1"/>
  <c r="V591" i="1"/>
  <c r="U591" i="1"/>
  <c r="T591" i="1"/>
  <c r="S591" i="1"/>
  <c r="R591" i="1"/>
  <c r="P591" i="1"/>
  <c r="O591" i="1"/>
  <c r="V590" i="1"/>
  <c r="U590" i="1"/>
  <c r="T590" i="1"/>
  <c r="S590" i="1"/>
  <c r="R590" i="1"/>
  <c r="P590" i="1"/>
  <c r="O590" i="1"/>
  <c r="V589" i="1"/>
  <c r="U589" i="1"/>
  <c r="T589" i="1"/>
  <c r="S589" i="1"/>
  <c r="R589" i="1"/>
  <c r="P589" i="1"/>
  <c r="O589" i="1"/>
  <c r="V588" i="1"/>
  <c r="U588" i="1"/>
  <c r="T588" i="1"/>
  <c r="S588" i="1"/>
  <c r="R588" i="1"/>
  <c r="P588" i="1"/>
  <c r="O588" i="1"/>
  <c r="V587" i="1"/>
  <c r="U587" i="1"/>
  <c r="T587" i="1"/>
  <c r="S587" i="1"/>
  <c r="R587" i="1"/>
  <c r="P587" i="1"/>
  <c r="O587" i="1"/>
  <c r="V586" i="1"/>
  <c r="U586" i="1"/>
  <c r="T586" i="1"/>
  <c r="S586" i="1"/>
  <c r="R586" i="1"/>
  <c r="P586" i="1"/>
  <c r="O586" i="1"/>
  <c r="V585" i="1"/>
  <c r="U585" i="1"/>
  <c r="T585" i="1"/>
  <c r="S585" i="1"/>
  <c r="R585" i="1"/>
  <c r="P585" i="1"/>
  <c r="O585" i="1"/>
  <c r="V584" i="1"/>
  <c r="U584" i="1"/>
  <c r="T584" i="1"/>
  <c r="S584" i="1"/>
  <c r="R584" i="1"/>
  <c r="P584" i="1"/>
  <c r="O584" i="1"/>
  <c r="V583" i="1"/>
  <c r="U583" i="1"/>
  <c r="T583" i="1"/>
  <c r="S583" i="1"/>
  <c r="R583" i="1"/>
  <c r="P583" i="1"/>
  <c r="O583" i="1"/>
  <c r="V582" i="1"/>
  <c r="U582" i="1"/>
  <c r="T582" i="1"/>
  <c r="S582" i="1"/>
  <c r="R582" i="1"/>
  <c r="P582" i="1"/>
  <c r="O582" i="1"/>
  <c r="V581" i="1"/>
  <c r="U581" i="1"/>
  <c r="T581" i="1"/>
  <c r="S581" i="1"/>
  <c r="R581" i="1"/>
  <c r="P581" i="1"/>
  <c r="O581" i="1"/>
  <c r="V580" i="1"/>
  <c r="U580" i="1"/>
  <c r="T580" i="1"/>
  <c r="S580" i="1"/>
  <c r="R580" i="1"/>
  <c r="P580" i="1"/>
  <c r="O580" i="1"/>
  <c r="V579" i="1"/>
  <c r="U579" i="1"/>
  <c r="T579" i="1"/>
  <c r="S579" i="1"/>
  <c r="R579" i="1"/>
  <c r="P579" i="1"/>
  <c r="O579" i="1"/>
  <c r="V578" i="1"/>
  <c r="U578" i="1"/>
  <c r="T578" i="1"/>
  <c r="S578" i="1"/>
  <c r="R578" i="1"/>
  <c r="P578" i="1"/>
  <c r="O578" i="1"/>
  <c r="V577" i="1"/>
  <c r="U577" i="1"/>
  <c r="T577" i="1"/>
  <c r="S577" i="1"/>
  <c r="R577" i="1"/>
  <c r="P577" i="1"/>
  <c r="O577" i="1"/>
  <c r="V576" i="1"/>
  <c r="U576" i="1"/>
  <c r="T576" i="1"/>
  <c r="S576" i="1"/>
  <c r="R576" i="1"/>
  <c r="P576" i="1"/>
  <c r="O576" i="1"/>
  <c r="V575" i="1"/>
  <c r="U575" i="1"/>
  <c r="T575" i="1"/>
  <c r="S575" i="1"/>
  <c r="R575" i="1"/>
  <c r="P575" i="1"/>
  <c r="O575" i="1"/>
  <c r="V574" i="1"/>
  <c r="U574" i="1"/>
  <c r="T574" i="1"/>
  <c r="S574" i="1"/>
  <c r="R574" i="1"/>
  <c r="P574" i="1"/>
  <c r="O574" i="1"/>
  <c r="V573" i="1"/>
  <c r="U573" i="1"/>
  <c r="T573" i="1"/>
  <c r="S573" i="1"/>
  <c r="R573" i="1"/>
  <c r="P573" i="1"/>
  <c r="O573" i="1"/>
  <c r="V572" i="1"/>
  <c r="U572" i="1"/>
  <c r="T572" i="1"/>
  <c r="S572" i="1"/>
  <c r="R572" i="1"/>
  <c r="P572" i="1"/>
  <c r="O572" i="1"/>
  <c r="V571" i="1"/>
  <c r="U571" i="1"/>
  <c r="T571" i="1"/>
  <c r="S571" i="1"/>
  <c r="R571" i="1"/>
  <c r="P571" i="1"/>
  <c r="O571" i="1"/>
  <c r="V570" i="1"/>
  <c r="U570" i="1"/>
  <c r="T570" i="1"/>
  <c r="S570" i="1"/>
  <c r="R570" i="1"/>
  <c r="P570" i="1"/>
  <c r="O570" i="1"/>
  <c r="V569" i="1"/>
  <c r="U569" i="1"/>
  <c r="T569" i="1"/>
  <c r="S569" i="1"/>
  <c r="R569" i="1"/>
  <c r="P569" i="1"/>
  <c r="O569" i="1"/>
  <c r="V568" i="1"/>
  <c r="U568" i="1"/>
  <c r="T568" i="1"/>
  <c r="S568" i="1"/>
  <c r="R568" i="1"/>
  <c r="P568" i="1"/>
  <c r="O568" i="1"/>
  <c r="V567" i="1"/>
  <c r="U567" i="1"/>
  <c r="T567" i="1"/>
  <c r="S567" i="1"/>
  <c r="R567" i="1"/>
  <c r="P567" i="1"/>
  <c r="O567" i="1"/>
  <c r="V566" i="1"/>
  <c r="U566" i="1"/>
  <c r="T566" i="1"/>
  <c r="S566" i="1"/>
  <c r="R566" i="1"/>
  <c r="P566" i="1"/>
  <c r="O566" i="1"/>
  <c r="V565" i="1"/>
  <c r="U565" i="1"/>
  <c r="T565" i="1"/>
  <c r="S565" i="1"/>
  <c r="R565" i="1"/>
  <c r="P565" i="1"/>
  <c r="O565" i="1"/>
  <c r="V564" i="1"/>
  <c r="U564" i="1"/>
  <c r="T564" i="1"/>
  <c r="S564" i="1"/>
  <c r="R564" i="1"/>
  <c r="P564" i="1"/>
  <c r="O564" i="1"/>
  <c r="V563" i="1"/>
  <c r="U563" i="1"/>
  <c r="T563" i="1"/>
  <c r="S563" i="1"/>
  <c r="R563" i="1"/>
  <c r="P563" i="1"/>
  <c r="O563" i="1"/>
  <c r="V562" i="1"/>
  <c r="U562" i="1"/>
  <c r="T562" i="1"/>
  <c r="S562" i="1"/>
  <c r="R562" i="1"/>
  <c r="P562" i="1"/>
  <c r="O562" i="1"/>
  <c r="V561" i="1"/>
  <c r="U561" i="1"/>
  <c r="T561" i="1"/>
  <c r="S561" i="1"/>
  <c r="R561" i="1"/>
  <c r="P561" i="1"/>
  <c r="O561" i="1"/>
  <c r="V560" i="1"/>
  <c r="U560" i="1"/>
  <c r="T560" i="1"/>
  <c r="S560" i="1"/>
  <c r="R560" i="1"/>
  <c r="P560" i="1"/>
  <c r="O560" i="1"/>
  <c r="V559" i="1"/>
  <c r="U559" i="1"/>
  <c r="T559" i="1"/>
  <c r="S559" i="1"/>
  <c r="R559" i="1"/>
  <c r="P559" i="1"/>
  <c r="O559" i="1"/>
  <c r="V558" i="1"/>
  <c r="U558" i="1"/>
  <c r="T558" i="1"/>
  <c r="S558" i="1"/>
  <c r="R558" i="1"/>
  <c r="P558" i="1"/>
  <c r="O558" i="1"/>
  <c r="V557" i="1"/>
  <c r="U557" i="1"/>
  <c r="T557" i="1"/>
  <c r="S557" i="1"/>
  <c r="R557" i="1"/>
  <c r="P557" i="1"/>
  <c r="O557" i="1"/>
  <c r="V556" i="1"/>
  <c r="U556" i="1"/>
  <c r="T556" i="1"/>
  <c r="S556" i="1"/>
  <c r="R556" i="1"/>
  <c r="P556" i="1"/>
  <c r="O556" i="1"/>
  <c r="V555" i="1"/>
  <c r="U555" i="1"/>
  <c r="T555" i="1"/>
  <c r="S555" i="1"/>
  <c r="R555" i="1"/>
  <c r="P555" i="1"/>
  <c r="O555" i="1"/>
  <c r="V554" i="1"/>
  <c r="U554" i="1"/>
  <c r="T554" i="1"/>
  <c r="S554" i="1"/>
  <c r="R554" i="1"/>
  <c r="P554" i="1"/>
  <c r="O554" i="1"/>
  <c r="V553" i="1"/>
  <c r="U553" i="1"/>
  <c r="T553" i="1"/>
  <c r="S553" i="1"/>
  <c r="R553" i="1"/>
  <c r="P553" i="1"/>
  <c r="O553" i="1"/>
  <c r="V552" i="1"/>
  <c r="U552" i="1"/>
  <c r="T552" i="1"/>
  <c r="S552" i="1"/>
  <c r="R552" i="1"/>
  <c r="P552" i="1"/>
  <c r="O552" i="1"/>
  <c r="V551" i="1"/>
  <c r="U551" i="1"/>
  <c r="T551" i="1"/>
  <c r="S551" i="1"/>
  <c r="R551" i="1"/>
  <c r="P551" i="1"/>
  <c r="O551" i="1"/>
  <c r="V550" i="1"/>
  <c r="U550" i="1"/>
  <c r="T550" i="1"/>
  <c r="S550" i="1"/>
  <c r="R550" i="1"/>
  <c r="P550" i="1"/>
  <c r="O550" i="1"/>
  <c r="V549" i="1"/>
  <c r="U549" i="1"/>
  <c r="T549" i="1"/>
  <c r="S549" i="1"/>
  <c r="R549" i="1"/>
  <c r="P549" i="1"/>
  <c r="O549" i="1"/>
  <c r="V548" i="1"/>
  <c r="U548" i="1"/>
  <c r="T548" i="1"/>
  <c r="S548" i="1"/>
  <c r="R548" i="1"/>
  <c r="P548" i="1"/>
  <c r="O548" i="1"/>
  <c r="V547" i="1"/>
  <c r="U547" i="1"/>
  <c r="T547" i="1"/>
  <c r="S547" i="1"/>
  <c r="R547" i="1"/>
  <c r="P547" i="1"/>
  <c r="O547" i="1"/>
  <c r="V546" i="1"/>
  <c r="U546" i="1"/>
  <c r="T546" i="1"/>
  <c r="S546" i="1"/>
  <c r="R546" i="1"/>
  <c r="P546" i="1"/>
  <c r="O546" i="1"/>
  <c r="V545" i="1"/>
  <c r="U545" i="1"/>
  <c r="T545" i="1"/>
  <c r="S545" i="1"/>
  <c r="R545" i="1"/>
  <c r="P545" i="1"/>
  <c r="O545" i="1"/>
  <c r="V544" i="1"/>
  <c r="U544" i="1"/>
  <c r="T544" i="1"/>
  <c r="S544" i="1"/>
  <c r="R544" i="1"/>
  <c r="P544" i="1"/>
  <c r="O544" i="1"/>
  <c r="V543" i="1"/>
  <c r="U543" i="1"/>
  <c r="T543" i="1"/>
  <c r="S543" i="1"/>
  <c r="R543" i="1"/>
  <c r="P543" i="1"/>
  <c r="O543" i="1"/>
  <c r="V542" i="1"/>
  <c r="U542" i="1"/>
  <c r="T542" i="1"/>
  <c r="S542" i="1"/>
  <c r="R542" i="1"/>
  <c r="P542" i="1"/>
  <c r="O542" i="1"/>
  <c r="V541" i="1"/>
  <c r="U541" i="1"/>
  <c r="T541" i="1"/>
  <c r="S541" i="1"/>
  <c r="R541" i="1"/>
  <c r="P541" i="1"/>
  <c r="O541" i="1"/>
  <c r="V540" i="1"/>
  <c r="U540" i="1"/>
  <c r="T540" i="1"/>
  <c r="S540" i="1"/>
  <c r="R540" i="1"/>
  <c r="P540" i="1"/>
  <c r="O540" i="1"/>
  <c r="V539" i="1"/>
  <c r="U539" i="1"/>
  <c r="T539" i="1"/>
  <c r="S539" i="1"/>
  <c r="R539" i="1"/>
  <c r="P539" i="1"/>
  <c r="O539" i="1"/>
  <c r="V538" i="1"/>
  <c r="U538" i="1"/>
  <c r="T538" i="1"/>
  <c r="S538" i="1"/>
  <c r="R538" i="1"/>
  <c r="P538" i="1"/>
  <c r="O538" i="1"/>
  <c r="V537" i="1"/>
  <c r="U537" i="1"/>
  <c r="T537" i="1"/>
  <c r="S537" i="1"/>
  <c r="R537" i="1"/>
  <c r="P537" i="1"/>
  <c r="O537" i="1"/>
  <c r="V536" i="1"/>
  <c r="U536" i="1"/>
  <c r="T536" i="1"/>
  <c r="S536" i="1"/>
  <c r="R536" i="1"/>
  <c r="P536" i="1"/>
  <c r="O536" i="1"/>
  <c r="V535" i="1"/>
  <c r="U535" i="1"/>
  <c r="T535" i="1"/>
  <c r="S535" i="1"/>
  <c r="R535" i="1"/>
  <c r="P535" i="1"/>
  <c r="O535" i="1"/>
  <c r="V534" i="1"/>
  <c r="U534" i="1"/>
  <c r="T534" i="1"/>
  <c r="S534" i="1"/>
  <c r="R534" i="1"/>
  <c r="P534" i="1"/>
  <c r="O534" i="1"/>
  <c r="V533" i="1"/>
  <c r="U533" i="1"/>
  <c r="T533" i="1"/>
  <c r="S533" i="1"/>
  <c r="R533" i="1"/>
  <c r="P533" i="1"/>
  <c r="O533" i="1"/>
  <c r="V532" i="1"/>
  <c r="U532" i="1"/>
  <c r="T532" i="1"/>
  <c r="S532" i="1"/>
  <c r="R532" i="1"/>
  <c r="P532" i="1"/>
  <c r="O532" i="1"/>
  <c r="V531" i="1"/>
  <c r="U531" i="1"/>
  <c r="T531" i="1"/>
  <c r="S531" i="1"/>
  <c r="R531" i="1"/>
  <c r="P531" i="1"/>
  <c r="O531" i="1"/>
  <c r="V530" i="1"/>
  <c r="U530" i="1"/>
  <c r="T530" i="1"/>
  <c r="S530" i="1"/>
  <c r="R530" i="1"/>
  <c r="P530" i="1"/>
  <c r="O530" i="1"/>
  <c r="V529" i="1"/>
  <c r="U529" i="1"/>
  <c r="T529" i="1"/>
  <c r="S529" i="1"/>
  <c r="R529" i="1"/>
  <c r="P529" i="1"/>
  <c r="O529" i="1"/>
  <c r="V528" i="1"/>
  <c r="U528" i="1"/>
  <c r="T528" i="1"/>
  <c r="S528" i="1"/>
  <c r="R528" i="1"/>
  <c r="P528" i="1"/>
  <c r="O528" i="1"/>
  <c r="V527" i="1"/>
  <c r="U527" i="1"/>
  <c r="T527" i="1"/>
  <c r="S527" i="1"/>
  <c r="R527" i="1"/>
  <c r="P527" i="1"/>
  <c r="O527" i="1"/>
  <c r="V526" i="1"/>
  <c r="U526" i="1"/>
  <c r="T526" i="1"/>
  <c r="S526" i="1"/>
  <c r="R526" i="1"/>
  <c r="P526" i="1"/>
  <c r="O526" i="1"/>
  <c r="V525" i="1"/>
  <c r="U525" i="1"/>
  <c r="T525" i="1"/>
  <c r="S525" i="1"/>
  <c r="R525" i="1"/>
  <c r="P525" i="1"/>
  <c r="O525" i="1"/>
  <c r="V524" i="1"/>
  <c r="U524" i="1"/>
  <c r="T524" i="1"/>
  <c r="S524" i="1"/>
  <c r="R524" i="1"/>
  <c r="P524" i="1"/>
  <c r="O524" i="1"/>
  <c r="V523" i="1"/>
  <c r="U523" i="1"/>
  <c r="T523" i="1"/>
  <c r="S523" i="1"/>
  <c r="R523" i="1"/>
  <c r="P523" i="1"/>
  <c r="O523" i="1"/>
  <c r="V522" i="1"/>
  <c r="U522" i="1"/>
  <c r="T522" i="1"/>
  <c r="S522" i="1"/>
  <c r="R522" i="1"/>
  <c r="P522" i="1"/>
  <c r="O522" i="1"/>
  <c r="V521" i="1"/>
  <c r="U521" i="1"/>
  <c r="T521" i="1"/>
  <c r="S521" i="1"/>
  <c r="R521" i="1"/>
  <c r="P521" i="1"/>
  <c r="O521" i="1"/>
  <c r="V520" i="1"/>
  <c r="U520" i="1"/>
  <c r="T520" i="1"/>
  <c r="S520" i="1"/>
  <c r="R520" i="1"/>
  <c r="P520" i="1"/>
  <c r="O520" i="1"/>
  <c r="V519" i="1"/>
  <c r="U519" i="1"/>
  <c r="T519" i="1"/>
  <c r="S519" i="1"/>
  <c r="R519" i="1"/>
  <c r="P519" i="1"/>
  <c r="O519" i="1"/>
  <c r="V518" i="1"/>
  <c r="U518" i="1"/>
  <c r="T518" i="1"/>
  <c r="S518" i="1"/>
  <c r="R518" i="1"/>
  <c r="P518" i="1"/>
  <c r="O518" i="1"/>
  <c r="V517" i="1"/>
  <c r="U517" i="1"/>
  <c r="T517" i="1"/>
  <c r="S517" i="1"/>
  <c r="R517" i="1"/>
  <c r="P517" i="1"/>
  <c r="O517" i="1"/>
  <c r="V516" i="1"/>
  <c r="U516" i="1"/>
  <c r="T516" i="1"/>
  <c r="S516" i="1"/>
  <c r="R516" i="1"/>
  <c r="P516" i="1"/>
  <c r="O516" i="1"/>
  <c r="V515" i="1"/>
  <c r="U515" i="1"/>
  <c r="T515" i="1"/>
  <c r="S515" i="1"/>
  <c r="R515" i="1"/>
  <c r="P515" i="1"/>
  <c r="O515" i="1"/>
  <c r="V514" i="1"/>
  <c r="U514" i="1"/>
  <c r="T514" i="1"/>
  <c r="S514" i="1"/>
  <c r="R514" i="1"/>
  <c r="P514" i="1"/>
  <c r="O514" i="1"/>
  <c r="V513" i="1"/>
  <c r="U513" i="1"/>
  <c r="T513" i="1"/>
  <c r="S513" i="1"/>
  <c r="R513" i="1"/>
  <c r="P513" i="1"/>
  <c r="O513" i="1"/>
  <c r="V512" i="1"/>
  <c r="U512" i="1"/>
  <c r="T512" i="1"/>
  <c r="S512" i="1"/>
  <c r="R512" i="1"/>
  <c r="P512" i="1"/>
  <c r="O512" i="1"/>
  <c r="V511" i="1"/>
  <c r="U511" i="1"/>
  <c r="T511" i="1"/>
  <c r="S511" i="1"/>
  <c r="R511" i="1"/>
  <c r="P511" i="1"/>
  <c r="O511" i="1"/>
  <c r="V510" i="1"/>
  <c r="U510" i="1"/>
  <c r="T510" i="1"/>
  <c r="S510" i="1"/>
  <c r="R510" i="1"/>
  <c r="P510" i="1"/>
  <c r="O510" i="1"/>
  <c r="V509" i="1"/>
  <c r="U509" i="1"/>
  <c r="T509" i="1"/>
  <c r="S509" i="1"/>
  <c r="R509" i="1"/>
  <c r="P509" i="1"/>
  <c r="O509" i="1"/>
  <c r="V508" i="1"/>
  <c r="U508" i="1"/>
  <c r="T508" i="1"/>
  <c r="S508" i="1"/>
  <c r="R508" i="1"/>
  <c r="P508" i="1"/>
  <c r="O508" i="1"/>
  <c r="V507" i="1"/>
  <c r="U507" i="1"/>
  <c r="T507" i="1"/>
  <c r="S507" i="1"/>
  <c r="R507" i="1"/>
  <c r="P507" i="1"/>
  <c r="O507" i="1"/>
  <c r="V506" i="1"/>
  <c r="U506" i="1"/>
  <c r="T506" i="1"/>
  <c r="S506" i="1"/>
  <c r="R506" i="1"/>
  <c r="P506" i="1"/>
  <c r="O506" i="1"/>
  <c r="V505" i="1"/>
  <c r="U505" i="1"/>
  <c r="T505" i="1"/>
  <c r="S505" i="1"/>
  <c r="R505" i="1"/>
  <c r="P505" i="1"/>
  <c r="O505" i="1"/>
  <c r="V504" i="1"/>
  <c r="U504" i="1"/>
  <c r="T504" i="1"/>
  <c r="S504" i="1"/>
  <c r="R504" i="1"/>
  <c r="P504" i="1"/>
  <c r="O504" i="1"/>
  <c r="V503" i="1"/>
  <c r="U503" i="1"/>
  <c r="T503" i="1"/>
  <c r="S503" i="1"/>
  <c r="R503" i="1"/>
  <c r="P503" i="1"/>
  <c r="O503" i="1"/>
  <c r="V502" i="1"/>
  <c r="U502" i="1"/>
  <c r="T502" i="1"/>
  <c r="S502" i="1"/>
  <c r="R502" i="1"/>
  <c r="P502" i="1"/>
  <c r="O502" i="1"/>
  <c r="V501" i="1"/>
  <c r="U501" i="1"/>
  <c r="T501" i="1"/>
  <c r="S501" i="1"/>
  <c r="R501" i="1"/>
  <c r="P501" i="1"/>
  <c r="O501" i="1"/>
  <c r="V500" i="1"/>
  <c r="U500" i="1"/>
  <c r="T500" i="1"/>
  <c r="S500" i="1"/>
  <c r="R500" i="1"/>
  <c r="P500" i="1"/>
  <c r="O500" i="1"/>
  <c r="V499" i="1"/>
  <c r="U499" i="1"/>
  <c r="T499" i="1"/>
  <c r="S499" i="1"/>
  <c r="R499" i="1"/>
  <c r="P499" i="1"/>
  <c r="O499" i="1"/>
  <c r="V498" i="1"/>
  <c r="U498" i="1"/>
  <c r="T498" i="1"/>
  <c r="S498" i="1"/>
  <c r="R498" i="1"/>
  <c r="P498" i="1"/>
  <c r="O498" i="1"/>
  <c r="V497" i="1"/>
  <c r="U497" i="1"/>
  <c r="T497" i="1"/>
  <c r="S497" i="1"/>
  <c r="R497" i="1"/>
  <c r="P497" i="1"/>
  <c r="O497" i="1"/>
  <c r="V496" i="1"/>
  <c r="U496" i="1"/>
  <c r="T496" i="1"/>
  <c r="S496" i="1"/>
  <c r="R496" i="1"/>
  <c r="P496" i="1"/>
  <c r="O496" i="1"/>
  <c r="V495" i="1"/>
  <c r="U495" i="1"/>
  <c r="T495" i="1"/>
  <c r="S495" i="1"/>
  <c r="R495" i="1"/>
  <c r="P495" i="1"/>
  <c r="O495" i="1"/>
  <c r="V494" i="1"/>
  <c r="U494" i="1"/>
  <c r="T494" i="1"/>
  <c r="S494" i="1"/>
  <c r="R494" i="1"/>
  <c r="P494" i="1"/>
  <c r="O494" i="1"/>
  <c r="V493" i="1"/>
  <c r="U493" i="1"/>
  <c r="T493" i="1"/>
  <c r="S493" i="1"/>
  <c r="R493" i="1"/>
  <c r="P493" i="1"/>
  <c r="O493" i="1"/>
  <c r="V492" i="1"/>
  <c r="U492" i="1"/>
  <c r="T492" i="1"/>
  <c r="S492" i="1"/>
  <c r="R492" i="1"/>
  <c r="P492" i="1"/>
  <c r="O492" i="1"/>
  <c r="V491" i="1"/>
  <c r="U491" i="1"/>
  <c r="T491" i="1"/>
  <c r="S491" i="1"/>
  <c r="R491" i="1"/>
  <c r="P491" i="1"/>
  <c r="O491" i="1"/>
  <c r="V490" i="1"/>
  <c r="U490" i="1"/>
  <c r="T490" i="1"/>
  <c r="S490" i="1"/>
  <c r="R490" i="1"/>
  <c r="P490" i="1"/>
  <c r="O490" i="1"/>
  <c r="V489" i="1"/>
  <c r="U489" i="1"/>
  <c r="T489" i="1"/>
  <c r="S489" i="1"/>
  <c r="R489" i="1"/>
  <c r="P489" i="1"/>
  <c r="O489" i="1"/>
  <c r="V488" i="1"/>
  <c r="U488" i="1"/>
  <c r="T488" i="1"/>
  <c r="S488" i="1"/>
  <c r="R488" i="1"/>
  <c r="P488" i="1"/>
  <c r="O488" i="1"/>
  <c r="V487" i="1"/>
  <c r="U487" i="1"/>
  <c r="T487" i="1"/>
  <c r="S487" i="1"/>
  <c r="R487" i="1"/>
  <c r="P487" i="1"/>
  <c r="O487" i="1"/>
  <c r="V486" i="1"/>
  <c r="U486" i="1"/>
  <c r="T486" i="1"/>
  <c r="S486" i="1"/>
  <c r="R486" i="1"/>
  <c r="P486" i="1"/>
  <c r="O486" i="1"/>
  <c r="V485" i="1"/>
  <c r="U485" i="1"/>
  <c r="T485" i="1"/>
  <c r="S485" i="1"/>
  <c r="R485" i="1"/>
  <c r="P485" i="1"/>
  <c r="O485" i="1"/>
  <c r="V484" i="1"/>
  <c r="U484" i="1"/>
  <c r="T484" i="1"/>
  <c r="S484" i="1"/>
  <c r="R484" i="1"/>
  <c r="P484" i="1"/>
  <c r="O484" i="1"/>
  <c r="V483" i="1"/>
  <c r="U483" i="1"/>
  <c r="T483" i="1"/>
  <c r="S483" i="1"/>
  <c r="R483" i="1"/>
  <c r="P483" i="1"/>
  <c r="O483" i="1"/>
  <c r="V482" i="1"/>
  <c r="U482" i="1"/>
  <c r="T482" i="1"/>
  <c r="S482" i="1"/>
  <c r="R482" i="1"/>
  <c r="P482" i="1"/>
  <c r="O482" i="1"/>
  <c r="V481" i="1"/>
  <c r="U481" i="1"/>
  <c r="T481" i="1"/>
  <c r="S481" i="1"/>
  <c r="R481" i="1"/>
  <c r="P481" i="1"/>
  <c r="O481" i="1"/>
  <c r="V480" i="1"/>
  <c r="U480" i="1"/>
  <c r="T480" i="1"/>
  <c r="S480" i="1"/>
  <c r="R480" i="1"/>
  <c r="P480" i="1"/>
  <c r="O480" i="1"/>
  <c r="V479" i="1"/>
  <c r="U479" i="1"/>
  <c r="T479" i="1"/>
  <c r="S479" i="1"/>
  <c r="R479" i="1"/>
  <c r="P479" i="1"/>
  <c r="O479" i="1"/>
  <c r="V478" i="1"/>
  <c r="U478" i="1"/>
  <c r="T478" i="1"/>
  <c r="S478" i="1"/>
  <c r="R478" i="1"/>
  <c r="P478" i="1"/>
  <c r="O478" i="1"/>
  <c r="V477" i="1"/>
  <c r="U477" i="1"/>
  <c r="T477" i="1"/>
  <c r="S477" i="1"/>
  <c r="R477" i="1"/>
  <c r="P477" i="1"/>
  <c r="O477" i="1"/>
  <c r="V476" i="1"/>
  <c r="U476" i="1"/>
  <c r="T476" i="1"/>
  <c r="S476" i="1"/>
  <c r="R476" i="1"/>
  <c r="P476" i="1"/>
  <c r="O476" i="1"/>
  <c r="V475" i="1"/>
  <c r="U475" i="1"/>
  <c r="T475" i="1"/>
  <c r="S475" i="1"/>
  <c r="R475" i="1"/>
  <c r="P475" i="1"/>
  <c r="O475" i="1"/>
  <c r="V474" i="1"/>
  <c r="U474" i="1"/>
  <c r="T474" i="1"/>
  <c r="S474" i="1"/>
  <c r="R474" i="1"/>
  <c r="P474" i="1"/>
  <c r="O474" i="1"/>
  <c r="V473" i="1"/>
  <c r="U473" i="1"/>
  <c r="T473" i="1"/>
  <c r="S473" i="1"/>
  <c r="R473" i="1"/>
  <c r="P473" i="1"/>
  <c r="O473" i="1"/>
  <c r="V472" i="1"/>
  <c r="U472" i="1"/>
  <c r="T472" i="1"/>
  <c r="S472" i="1"/>
  <c r="R472" i="1"/>
  <c r="P472" i="1"/>
  <c r="O472" i="1"/>
  <c r="V471" i="1"/>
  <c r="U471" i="1"/>
  <c r="T471" i="1"/>
  <c r="S471" i="1"/>
  <c r="R471" i="1"/>
  <c r="P471" i="1"/>
  <c r="O471" i="1"/>
  <c r="V470" i="1"/>
  <c r="U470" i="1"/>
  <c r="T470" i="1"/>
  <c r="S470" i="1"/>
  <c r="R470" i="1"/>
  <c r="P470" i="1"/>
  <c r="O470" i="1"/>
  <c r="V469" i="1"/>
  <c r="U469" i="1"/>
  <c r="T469" i="1"/>
  <c r="S469" i="1"/>
  <c r="R469" i="1"/>
  <c r="P469" i="1"/>
  <c r="O469" i="1"/>
  <c r="V468" i="1"/>
  <c r="U468" i="1"/>
  <c r="T468" i="1"/>
  <c r="S468" i="1"/>
  <c r="R468" i="1"/>
  <c r="P468" i="1"/>
  <c r="O468" i="1"/>
  <c r="V467" i="1"/>
  <c r="U467" i="1"/>
  <c r="T467" i="1"/>
  <c r="S467" i="1"/>
  <c r="R467" i="1"/>
  <c r="P467" i="1"/>
  <c r="O467" i="1"/>
  <c r="V466" i="1"/>
  <c r="U466" i="1"/>
  <c r="T466" i="1"/>
  <c r="S466" i="1"/>
  <c r="R466" i="1"/>
  <c r="P466" i="1"/>
  <c r="O466" i="1"/>
  <c r="V465" i="1"/>
  <c r="U465" i="1"/>
  <c r="T465" i="1"/>
  <c r="S465" i="1"/>
  <c r="R465" i="1"/>
  <c r="P465" i="1"/>
  <c r="O465" i="1"/>
  <c r="V464" i="1"/>
  <c r="U464" i="1"/>
  <c r="T464" i="1"/>
  <c r="S464" i="1"/>
  <c r="R464" i="1"/>
  <c r="P464" i="1"/>
  <c r="O464" i="1"/>
  <c r="V463" i="1"/>
  <c r="U463" i="1"/>
  <c r="T463" i="1"/>
  <c r="S463" i="1"/>
  <c r="R463" i="1"/>
  <c r="P463" i="1"/>
  <c r="O463" i="1"/>
  <c r="V462" i="1"/>
  <c r="U462" i="1"/>
  <c r="T462" i="1"/>
  <c r="S462" i="1"/>
  <c r="R462" i="1"/>
  <c r="P462" i="1"/>
  <c r="O462" i="1"/>
  <c r="V461" i="1"/>
  <c r="U461" i="1"/>
  <c r="T461" i="1"/>
  <c r="S461" i="1"/>
  <c r="R461" i="1"/>
  <c r="P461" i="1"/>
  <c r="O461" i="1"/>
  <c r="V460" i="1"/>
  <c r="U460" i="1"/>
  <c r="T460" i="1"/>
  <c r="S460" i="1"/>
  <c r="R460" i="1"/>
  <c r="P460" i="1"/>
  <c r="O460" i="1"/>
  <c r="V459" i="1"/>
  <c r="U459" i="1"/>
  <c r="T459" i="1"/>
  <c r="S459" i="1"/>
  <c r="R459" i="1"/>
  <c r="P459" i="1"/>
  <c r="O459" i="1"/>
  <c r="V458" i="1"/>
  <c r="U458" i="1"/>
  <c r="T458" i="1"/>
  <c r="S458" i="1"/>
  <c r="R458" i="1"/>
  <c r="P458" i="1"/>
  <c r="O458" i="1"/>
  <c r="V457" i="1"/>
  <c r="U457" i="1"/>
  <c r="T457" i="1"/>
  <c r="S457" i="1"/>
  <c r="R457" i="1"/>
  <c r="P457" i="1"/>
  <c r="O457" i="1"/>
  <c r="V456" i="1"/>
  <c r="U456" i="1"/>
  <c r="T456" i="1"/>
  <c r="S456" i="1"/>
  <c r="R456" i="1"/>
  <c r="P456" i="1"/>
  <c r="O456" i="1"/>
  <c r="V455" i="1"/>
  <c r="U455" i="1"/>
  <c r="T455" i="1"/>
  <c r="S455" i="1"/>
  <c r="R455" i="1"/>
  <c r="P455" i="1"/>
  <c r="O455" i="1"/>
  <c r="V454" i="1"/>
  <c r="U454" i="1"/>
  <c r="T454" i="1"/>
  <c r="S454" i="1"/>
  <c r="R454" i="1"/>
  <c r="P454" i="1"/>
  <c r="O454" i="1"/>
  <c r="V453" i="1"/>
  <c r="U453" i="1"/>
  <c r="T453" i="1"/>
  <c r="S453" i="1"/>
  <c r="R453" i="1"/>
  <c r="P453" i="1"/>
  <c r="O453" i="1"/>
  <c r="V452" i="1"/>
  <c r="U452" i="1"/>
  <c r="T452" i="1"/>
  <c r="S452" i="1"/>
  <c r="R452" i="1"/>
  <c r="P452" i="1"/>
  <c r="O452" i="1"/>
  <c r="V451" i="1"/>
  <c r="U451" i="1"/>
  <c r="T451" i="1"/>
  <c r="S451" i="1"/>
  <c r="R451" i="1"/>
  <c r="P451" i="1"/>
  <c r="O451" i="1"/>
  <c r="V450" i="1"/>
  <c r="U450" i="1"/>
  <c r="T450" i="1"/>
  <c r="S450" i="1"/>
  <c r="R450" i="1"/>
  <c r="P450" i="1"/>
  <c r="O450" i="1"/>
  <c r="V449" i="1"/>
  <c r="U449" i="1"/>
  <c r="T449" i="1"/>
  <c r="S449" i="1"/>
  <c r="R449" i="1"/>
  <c r="P449" i="1"/>
  <c r="O449" i="1"/>
  <c r="V448" i="1"/>
  <c r="U448" i="1"/>
  <c r="T448" i="1"/>
  <c r="S448" i="1"/>
  <c r="R448" i="1"/>
  <c r="P448" i="1"/>
  <c r="O448" i="1"/>
  <c r="V447" i="1"/>
  <c r="U447" i="1"/>
  <c r="T447" i="1"/>
  <c r="S447" i="1"/>
  <c r="R447" i="1"/>
  <c r="P447" i="1"/>
  <c r="O447" i="1"/>
  <c r="V446" i="1"/>
  <c r="U446" i="1"/>
  <c r="T446" i="1"/>
  <c r="S446" i="1"/>
  <c r="R446" i="1"/>
  <c r="P446" i="1"/>
  <c r="O446" i="1"/>
  <c r="V445" i="1"/>
  <c r="U445" i="1"/>
  <c r="T445" i="1"/>
  <c r="S445" i="1"/>
  <c r="R445" i="1"/>
  <c r="P445" i="1"/>
  <c r="O445" i="1"/>
  <c r="V444" i="1"/>
  <c r="U444" i="1"/>
  <c r="T444" i="1"/>
  <c r="S444" i="1"/>
  <c r="R444" i="1"/>
  <c r="P444" i="1"/>
  <c r="O444" i="1"/>
  <c r="V443" i="1"/>
  <c r="U443" i="1"/>
  <c r="T443" i="1"/>
  <c r="S443" i="1"/>
  <c r="R443" i="1"/>
  <c r="P443" i="1"/>
  <c r="O443" i="1"/>
  <c r="V442" i="1"/>
  <c r="U442" i="1"/>
  <c r="T442" i="1"/>
  <c r="S442" i="1"/>
  <c r="R442" i="1"/>
  <c r="P442" i="1"/>
  <c r="O442" i="1"/>
  <c r="V441" i="1"/>
  <c r="U441" i="1"/>
  <c r="T441" i="1"/>
  <c r="S441" i="1"/>
  <c r="R441" i="1"/>
  <c r="P441" i="1"/>
  <c r="O441" i="1"/>
  <c r="V440" i="1"/>
  <c r="U440" i="1"/>
  <c r="T440" i="1"/>
  <c r="S440" i="1"/>
  <c r="R440" i="1"/>
  <c r="P440" i="1"/>
  <c r="O440" i="1"/>
  <c r="V439" i="1"/>
  <c r="U439" i="1"/>
  <c r="T439" i="1"/>
  <c r="S439" i="1"/>
  <c r="R439" i="1"/>
  <c r="P439" i="1"/>
  <c r="O439" i="1"/>
  <c r="V438" i="1"/>
  <c r="U438" i="1"/>
  <c r="T438" i="1"/>
  <c r="S438" i="1"/>
  <c r="R438" i="1"/>
  <c r="P438" i="1"/>
  <c r="O438" i="1"/>
  <c r="V437" i="1"/>
  <c r="U437" i="1"/>
  <c r="T437" i="1"/>
  <c r="S437" i="1"/>
  <c r="R437" i="1"/>
  <c r="P437" i="1"/>
  <c r="O437" i="1"/>
  <c r="V436" i="1"/>
  <c r="U436" i="1"/>
  <c r="T436" i="1"/>
  <c r="S436" i="1"/>
  <c r="R436" i="1"/>
  <c r="P436" i="1"/>
  <c r="O436" i="1"/>
  <c r="V435" i="1"/>
  <c r="U435" i="1"/>
  <c r="T435" i="1"/>
  <c r="S435" i="1"/>
  <c r="R435" i="1"/>
  <c r="P435" i="1"/>
  <c r="O435" i="1"/>
  <c r="V434" i="1"/>
  <c r="U434" i="1"/>
  <c r="T434" i="1"/>
  <c r="S434" i="1"/>
  <c r="R434" i="1"/>
  <c r="P434" i="1"/>
  <c r="O434" i="1"/>
  <c r="V433" i="1"/>
  <c r="U433" i="1"/>
  <c r="T433" i="1"/>
  <c r="S433" i="1"/>
  <c r="R433" i="1"/>
  <c r="P433" i="1"/>
  <c r="O433" i="1"/>
  <c r="V432" i="1"/>
  <c r="U432" i="1"/>
  <c r="T432" i="1"/>
  <c r="S432" i="1"/>
  <c r="R432" i="1"/>
  <c r="P432" i="1"/>
  <c r="O432" i="1"/>
  <c r="V431" i="1"/>
  <c r="U431" i="1"/>
  <c r="T431" i="1"/>
  <c r="S431" i="1"/>
  <c r="R431" i="1"/>
  <c r="P431" i="1"/>
  <c r="O431" i="1"/>
  <c r="V430" i="1"/>
  <c r="U430" i="1"/>
  <c r="T430" i="1"/>
  <c r="S430" i="1"/>
  <c r="R430" i="1"/>
  <c r="P430" i="1"/>
  <c r="O430" i="1"/>
  <c r="V429" i="1"/>
  <c r="U429" i="1"/>
  <c r="T429" i="1"/>
  <c r="S429" i="1"/>
  <c r="R429" i="1"/>
  <c r="P429" i="1"/>
  <c r="O429" i="1"/>
  <c r="V428" i="1"/>
  <c r="U428" i="1"/>
  <c r="T428" i="1"/>
  <c r="S428" i="1"/>
  <c r="R428" i="1"/>
  <c r="P428" i="1"/>
  <c r="O428" i="1"/>
  <c r="V427" i="1"/>
  <c r="U427" i="1"/>
  <c r="T427" i="1"/>
  <c r="S427" i="1"/>
  <c r="R427" i="1"/>
  <c r="P427" i="1"/>
  <c r="O427" i="1"/>
  <c r="V426" i="1"/>
  <c r="U426" i="1"/>
  <c r="T426" i="1"/>
  <c r="S426" i="1"/>
  <c r="R426" i="1"/>
  <c r="P426" i="1"/>
  <c r="O426" i="1"/>
  <c r="V425" i="1"/>
  <c r="U425" i="1"/>
  <c r="T425" i="1"/>
  <c r="S425" i="1"/>
  <c r="R425" i="1"/>
  <c r="P425" i="1"/>
  <c r="O425" i="1"/>
  <c r="V424" i="1"/>
  <c r="U424" i="1"/>
  <c r="T424" i="1"/>
  <c r="S424" i="1"/>
  <c r="R424" i="1"/>
  <c r="P424" i="1"/>
  <c r="O424" i="1"/>
  <c r="V423" i="1"/>
  <c r="U423" i="1"/>
  <c r="T423" i="1"/>
  <c r="S423" i="1"/>
  <c r="R423" i="1"/>
  <c r="P423" i="1"/>
  <c r="O423" i="1"/>
  <c r="V422" i="1"/>
  <c r="U422" i="1"/>
  <c r="T422" i="1"/>
  <c r="S422" i="1"/>
  <c r="R422" i="1"/>
  <c r="P422" i="1"/>
  <c r="O422" i="1"/>
  <c r="V421" i="1"/>
  <c r="U421" i="1"/>
  <c r="T421" i="1"/>
  <c r="S421" i="1"/>
  <c r="R421" i="1"/>
  <c r="P421" i="1"/>
  <c r="O421" i="1"/>
  <c r="V420" i="1"/>
  <c r="U420" i="1"/>
  <c r="T420" i="1"/>
  <c r="S420" i="1"/>
  <c r="R420" i="1"/>
  <c r="P420" i="1"/>
  <c r="O420" i="1"/>
  <c r="V419" i="1"/>
  <c r="U419" i="1"/>
  <c r="T419" i="1"/>
  <c r="S419" i="1"/>
  <c r="R419" i="1"/>
  <c r="P419" i="1"/>
  <c r="O419" i="1"/>
  <c r="V418" i="1"/>
  <c r="U418" i="1"/>
  <c r="T418" i="1"/>
  <c r="S418" i="1"/>
  <c r="R418" i="1"/>
  <c r="P418" i="1"/>
  <c r="O418" i="1"/>
  <c r="V417" i="1"/>
  <c r="U417" i="1"/>
  <c r="T417" i="1"/>
  <c r="S417" i="1"/>
  <c r="R417" i="1"/>
  <c r="P417" i="1"/>
  <c r="O417" i="1"/>
  <c r="V416" i="1"/>
  <c r="U416" i="1"/>
  <c r="T416" i="1"/>
  <c r="S416" i="1"/>
  <c r="R416" i="1"/>
  <c r="P416" i="1"/>
  <c r="O416" i="1"/>
  <c r="V415" i="1"/>
  <c r="U415" i="1"/>
  <c r="T415" i="1"/>
  <c r="S415" i="1"/>
  <c r="R415" i="1"/>
  <c r="P415" i="1"/>
  <c r="O415" i="1"/>
  <c r="V414" i="1"/>
  <c r="U414" i="1"/>
  <c r="T414" i="1"/>
  <c r="S414" i="1"/>
  <c r="R414" i="1"/>
  <c r="P414" i="1"/>
  <c r="O414" i="1"/>
  <c r="V413" i="1"/>
  <c r="U413" i="1"/>
  <c r="T413" i="1"/>
  <c r="S413" i="1"/>
  <c r="R413" i="1"/>
  <c r="P413" i="1"/>
  <c r="O413" i="1"/>
  <c r="V412" i="1"/>
  <c r="U412" i="1"/>
  <c r="T412" i="1"/>
  <c r="S412" i="1"/>
  <c r="R412" i="1"/>
  <c r="P412" i="1"/>
  <c r="O412" i="1"/>
  <c r="V411" i="1"/>
  <c r="U411" i="1"/>
  <c r="T411" i="1"/>
  <c r="S411" i="1"/>
  <c r="R411" i="1"/>
  <c r="P411" i="1"/>
  <c r="O411" i="1"/>
  <c r="V410" i="1"/>
  <c r="U410" i="1"/>
  <c r="T410" i="1"/>
  <c r="S410" i="1"/>
  <c r="R410" i="1"/>
  <c r="P410" i="1"/>
  <c r="O410" i="1"/>
  <c r="V409" i="1"/>
  <c r="U409" i="1"/>
  <c r="T409" i="1"/>
  <c r="S409" i="1"/>
  <c r="R409" i="1"/>
  <c r="P409" i="1"/>
  <c r="O409" i="1"/>
  <c r="V408" i="1"/>
  <c r="U408" i="1"/>
  <c r="T408" i="1"/>
  <c r="S408" i="1"/>
  <c r="R408" i="1"/>
  <c r="P408" i="1"/>
  <c r="O408" i="1"/>
  <c r="V407" i="1"/>
  <c r="U407" i="1"/>
  <c r="T407" i="1"/>
  <c r="S407" i="1"/>
  <c r="R407" i="1"/>
  <c r="P407" i="1"/>
  <c r="O407" i="1"/>
  <c r="V406" i="1"/>
  <c r="U406" i="1"/>
  <c r="T406" i="1"/>
  <c r="S406" i="1"/>
  <c r="R406" i="1"/>
  <c r="P406" i="1"/>
  <c r="O406" i="1"/>
  <c r="V405" i="1"/>
  <c r="U405" i="1"/>
  <c r="T405" i="1"/>
  <c r="S405" i="1"/>
  <c r="R405" i="1"/>
  <c r="P405" i="1"/>
  <c r="O405" i="1"/>
  <c r="V404" i="1"/>
  <c r="U404" i="1"/>
  <c r="T404" i="1"/>
  <c r="S404" i="1"/>
  <c r="R404" i="1"/>
  <c r="P404" i="1"/>
  <c r="O404" i="1"/>
  <c r="V403" i="1"/>
  <c r="U403" i="1"/>
  <c r="T403" i="1"/>
  <c r="S403" i="1"/>
  <c r="R403" i="1"/>
  <c r="P403" i="1"/>
  <c r="O403" i="1"/>
  <c r="V402" i="1"/>
  <c r="U402" i="1"/>
  <c r="T402" i="1"/>
  <c r="S402" i="1"/>
  <c r="R402" i="1"/>
  <c r="P402" i="1"/>
  <c r="O402" i="1"/>
  <c r="V401" i="1"/>
  <c r="U401" i="1"/>
  <c r="T401" i="1"/>
  <c r="S401" i="1"/>
  <c r="R401" i="1"/>
  <c r="P401" i="1"/>
  <c r="O401" i="1"/>
  <c r="V400" i="1"/>
  <c r="U400" i="1"/>
  <c r="T400" i="1"/>
  <c r="S400" i="1"/>
  <c r="R400" i="1"/>
  <c r="P400" i="1"/>
  <c r="O400" i="1"/>
  <c r="V399" i="1"/>
  <c r="U399" i="1"/>
  <c r="T399" i="1"/>
  <c r="S399" i="1"/>
  <c r="R399" i="1"/>
  <c r="P399" i="1"/>
  <c r="O399" i="1"/>
  <c r="V398" i="1"/>
  <c r="U398" i="1"/>
  <c r="T398" i="1"/>
  <c r="S398" i="1"/>
  <c r="R398" i="1"/>
  <c r="P398" i="1"/>
  <c r="O398" i="1"/>
  <c r="V397" i="1"/>
  <c r="U397" i="1"/>
  <c r="T397" i="1"/>
  <c r="S397" i="1"/>
  <c r="R397" i="1"/>
  <c r="P397" i="1"/>
  <c r="O397" i="1"/>
  <c r="V396" i="1"/>
  <c r="U396" i="1"/>
  <c r="T396" i="1"/>
  <c r="S396" i="1"/>
  <c r="R396" i="1"/>
  <c r="P396" i="1"/>
  <c r="O396" i="1"/>
  <c r="V395" i="1"/>
  <c r="U395" i="1"/>
  <c r="T395" i="1"/>
  <c r="S395" i="1"/>
  <c r="R395" i="1"/>
  <c r="P395" i="1"/>
  <c r="O395" i="1"/>
  <c r="V394" i="1"/>
  <c r="U394" i="1"/>
  <c r="T394" i="1"/>
  <c r="S394" i="1"/>
  <c r="R394" i="1"/>
  <c r="P394" i="1"/>
  <c r="O394" i="1"/>
  <c r="V393" i="1"/>
  <c r="U393" i="1"/>
  <c r="T393" i="1"/>
  <c r="S393" i="1"/>
  <c r="R393" i="1"/>
  <c r="P393" i="1"/>
  <c r="O393" i="1"/>
  <c r="V392" i="1"/>
  <c r="U392" i="1"/>
  <c r="T392" i="1"/>
  <c r="S392" i="1"/>
  <c r="R392" i="1"/>
  <c r="P392" i="1"/>
  <c r="O392" i="1"/>
  <c r="V391" i="1"/>
  <c r="U391" i="1"/>
  <c r="T391" i="1"/>
  <c r="S391" i="1"/>
  <c r="R391" i="1"/>
  <c r="P391" i="1"/>
  <c r="O391" i="1"/>
  <c r="V390" i="1"/>
  <c r="U390" i="1"/>
  <c r="T390" i="1"/>
  <c r="S390" i="1"/>
  <c r="R390" i="1"/>
  <c r="P390" i="1"/>
  <c r="O390" i="1"/>
  <c r="V389" i="1"/>
  <c r="U389" i="1"/>
  <c r="T389" i="1"/>
  <c r="S389" i="1"/>
  <c r="R389" i="1"/>
  <c r="P389" i="1"/>
  <c r="O389" i="1"/>
  <c r="V388" i="1"/>
  <c r="U388" i="1"/>
  <c r="T388" i="1"/>
  <c r="S388" i="1"/>
  <c r="R388" i="1"/>
  <c r="P388" i="1"/>
  <c r="O388" i="1"/>
  <c r="V387" i="1"/>
  <c r="U387" i="1"/>
  <c r="T387" i="1"/>
  <c r="S387" i="1"/>
  <c r="R387" i="1"/>
  <c r="P387" i="1"/>
  <c r="O387" i="1"/>
  <c r="V386" i="1"/>
  <c r="U386" i="1"/>
  <c r="T386" i="1"/>
  <c r="S386" i="1"/>
  <c r="R386" i="1"/>
  <c r="P386" i="1"/>
  <c r="O386" i="1"/>
  <c r="V385" i="1"/>
  <c r="U385" i="1"/>
  <c r="T385" i="1"/>
  <c r="S385" i="1"/>
  <c r="R385" i="1"/>
  <c r="P385" i="1"/>
  <c r="O385" i="1"/>
  <c r="V384" i="1"/>
  <c r="U384" i="1"/>
  <c r="T384" i="1"/>
  <c r="S384" i="1"/>
  <c r="R384" i="1"/>
  <c r="P384" i="1"/>
  <c r="O384" i="1"/>
  <c r="V383" i="1"/>
  <c r="U383" i="1"/>
  <c r="T383" i="1"/>
  <c r="S383" i="1"/>
  <c r="R383" i="1"/>
  <c r="P383" i="1"/>
  <c r="O383" i="1"/>
  <c r="V382" i="1"/>
  <c r="U382" i="1"/>
  <c r="T382" i="1"/>
  <c r="S382" i="1"/>
  <c r="R382" i="1"/>
  <c r="P382" i="1"/>
  <c r="O382" i="1"/>
  <c r="V381" i="1"/>
  <c r="U381" i="1"/>
  <c r="T381" i="1"/>
  <c r="S381" i="1"/>
  <c r="R381" i="1"/>
  <c r="P381" i="1"/>
  <c r="O381" i="1"/>
  <c r="V380" i="1"/>
  <c r="U380" i="1"/>
  <c r="T380" i="1"/>
  <c r="S380" i="1"/>
  <c r="R380" i="1"/>
  <c r="P380" i="1"/>
  <c r="O380" i="1"/>
  <c r="V379" i="1"/>
  <c r="U379" i="1"/>
  <c r="T379" i="1"/>
  <c r="S379" i="1"/>
  <c r="R379" i="1"/>
  <c r="P379" i="1"/>
  <c r="O379" i="1"/>
  <c r="V378" i="1"/>
  <c r="U378" i="1"/>
  <c r="T378" i="1"/>
  <c r="S378" i="1"/>
  <c r="R378" i="1"/>
  <c r="P378" i="1"/>
  <c r="O378" i="1"/>
  <c r="V377" i="1"/>
  <c r="U377" i="1"/>
  <c r="T377" i="1"/>
  <c r="S377" i="1"/>
  <c r="R377" i="1"/>
  <c r="P377" i="1"/>
  <c r="O377" i="1"/>
  <c r="V376" i="1"/>
  <c r="U376" i="1"/>
  <c r="T376" i="1"/>
  <c r="S376" i="1"/>
  <c r="R376" i="1"/>
  <c r="P376" i="1"/>
  <c r="O376" i="1"/>
  <c r="V375" i="1"/>
  <c r="U375" i="1"/>
  <c r="T375" i="1"/>
  <c r="S375" i="1"/>
  <c r="R375" i="1"/>
  <c r="P375" i="1"/>
  <c r="O375" i="1"/>
  <c r="V374" i="1"/>
  <c r="U374" i="1"/>
  <c r="T374" i="1"/>
  <c r="S374" i="1"/>
  <c r="R374" i="1"/>
  <c r="P374" i="1"/>
  <c r="O374" i="1"/>
  <c r="V373" i="1"/>
  <c r="U373" i="1"/>
  <c r="T373" i="1"/>
  <c r="S373" i="1"/>
  <c r="R373" i="1"/>
  <c r="P373" i="1"/>
  <c r="O373" i="1"/>
  <c r="V372" i="1"/>
  <c r="U372" i="1"/>
  <c r="T372" i="1"/>
  <c r="S372" i="1"/>
  <c r="R372" i="1"/>
  <c r="P372" i="1"/>
  <c r="O372" i="1"/>
  <c r="V371" i="1"/>
  <c r="U371" i="1"/>
  <c r="T371" i="1"/>
  <c r="S371" i="1"/>
  <c r="R371" i="1"/>
  <c r="P371" i="1"/>
  <c r="O371" i="1"/>
  <c r="V370" i="1"/>
  <c r="U370" i="1"/>
  <c r="T370" i="1"/>
  <c r="S370" i="1"/>
  <c r="R370" i="1"/>
  <c r="P370" i="1"/>
  <c r="O370" i="1"/>
  <c r="V369" i="1"/>
  <c r="U369" i="1"/>
  <c r="T369" i="1"/>
  <c r="S369" i="1"/>
  <c r="R369" i="1"/>
  <c r="P369" i="1"/>
  <c r="O369" i="1"/>
  <c r="V368" i="1"/>
  <c r="U368" i="1"/>
  <c r="T368" i="1"/>
  <c r="S368" i="1"/>
  <c r="R368" i="1"/>
  <c r="P368" i="1"/>
  <c r="O368" i="1"/>
  <c r="V367" i="1"/>
  <c r="U367" i="1"/>
  <c r="T367" i="1"/>
  <c r="S367" i="1"/>
  <c r="R367" i="1"/>
  <c r="P367" i="1"/>
  <c r="O367" i="1"/>
  <c r="V366" i="1"/>
  <c r="U366" i="1"/>
  <c r="T366" i="1"/>
  <c r="S366" i="1"/>
  <c r="R366" i="1"/>
  <c r="P366" i="1"/>
  <c r="O366" i="1"/>
  <c r="V365" i="1"/>
  <c r="U365" i="1"/>
  <c r="T365" i="1"/>
  <c r="S365" i="1"/>
  <c r="R365" i="1"/>
  <c r="P365" i="1"/>
  <c r="O365" i="1"/>
  <c r="V364" i="1"/>
  <c r="U364" i="1"/>
  <c r="T364" i="1"/>
  <c r="S364" i="1"/>
  <c r="R364" i="1"/>
  <c r="P364" i="1"/>
  <c r="O364" i="1"/>
  <c r="V363" i="1"/>
  <c r="U363" i="1"/>
  <c r="T363" i="1"/>
  <c r="S363" i="1"/>
  <c r="R363" i="1"/>
  <c r="P363" i="1"/>
  <c r="O363" i="1"/>
  <c r="V362" i="1"/>
  <c r="U362" i="1"/>
  <c r="T362" i="1"/>
  <c r="S362" i="1"/>
  <c r="R362" i="1"/>
  <c r="P362" i="1"/>
  <c r="O362" i="1"/>
  <c r="V361" i="1"/>
  <c r="U361" i="1"/>
  <c r="T361" i="1"/>
  <c r="S361" i="1"/>
  <c r="R361" i="1"/>
  <c r="P361" i="1"/>
  <c r="O361" i="1"/>
  <c r="V360" i="1"/>
  <c r="U360" i="1"/>
  <c r="T360" i="1"/>
  <c r="S360" i="1"/>
  <c r="R360" i="1"/>
  <c r="P360" i="1"/>
  <c r="O360" i="1"/>
  <c r="V359" i="1"/>
  <c r="U359" i="1"/>
  <c r="T359" i="1"/>
  <c r="S359" i="1"/>
  <c r="R359" i="1"/>
  <c r="P359" i="1"/>
  <c r="O359" i="1"/>
  <c r="V358" i="1"/>
  <c r="U358" i="1"/>
  <c r="T358" i="1"/>
  <c r="S358" i="1"/>
  <c r="R358" i="1"/>
  <c r="P358" i="1"/>
  <c r="O358" i="1"/>
  <c r="V357" i="1"/>
  <c r="U357" i="1"/>
  <c r="T357" i="1"/>
  <c r="S357" i="1"/>
  <c r="R357" i="1"/>
  <c r="P357" i="1"/>
  <c r="O357" i="1"/>
  <c r="V356" i="1"/>
  <c r="U356" i="1"/>
  <c r="T356" i="1"/>
  <c r="S356" i="1"/>
  <c r="R356" i="1"/>
  <c r="P356" i="1"/>
  <c r="O356" i="1"/>
  <c r="V355" i="1"/>
  <c r="U355" i="1"/>
  <c r="T355" i="1"/>
  <c r="S355" i="1"/>
  <c r="R355" i="1"/>
  <c r="P355" i="1"/>
  <c r="O355" i="1"/>
  <c r="V354" i="1"/>
  <c r="U354" i="1"/>
  <c r="T354" i="1"/>
  <c r="S354" i="1"/>
  <c r="R354" i="1"/>
  <c r="P354" i="1"/>
  <c r="O354" i="1"/>
  <c r="V353" i="1"/>
  <c r="U353" i="1"/>
  <c r="T353" i="1"/>
  <c r="S353" i="1"/>
  <c r="R353" i="1"/>
  <c r="P353" i="1"/>
  <c r="O353" i="1"/>
  <c r="V352" i="1"/>
  <c r="U352" i="1"/>
  <c r="T352" i="1"/>
  <c r="S352" i="1"/>
  <c r="R352" i="1"/>
  <c r="P352" i="1"/>
  <c r="O352" i="1"/>
  <c r="V351" i="1"/>
  <c r="U351" i="1"/>
  <c r="T351" i="1"/>
  <c r="S351" i="1"/>
  <c r="R351" i="1"/>
  <c r="P351" i="1"/>
  <c r="O351" i="1"/>
  <c r="V350" i="1"/>
  <c r="U350" i="1"/>
  <c r="T350" i="1"/>
  <c r="S350" i="1"/>
  <c r="R350" i="1"/>
  <c r="P350" i="1"/>
  <c r="O350" i="1"/>
  <c r="V349" i="1"/>
  <c r="U349" i="1"/>
  <c r="T349" i="1"/>
  <c r="S349" i="1"/>
  <c r="R349" i="1"/>
  <c r="P349" i="1"/>
  <c r="O349" i="1"/>
  <c r="V348" i="1"/>
  <c r="U348" i="1"/>
  <c r="T348" i="1"/>
  <c r="S348" i="1"/>
  <c r="R348" i="1"/>
  <c r="P348" i="1"/>
  <c r="O348" i="1"/>
  <c r="V347" i="1"/>
  <c r="U347" i="1"/>
  <c r="T347" i="1"/>
  <c r="S347" i="1"/>
  <c r="R347" i="1"/>
  <c r="P347" i="1"/>
  <c r="O347" i="1"/>
  <c r="V346" i="1"/>
  <c r="U346" i="1"/>
  <c r="T346" i="1"/>
  <c r="S346" i="1"/>
  <c r="R346" i="1"/>
  <c r="P346" i="1"/>
  <c r="O346" i="1"/>
  <c r="V345" i="1"/>
  <c r="U345" i="1"/>
  <c r="T345" i="1"/>
  <c r="S345" i="1"/>
  <c r="R345" i="1"/>
  <c r="P345" i="1"/>
  <c r="O345" i="1"/>
  <c r="V344" i="1"/>
  <c r="U344" i="1"/>
  <c r="T344" i="1"/>
  <c r="S344" i="1"/>
  <c r="R344" i="1"/>
  <c r="P344" i="1"/>
  <c r="O344" i="1"/>
  <c r="V343" i="1"/>
  <c r="U343" i="1"/>
  <c r="T343" i="1"/>
  <c r="S343" i="1"/>
  <c r="R343" i="1"/>
  <c r="P343" i="1"/>
  <c r="O343" i="1"/>
  <c r="V342" i="1"/>
  <c r="U342" i="1"/>
  <c r="T342" i="1"/>
  <c r="S342" i="1"/>
  <c r="R342" i="1"/>
  <c r="P342" i="1"/>
  <c r="O342" i="1"/>
  <c r="V341" i="1"/>
  <c r="U341" i="1"/>
  <c r="T341" i="1"/>
  <c r="S341" i="1"/>
  <c r="R341" i="1"/>
  <c r="P341" i="1"/>
  <c r="O341" i="1"/>
  <c r="V340" i="1"/>
  <c r="U340" i="1"/>
  <c r="T340" i="1"/>
  <c r="S340" i="1"/>
  <c r="R340" i="1"/>
  <c r="P340" i="1"/>
  <c r="O340" i="1"/>
  <c r="V339" i="1"/>
  <c r="U339" i="1"/>
  <c r="T339" i="1"/>
  <c r="S339" i="1"/>
  <c r="R339" i="1"/>
  <c r="P339" i="1"/>
  <c r="O339" i="1"/>
  <c r="V338" i="1"/>
  <c r="U338" i="1"/>
  <c r="T338" i="1"/>
  <c r="S338" i="1"/>
  <c r="R338" i="1"/>
  <c r="P338" i="1"/>
  <c r="O338" i="1"/>
  <c r="V337" i="1"/>
  <c r="U337" i="1"/>
  <c r="T337" i="1"/>
  <c r="S337" i="1"/>
  <c r="R337" i="1"/>
  <c r="P337" i="1"/>
  <c r="O337" i="1"/>
  <c r="V336" i="1"/>
  <c r="U336" i="1"/>
  <c r="T336" i="1"/>
  <c r="S336" i="1"/>
  <c r="R336" i="1"/>
  <c r="P336" i="1"/>
  <c r="O336" i="1"/>
  <c r="V335" i="1"/>
  <c r="U335" i="1"/>
  <c r="T335" i="1"/>
  <c r="S335" i="1"/>
  <c r="R335" i="1"/>
  <c r="P335" i="1"/>
  <c r="O335" i="1"/>
  <c r="V334" i="1"/>
  <c r="U334" i="1"/>
  <c r="T334" i="1"/>
  <c r="S334" i="1"/>
  <c r="R334" i="1"/>
  <c r="P334" i="1"/>
  <c r="O334" i="1"/>
  <c r="V333" i="1"/>
  <c r="U333" i="1"/>
  <c r="T333" i="1"/>
  <c r="S333" i="1"/>
  <c r="R333" i="1"/>
  <c r="P333" i="1"/>
  <c r="O333" i="1"/>
  <c r="V332" i="1"/>
  <c r="U332" i="1"/>
  <c r="T332" i="1"/>
  <c r="S332" i="1"/>
  <c r="R332" i="1"/>
  <c r="P332" i="1"/>
  <c r="O332" i="1"/>
  <c r="V331" i="1"/>
  <c r="U331" i="1"/>
  <c r="T331" i="1"/>
  <c r="S331" i="1"/>
  <c r="R331" i="1"/>
  <c r="P331" i="1"/>
  <c r="O331" i="1"/>
  <c r="V330" i="1"/>
  <c r="U330" i="1"/>
  <c r="T330" i="1"/>
  <c r="S330" i="1"/>
  <c r="R330" i="1"/>
  <c r="P330" i="1"/>
  <c r="O330" i="1"/>
  <c r="V329" i="1"/>
  <c r="U329" i="1"/>
  <c r="T329" i="1"/>
  <c r="S329" i="1"/>
  <c r="R329" i="1"/>
  <c r="P329" i="1"/>
  <c r="O329" i="1"/>
  <c r="V328" i="1"/>
  <c r="U328" i="1"/>
  <c r="T328" i="1"/>
  <c r="S328" i="1"/>
  <c r="R328" i="1"/>
  <c r="P328" i="1"/>
  <c r="O328" i="1"/>
  <c r="V327" i="1"/>
  <c r="U327" i="1"/>
  <c r="T327" i="1"/>
  <c r="S327" i="1"/>
  <c r="R327" i="1"/>
  <c r="P327" i="1"/>
  <c r="O327" i="1"/>
  <c r="V326" i="1"/>
  <c r="U326" i="1"/>
  <c r="T326" i="1"/>
  <c r="S326" i="1"/>
  <c r="R326" i="1"/>
  <c r="P326" i="1"/>
  <c r="O326" i="1"/>
  <c r="V325" i="1"/>
  <c r="U325" i="1"/>
  <c r="T325" i="1"/>
  <c r="S325" i="1"/>
  <c r="R325" i="1"/>
  <c r="P325" i="1"/>
  <c r="O325" i="1"/>
  <c r="V324" i="1"/>
  <c r="U324" i="1"/>
  <c r="T324" i="1"/>
  <c r="S324" i="1"/>
  <c r="R324" i="1"/>
  <c r="P324" i="1"/>
  <c r="O324" i="1"/>
  <c r="V323" i="1"/>
  <c r="U323" i="1"/>
  <c r="T323" i="1"/>
  <c r="S323" i="1"/>
  <c r="R323" i="1"/>
  <c r="P323" i="1"/>
  <c r="O323" i="1"/>
  <c r="V322" i="1"/>
  <c r="U322" i="1"/>
  <c r="T322" i="1"/>
  <c r="S322" i="1"/>
  <c r="R322" i="1"/>
  <c r="P322" i="1"/>
  <c r="O322" i="1"/>
  <c r="V321" i="1"/>
  <c r="U321" i="1"/>
  <c r="T321" i="1"/>
  <c r="S321" i="1"/>
  <c r="R321" i="1"/>
  <c r="P321" i="1"/>
  <c r="O321" i="1"/>
  <c r="V320" i="1"/>
  <c r="U320" i="1"/>
  <c r="T320" i="1"/>
  <c r="S320" i="1"/>
  <c r="R320" i="1"/>
  <c r="P320" i="1"/>
  <c r="O320" i="1"/>
  <c r="V319" i="1"/>
  <c r="U319" i="1"/>
  <c r="T319" i="1"/>
  <c r="S319" i="1"/>
  <c r="R319" i="1"/>
  <c r="P319" i="1"/>
  <c r="O319" i="1"/>
  <c r="V318" i="1"/>
  <c r="U318" i="1"/>
  <c r="T318" i="1"/>
  <c r="S318" i="1"/>
  <c r="R318" i="1"/>
  <c r="P318" i="1"/>
  <c r="O318" i="1"/>
  <c r="V317" i="1"/>
  <c r="U317" i="1"/>
  <c r="T317" i="1"/>
  <c r="S317" i="1"/>
  <c r="R317" i="1"/>
  <c r="P317" i="1"/>
  <c r="O317" i="1"/>
  <c r="V316" i="1"/>
  <c r="U316" i="1"/>
  <c r="T316" i="1"/>
  <c r="S316" i="1"/>
  <c r="R316" i="1"/>
  <c r="P316" i="1"/>
  <c r="O316" i="1"/>
  <c r="V315" i="1"/>
  <c r="U315" i="1"/>
  <c r="T315" i="1"/>
  <c r="S315" i="1"/>
  <c r="R315" i="1"/>
  <c r="P315" i="1"/>
  <c r="O315" i="1"/>
  <c r="V314" i="1"/>
  <c r="U314" i="1"/>
  <c r="T314" i="1"/>
  <c r="S314" i="1"/>
  <c r="R314" i="1"/>
  <c r="P314" i="1"/>
  <c r="O314" i="1"/>
  <c r="V313" i="1"/>
  <c r="U313" i="1"/>
  <c r="T313" i="1"/>
  <c r="S313" i="1"/>
  <c r="R313" i="1"/>
  <c r="P313" i="1"/>
  <c r="O313" i="1"/>
  <c r="V312" i="1"/>
  <c r="U312" i="1"/>
  <c r="T312" i="1"/>
  <c r="S312" i="1"/>
  <c r="R312" i="1"/>
  <c r="P312" i="1"/>
  <c r="O312" i="1"/>
  <c r="V311" i="1"/>
  <c r="U311" i="1"/>
  <c r="T311" i="1"/>
  <c r="S311" i="1"/>
  <c r="R311" i="1"/>
  <c r="P311" i="1"/>
  <c r="O311" i="1"/>
  <c r="V310" i="1"/>
  <c r="U310" i="1"/>
  <c r="T310" i="1"/>
  <c r="S310" i="1"/>
  <c r="R310" i="1"/>
  <c r="P310" i="1"/>
  <c r="O310" i="1"/>
  <c r="V309" i="1"/>
  <c r="U309" i="1"/>
  <c r="T309" i="1"/>
  <c r="S309" i="1"/>
  <c r="R309" i="1"/>
  <c r="P309" i="1"/>
  <c r="O309" i="1"/>
  <c r="V308" i="1"/>
  <c r="U308" i="1"/>
  <c r="T308" i="1"/>
  <c r="S308" i="1"/>
  <c r="R308" i="1"/>
  <c r="P308" i="1"/>
  <c r="O308" i="1"/>
  <c r="V307" i="1"/>
  <c r="U307" i="1"/>
  <c r="T307" i="1"/>
  <c r="S307" i="1"/>
  <c r="R307" i="1"/>
  <c r="P307" i="1"/>
  <c r="O307" i="1"/>
  <c r="V306" i="1"/>
  <c r="U306" i="1"/>
  <c r="T306" i="1"/>
  <c r="S306" i="1"/>
  <c r="R306" i="1"/>
  <c r="P306" i="1"/>
  <c r="O306" i="1"/>
  <c r="V305" i="1"/>
  <c r="U305" i="1"/>
  <c r="T305" i="1"/>
  <c r="S305" i="1"/>
  <c r="R305" i="1"/>
  <c r="P305" i="1"/>
  <c r="O305" i="1"/>
  <c r="V304" i="1"/>
  <c r="U304" i="1"/>
  <c r="T304" i="1"/>
  <c r="S304" i="1"/>
  <c r="R304" i="1"/>
  <c r="P304" i="1"/>
  <c r="O304" i="1"/>
  <c r="V303" i="1"/>
  <c r="U303" i="1"/>
  <c r="T303" i="1"/>
  <c r="S303" i="1"/>
  <c r="R303" i="1"/>
  <c r="P303" i="1"/>
  <c r="O303" i="1"/>
  <c r="V302" i="1"/>
  <c r="U302" i="1"/>
  <c r="T302" i="1"/>
  <c r="S302" i="1"/>
  <c r="R302" i="1"/>
  <c r="P302" i="1"/>
  <c r="O302" i="1"/>
  <c r="V301" i="1"/>
  <c r="U301" i="1"/>
  <c r="T301" i="1"/>
  <c r="S301" i="1"/>
  <c r="R301" i="1"/>
  <c r="P301" i="1"/>
  <c r="O301" i="1"/>
  <c r="V300" i="1"/>
  <c r="U300" i="1"/>
  <c r="T300" i="1"/>
  <c r="S300" i="1"/>
  <c r="R300" i="1"/>
  <c r="P300" i="1"/>
  <c r="O300" i="1"/>
  <c r="V299" i="1"/>
  <c r="U299" i="1"/>
  <c r="T299" i="1"/>
  <c r="S299" i="1"/>
  <c r="R299" i="1"/>
  <c r="P299" i="1"/>
  <c r="O299" i="1"/>
  <c r="V298" i="1"/>
  <c r="U298" i="1"/>
  <c r="T298" i="1"/>
  <c r="S298" i="1"/>
  <c r="R298" i="1"/>
  <c r="P298" i="1"/>
  <c r="O298" i="1"/>
  <c r="V297" i="1"/>
  <c r="U297" i="1"/>
  <c r="T297" i="1"/>
  <c r="S297" i="1"/>
  <c r="R297" i="1"/>
  <c r="P297" i="1"/>
  <c r="O297" i="1"/>
  <c r="V296" i="1"/>
  <c r="U296" i="1"/>
  <c r="T296" i="1"/>
  <c r="S296" i="1"/>
  <c r="R296" i="1"/>
  <c r="P296" i="1"/>
  <c r="O296" i="1"/>
  <c r="V295" i="1"/>
  <c r="U295" i="1"/>
  <c r="T295" i="1"/>
  <c r="S295" i="1"/>
  <c r="R295" i="1"/>
  <c r="P295" i="1"/>
  <c r="O295" i="1"/>
  <c r="V294" i="1"/>
  <c r="U294" i="1"/>
  <c r="T294" i="1"/>
  <c r="S294" i="1"/>
  <c r="R294" i="1"/>
  <c r="P294" i="1"/>
  <c r="O294" i="1"/>
  <c r="V293" i="1"/>
  <c r="U293" i="1"/>
  <c r="T293" i="1"/>
  <c r="S293" i="1"/>
  <c r="R293" i="1"/>
  <c r="P293" i="1"/>
  <c r="O293" i="1"/>
  <c r="V292" i="1"/>
  <c r="U292" i="1"/>
  <c r="T292" i="1"/>
  <c r="S292" i="1"/>
  <c r="R292" i="1"/>
  <c r="P292" i="1"/>
  <c r="O292" i="1"/>
  <c r="V291" i="1"/>
  <c r="U291" i="1"/>
  <c r="T291" i="1"/>
  <c r="S291" i="1"/>
  <c r="R291" i="1"/>
  <c r="P291" i="1"/>
  <c r="O291" i="1"/>
  <c r="V290" i="1"/>
  <c r="U290" i="1"/>
  <c r="T290" i="1"/>
  <c r="S290" i="1"/>
  <c r="R290" i="1"/>
  <c r="P290" i="1"/>
  <c r="O290" i="1"/>
  <c r="V289" i="1"/>
  <c r="U289" i="1"/>
  <c r="T289" i="1"/>
  <c r="S289" i="1"/>
  <c r="R289" i="1"/>
  <c r="P289" i="1"/>
  <c r="O289" i="1"/>
  <c r="V288" i="1"/>
  <c r="U288" i="1"/>
  <c r="T288" i="1"/>
  <c r="S288" i="1"/>
  <c r="R288" i="1"/>
  <c r="P288" i="1"/>
  <c r="O288" i="1"/>
  <c r="V287" i="1"/>
  <c r="U287" i="1"/>
  <c r="T287" i="1"/>
  <c r="S287" i="1"/>
  <c r="R287" i="1"/>
  <c r="P287" i="1"/>
  <c r="O287" i="1"/>
  <c r="V286" i="1"/>
  <c r="U286" i="1"/>
  <c r="T286" i="1"/>
  <c r="S286" i="1"/>
  <c r="R286" i="1"/>
  <c r="P286" i="1"/>
  <c r="O286" i="1"/>
  <c r="V285" i="1"/>
  <c r="U285" i="1"/>
  <c r="T285" i="1"/>
  <c r="S285" i="1"/>
  <c r="R285" i="1"/>
  <c r="P285" i="1"/>
  <c r="O285" i="1"/>
  <c r="V284" i="1"/>
  <c r="U284" i="1"/>
  <c r="T284" i="1"/>
  <c r="S284" i="1"/>
  <c r="R284" i="1"/>
  <c r="P284" i="1"/>
  <c r="O284" i="1"/>
  <c r="V283" i="1"/>
  <c r="U283" i="1"/>
  <c r="T283" i="1"/>
  <c r="S283" i="1"/>
  <c r="R283" i="1"/>
  <c r="P283" i="1"/>
  <c r="O283" i="1"/>
  <c r="V282" i="1"/>
  <c r="U282" i="1"/>
  <c r="T282" i="1"/>
  <c r="S282" i="1"/>
  <c r="R282" i="1"/>
  <c r="P282" i="1"/>
  <c r="O282" i="1"/>
  <c r="V281" i="1"/>
  <c r="U281" i="1"/>
  <c r="T281" i="1"/>
  <c r="S281" i="1"/>
  <c r="R281" i="1"/>
  <c r="P281" i="1"/>
  <c r="O281" i="1"/>
  <c r="V280" i="1"/>
  <c r="U280" i="1"/>
  <c r="T280" i="1"/>
  <c r="S280" i="1"/>
  <c r="R280" i="1"/>
  <c r="P280" i="1"/>
  <c r="O280" i="1"/>
  <c r="V279" i="1"/>
  <c r="U279" i="1"/>
  <c r="T279" i="1"/>
  <c r="S279" i="1"/>
  <c r="R279" i="1"/>
  <c r="P279" i="1"/>
  <c r="O279" i="1"/>
  <c r="V278" i="1"/>
  <c r="U278" i="1"/>
  <c r="T278" i="1"/>
  <c r="S278" i="1"/>
  <c r="R278" i="1"/>
  <c r="P278" i="1"/>
  <c r="O278" i="1"/>
  <c r="V277" i="1"/>
  <c r="U277" i="1"/>
  <c r="T277" i="1"/>
  <c r="S277" i="1"/>
  <c r="R277" i="1"/>
  <c r="P277" i="1"/>
  <c r="O277" i="1"/>
  <c r="V276" i="1"/>
  <c r="U276" i="1"/>
  <c r="T276" i="1"/>
  <c r="S276" i="1"/>
  <c r="R276" i="1"/>
  <c r="P276" i="1"/>
  <c r="O276" i="1"/>
  <c r="V275" i="1"/>
  <c r="U275" i="1"/>
  <c r="T275" i="1"/>
  <c r="S275" i="1"/>
  <c r="R275" i="1"/>
  <c r="P275" i="1"/>
  <c r="O275" i="1"/>
  <c r="V274" i="1"/>
  <c r="U274" i="1"/>
  <c r="T274" i="1"/>
  <c r="S274" i="1"/>
  <c r="R274" i="1"/>
  <c r="P274" i="1"/>
  <c r="O274" i="1"/>
  <c r="V273" i="1"/>
  <c r="U273" i="1"/>
  <c r="T273" i="1"/>
  <c r="S273" i="1"/>
  <c r="R273" i="1"/>
  <c r="P273" i="1"/>
  <c r="O273" i="1"/>
  <c r="V272" i="1"/>
  <c r="U272" i="1"/>
  <c r="T272" i="1"/>
  <c r="S272" i="1"/>
  <c r="R272" i="1"/>
  <c r="P272" i="1"/>
  <c r="O272" i="1"/>
  <c r="V271" i="1"/>
  <c r="U271" i="1"/>
  <c r="T271" i="1"/>
  <c r="S271" i="1"/>
  <c r="R271" i="1"/>
  <c r="P271" i="1"/>
  <c r="O271" i="1"/>
  <c r="V270" i="1"/>
  <c r="U270" i="1"/>
  <c r="T270" i="1"/>
  <c r="S270" i="1"/>
  <c r="R270" i="1"/>
  <c r="P270" i="1"/>
  <c r="O270" i="1"/>
  <c r="V269" i="1"/>
  <c r="U269" i="1"/>
  <c r="T269" i="1"/>
  <c r="S269" i="1"/>
  <c r="R269" i="1"/>
  <c r="P269" i="1"/>
  <c r="O269" i="1"/>
  <c r="V268" i="1"/>
  <c r="U268" i="1"/>
  <c r="T268" i="1"/>
  <c r="S268" i="1"/>
  <c r="R268" i="1"/>
  <c r="P268" i="1"/>
  <c r="O268" i="1"/>
  <c r="V267" i="1"/>
  <c r="U267" i="1"/>
  <c r="T267" i="1"/>
  <c r="S267" i="1"/>
  <c r="R267" i="1"/>
  <c r="P267" i="1"/>
  <c r="O267" i="1"/>
  <c r="V266" i="1"/>
  <c r="U266" i="1"/>
  <c r="T266" i="1"/>
  <c r="S266" i="1"/>
  <c r="R266" i="1"/>
  <c r="P266" i="1"/>
  <c r="O266" i="1"/>
  <c r="V265" i="1"/>
  <c r="U265" i="1"/>
  <c r="T265" i="1"/>
  <c r="S265" i="1"/>
  <c r="R265" i="1"/>
  <c r="P265" i="1"/>
  <c r="O265" i="1"/>
  <c r="V264" i="1"/>
  <c r="U264" i="1"/>
  <c r="T264" i="1"/>
  <c r="S264" i="1"/>
  <c r="R264" i="1"/>
  <c r="P264" i="1"/>
  <c r="O264" i="1"/>
  <c r="V263" i="1"/>
  <c r="U263" i="1"/>
  <c r="T263" i="1"/>
  <c r="S263" i="1"/>
  <c r="R263" i="1"/>
  <c r="P263" i="1"/>
  <c r="O263" i="1"/>
  <c r="V262" i="1"/>
  <c r="U262" i="1"/>
  <c r="T262" i="1"/>
  <c r="S262" i="1"/>
  <c r="R262" i="1"/>
  <c r="P262" i="1"/>
  <c r="O262" i="1"/>
  <c r="V261" i="1"/>
  <c r="U261" i="1"/>
  <c r="T261" i="1"/>
  <c r="S261" i="1"/>
  <c r="R261" i="1"/>
  <c r="P261" i="1"/>
  <c r="O261" i="1"/>
  <c r="V260" i="1"/>
  <c r="U260" i="1"/>
  <c r="T260" i="1"/>
  <c r="S260" i="1"/>
  <c r="R260" i="1"/>
  <c r="P260" i="1"/>
  <c r="O260" i="1"/>
  <c r="V259" i="1"/>
  <c r="U259" i="1"/>
  <c r="T259" i="1"/>
  <c r="S259" i="1"/>
  <c r="R259" i="1"/>
  <c r="P259" i="1"/>
  <c r="O259" i="1"/>
  <c r="V258" i="1"/>
  <c r="U258" i="1"/>
  <c r="T258" i="1"/>
  <c r="S258" i="1"/>
  <c r="R258" i="1"/>
  <c r="P258" i="1"/>
  <c r="O258" i="1"/>
  <c r="V257" i="1"/>
  <c r="U257" i="1"/>
  <c r="T257" i="1"/>
  <c r="S257" i="1"/>
  <c r="R257" i="1"/>
  <c r="P257" i="1"/>
  <c r="O257" i="1"/>
  <c r="V256" i="1"/>
  <c r="U256" i="1"/>
  <c r="T256" i="1"/>
  <c r="S256" i="1"/>
  <c r="R256" i="1"/>
  <c r="P256" i="1"/>
  <c r="O256" i="1"/>
  <c r="V255" i="1"/>
  <c r="U255" i="1"/>
  <c r="T255" i="1"/>
  <c r="S255" i="1"/>
  <c r="R255" i="1"/>
  <c r="P255" i="1"/>
  <c r="O255" i="1"/>
  <c r="V254" i="1"/>
  <c r="U254" i="1"/>
  <c r="T254" i="1"/>
  <c r="S254" i="1"/>
  <c r="R254" i="1"/>
  <c r="P254" i="1"/>
  <c r="O254" i="1"/>
  <c r="V253" i="1"/>
  <c r="U253" i="1"/>
  <c r="T253" i="1"/>
  <c r="S253" i="1"/>
  <c r="R253" i="1"/>
  <c r="P253" i="1"/>
  <c r="O253" i="1"/>
  <c r="V252" i="1"/>
  <c r="U252" i="1"/>
  <c r="T252" i="1"/>
  <c r="S252" i="1"/>
  <c r="R252" i="1"/>
  <c r="P252" i="1"/>
  <c r="O252" i="1"/>
  <c r="V251" i="1"/>
  <c r="U251" i="1"/>
  <c r="T251" i="1"/>
  <c r="S251" i="1"/>
  <c r="R251" i="1"/>
  <c r="P251" i="1"/>
  <c r="O251" i="1"/>
  <c r="V250" i="1"/>
  <c r="U250" i="1"/>
  <c r="T250" i="1"/>
  <c r="S250" i="1"/>
  <c r="R250" i="1"/>
  <c r="P250" i="1"/>
  <c r="O250" i="1"/>
  <c r="V249" i="1"/>
  <c r="U249" i="1"/>
  <c r="T249" i="1"/>
  <c r="S249" i="1"/>
  <c r="R249" i="1"/>
  <c r="P249" i="1"/>
  <c r="O249" i="1"/>
  <c r="V248" i="1"/>
  <c r="U248" i="1"/>
  <c r="T248" i="1"/>
  <c r="S248" i="1"/>
  <c r="R248" i="1"/>
  <c r="P248" i="1"/>
  <c r="O248" i="1"/>
  <c r="V247" i="1"/>
  <c r="U247" i="1"/>
  <c r="T247" i="1"/>
  <c r="S247" i="1"/>
  <c r="R247" i="1"/>
  <c r="P247" i="1"/>
  <c r="O247" i="1"/>
  <c r="V246" i="1"/>
  <c r="U246" i="1"/>
  <c r="T246" i="1"/>
  <c r="S246" i="1"/>
  <c r="R246" i="1"/>
  <c r="P246" i="1"/>
  <c r="O246" i="1"/>
  <c r="V245" i="1"/>
  <c r="U245" i="1"/>
  <c r="T245" i="1"/>
  <c r="S245" i="1"/>
  <c r="R245" i="1"/>
  <c r="P245" i="1"/>
  <c r="O245" i="1"/>
  <c r="V244" i="1"/>
  <c r="U244" i="1"/>
  <c r="T244" i="1"/>
  <c r="S244" i="1"/>
  <c r="R244" i="1"/>
  <c r="P244" i="1"/>
  <c r="O244" i="1"/>
  <c r="V243" i="1"/>
  <c r="U243" i="1"/>
  <c r="T243" i="1"/>
  <c r="S243" i="1"/>
  <c r="R243" i="1"/>
  <c r="P243" i="1"/>
  <c r="O243" i="1"/>
  <c r="V242" i="1"/>
  <c r="U242" i="1"/>
  <c r="T242" i="1"/>
  <c r="S242" i="1"/>
  <c r="R242" i="1"/>
  <c r="P242" i="1"/>
  <c r="O242" i="1"/>
  <c r="V241" i="1"/>
  <c r="U241" i="1"/>
  <c r="T241" i="1"/>
  <c r="S241" i="1"/>
  <c r="R241" i="1"/>
  <c r="P241" i="1"/>
  <c r="O241" i="1"/>
  <c r="V240" i="1"/>
  <c r="U240" i="1"/>
  <c r="T240" i="1"/>
  <c r="S240" i="1"/>
  <c r="R240" i="1"/>
  <c r="P240" i="1"/>
  <c r="O240" i="1"/>
  <c r="V239" i="1"/>
  <c r="U239" i="1"/>
  <c r="T239" i="1"/>
  <c r="S239" i="1"/>
  <c r="R239" i="1"/>
  <c r="P239" i="1"/>
  <c r="O239" i="1"/>
  <c r="V238" i="1"/>
  <c r="U238" i="1"/>
  <c r="T238" i="1"/>
  <c r="S238" i="1"/>
  <c r="R238" i="1"/>
  <c r="P238" i="1"/>
  <c r="O238" i="1"/>
  <c r="V237" i="1"/>
  <c r="U237" i="1"/>
  <c r="T237" i="1"/>
  <c r="S237" i="1"/>
  <c r="R237" i="1"/>
  <c r="P237" i="1"/>
  <c r="O237" i="1"/>
  <c r="V236" i="1"/>
  <c r="U236" i="1"/>
  <c r="T236" i="1"/>
  <c r="S236" i="1"/>
  <c r="R236" i="1"/>
  <c r="P236" i="1"/>
  <c r="O236" i="1"/>
  <c r="V235" i="1"/>
  <c r="U235" i="1"/>
  <c r="T235" i="1"/>
  <c r="S235" i="1"/>
  <c r="R235" i="1"/>
  <c r="P235" i="1"/>
  <c r="O235" i="1"/>
  <c r="V234" i="1"/>
  <c r="U234" i="1"/>
  <c r="T234" i="1"/>
  <c r="S234" i="1"/>
  <c r="R234" i="1"/>
  <c r="P234" i="1"/>
  <c r="O234" i="1"/>
  <c r="V233" i="1"/>
  <c r="U233" i="1"/>
  <c r="T233" i="1"/>
  <c r="S233" i="1"/>
  <c r="R233" i="1"/>
  <c r="P233" i="1"/>
  <c r="O233" i="1"/>
  <c r="V232" i="1"/>
  <c r="U232" i="1"/>
  <c r="T232" i="1"/>
  <c r="S232" i="1"/>
  <c r="R232" i="1"/>
  <c r="P232" i="1"/>
  <c r="O232" i="1"/>
  <c r="V231" i="1"/>
  <c r="U231" i="1"/>
  <c r="T231" i="1"/>
  <c r="S231" i="1"/>
  <c r="R231" i="1"/>
  <c r="P231" i="1"/>
  <c r="O231" i="1"/>
  <c r="V230" i="1"/>
  <c r="U230" i="1"/>
  <c r="T230" i="1"/>
  <c r="S230" i="1"/>
  <c r="R230" i="1"/>
  <c r="P230" i="1"/>
  <c r="O230" i="1"/>
  <c r="V229" i="1"/>
  <c r="U229" i="1"/>
  <c r="T229" i="1"/>
  <c r="S229" i="1"/>
  <c r="R229" i="1"/>
  <c r="P229" i="1"/>
  <c r="O229" i="1"/>
  <c r="V228" i="1"/>
  <c r="U228" i="1"/>
  <c r="T228" i="1"/>
  <c r="S228" i="1"/>
  <c r="R228" i="1"/>
  <c r="P228" i="1"/>
  <c r="O228" i="1"/>
  <c r="V227" i="1"/>
  <c r="U227" i="1"/>
  <c r="T227" i="1"/>
  <c r="S227" i="1"/>
  <c r="R227" i="1"/>
  <c r="P227" i="1"/>
  <c r="O227" i="1"/>
  <c r="V226" i="1"/>
  <c r="U226" i="1"/>
  <c r="T226" i="1"/>
  <c r="S226" i="1"/>
  <c r="R226" i="1"/>
  <c r="P226" i="1"/>
  <c r="O226" i="1"/>
  <c r="V225" i="1"/>
  <c r="U225" i="1"/>
  <c r="T225" i="1"/>
  <c r="S225" i="1"/>
  <c r="R225" i="1"/>
  <c r="P225" i="1"/>
  <c r="O225" i="1"/>
  <c r="V224" i="1"/>
  <c r="U224" i="1"/>
  <c r="T224" i="1"/>
  <c r="S224" i="1"/>
  <c r="R224" i="1"/>
  <c r="P224" i="1"/>
  <c r="O224" i="1"/>
  <c r="V223" i="1"/>
  <c r="U223" i="1"/>
  <c r="T223" i="1"/>
  <c r="S223" i="1"/>
  <c r="R223" i="1"/>
  <c r="P223" i="1"/>
  <c r="O223" i="1"/>
  <c r="V222" i="1"/>
  <c r="U222" i="1"/>
  <c r="T222" i="1"/>
  <c r="S222" i="1"/>
  <c r="R222" i="1"/>
  <c r="P222" i="1"/>
  <c r="O222" i="1"/>
  <c r="V221" i="1"/>
  <c r="U221" i="1"/>
  <c r="T221" i="1"/>
  <c r="S221" i="1"/>
  <c r="R221" i="1"/>
  <c r="P221" i="1"/>
  <c r="O221" i="1"/>
  <c r="V220" i="1"/>
  <c r="U220" i="1"/>
  <c r="T220" i="1"/>
  <c r="S220" i="1"/>
  <c r="R220" i="1"/>
  <c r="P220" i="1"/>
  <c r="O220" i="1"/>
  <c r="V219" i="1"/>
  <c r="U219" i="1"/>
  <c r="T219" i="1"/>
  <c r="S219" i="1"/>
  <c r="R219" i="1"/>
  <c r="P219" i="1"/>
  <c r="O219" i="1"/>
  <c r="V218" i="1"/>
  <c r="U218" i="1"/>
  <c r="T218" i="1"/>
  <c r="S218" i="1"/>
  <c r="R218" i="1"/>
  <c r="P218" i="1"/>
  <c r="O218" i="1"/>
  <c r="V217" i="1"/>
  <c r="U217" i="1"/>
  <c r="T217" i="1"/>
  <c r="S217" i="1"/>
  <c r="R217" i="1"/>
  <c r="P217" i="1"/>
  <c r="O217" i="1"/>
  <c r="V216" i="1"/>
  <c r="U216" i="1"/>
  <c r="T216" i="1"/>
  <c r="S216" i="1"/>
  <c r="R216" i="1"/>
  <c r="P216" i="1"/>
  <c r="O216" i="1"/>
  <c r="V215" i="1"/>
  <c r="U215" i="1"/>
  <c r="T215" i="1"/>
  <c r="S215" i="1"/>
  <c r="R215" i="1"/>
  <c r="P215" i="1"/>
  <c r="O215" i="1"/>
  <c r="V214" i="1"/>
  <c r="U214" i="1"/>
  <c r="T214" i="1"/>
  <c r="S214" i="1"/>
  <c r="R214" i="1"/>
  <c r="P214" i="1"/>
  <c r="O214" i="1"/>
  <c r="V213" i="1"/>
  <c r="U213" i="1"/>
  <c r="T213" i="1"/>
  <c r="S213" i="1"/>
  <c r="R213" i="1"/>
  <c r="P213" i="1"/>
  <c r="O213" i="1"/>
  <c r="V212" i="1"/>
  <c r="U212" i="1"/>
  <c r="T212" i="1"/>
  <c r="S212" i="1"/>
  <c r="R212" i="1"/>
  <c r="P212" i="1"/>
  <c r="O212" i="1"/>
  <c r="V211" i="1"/>
  <c r="U211" i="1"/>
  <c r="T211" i="1"/>
  <c r="S211" i="1"/>
  <c r="R211" i="1"/>
  <c r="P211" i="1"/>
  <c r="O211" i="1"/>
  <c r="V210" i="1"/>
  <c r="U210" i="1"/>
  <c r="T210" i="1"/>
  <c r="S210" i="1"/>
  <c r="R210" i="1"/>
  <c r="P210" i="1"/>
  <c r="O210" i="1"/>
  <c r="V209" i="1"/>
  <c r="U209" i="1"/>
  <c r="T209" i="1"/>
  <c r="S209" i="1"/>
  <c r="R209" i="1"/>
  <c r="P209" i="1"/>
  <c r="O209" i="1"/>
  <c r="V208" i="1"/>
  <c r="U208" i="1"/>
  <c r="T208" i="1"/>
  <c r="S208" i="1"/>
  <c r="R208" i="1"/>
  <c r="P208" i="1"/>
  <c r="O208" i="1"/>
  <c r="V207" i="1"/>
  <c r="U207" i="1"/>
  <c r="T207" i="1"/>
  <c r="S207" i="1"/>
  <c r="R207" i="1"/>
  <c r="P207" i="1"/>
  <c r="O207" i="1"/>
  <c r="V206" i="1"/>
  <c r="U206" i="1"/>
  <c r="T206" i="1"/>
  <c r="S206" i="1"/>
  <c r="R206" i="1"/>
  <c r="P206" i="1"/>
  <c r="O206" i="1"/>
  <c r="V205" i="1"/>
  <c r="U205" i="1"/>
  <c r="T205" i="1"/>
  <c r="S205" i="1"/>
  <c r="R205" i="1"/>
  <c r="P205" i="1"/>
  <c r="O205" i="1"/>
  <c r="V204" i="1"/>
  <c r="U204" i="1"/>
  <c r="T204" i="1"/>
  <c r="S204" i="1"/>
  <c r="R204" i="1"/>
  <c r="P204" i="1"/>
  <c r="O204" i="1"/>
  <c r="V203" i="1"/>
  <c r="U203" i="1"/>
  <c r="T203" i="1"/>
  <c r="S203" i="1"/>
  <c r="R203" i="1"/>
  <c r="P203" i="1"/>
  <c r="O203" i="1"/>
  <c r="V202" i="1"/>
  <c r="U202" i="1"/>
  <c r="T202" i="1"/>
  <c r="S202" i="1"/>
  <c r="R202" i="1"/>
  <c r="P202" i="1"/>
  <c r="O202" i="1"/>
  <c r="V201" i="1"/>
  <c r="U201" i="1"/>
  <c r="T201" i="1"/>
  <c r="S201" i="1"/>
  <c r="R201" i="1"/>
  <c r="P201" i="1"/>
  <c r="O201" i="1"/>
  <c r="V200" i="1"/>
  <c r="U200" i="1"/>
  <c r="T200" i="1"/>
  <c r="S200" i="1"/>
  <c r="R200" i="1"/>
  <c r="P200" i="1"/>
  <c r="O200" i="1"/>
  <c r="V199" i="1"/>
  <c r="U199" i="1"/>
  <c r="T199" i="1"/>
  <c r="S199" i="1"/>
  <c r="R199" i="1"/>
  <c r="P199" i="1"/>
  <c r="O199" i="1"/>
  <c r="V198" i="1"/>
  <c r="U198" i="1"/>
  <c r="T198" i="1"/>
  <c r="S198" i="1"/>
  <c r="R198" i="1"/>
  <c r="P198" i="1"/>
  <c r="O198" i="1"/>
  <c r="V197" i="1"/>
  <c r="U197" i="1"/>
  <c r="T197" i="1"/>
  <c r="S197" i="1"/>
  <c r="R197" i="1"/>
  <c r="P197" i="1"/>
  <c r="O197" i="1"/>
  <c r="V196" i="1"/>
  <c r="U196" i="1"/>
  <c r="T196" i="1"/>
  <c r="S196" i="1"/>
  <c r="R196" i="1"/>
  <c r="P196" i="1"/>
  <c r="O196" i="1"/>
  <c r="V195" i="1"/>
  <c r="U195" i="1"/>
  <c r="T195" i="1"/>
  <c r="S195" i="1"/>
  <c r="R195" i="1"/>
  <c r="P195" i="1"/>
  <c r="O195" i="1"/>
  <c r="V194" i="1"/>
  <c r="U194" i="1"/>
  <c r="T194" i="1"/>
  <c r="S194" i="1"/>
  <c r="R194" i="1"/>
  <c r="P194" i="1"/>
  <c r="O194" i="1"/>
  <c r="V193" i="1"/>
  <c r="U193" i="1"/>
  <c r="T193" i="1"/>
  <c r="S193" i="1"/>
  <c r="R193" i="1"/>
  <c r="P193" i="1"/>
  <c r="O193" i="1"/>
  <c r="V192" i="1"/>
  <c r="U192" i="1"/>
  <c r="T192" i="1"/>
  <c r="S192" i="1"/>
  <c r="R192" i="1"/>
  <c r="P192" i="1"/>
  <c r="O192" i="1"/>
  <c r="V191" i="1"/>
  <c r="U191" i="1"/>
  <c r="T191" i="1"/>
  <c r="S191" i="1"/>
  <c r="R191" i="1"/>
  <c r="P191" i="1"/>
  <c r="O191" i="1"/>
  <c r="V190" i="1"/>
  <c r="U190" i="1"/>
  <c r="T190" i="1"/>
  <c r="S190" i="1"/>
  <c r="R190" i="1"/>
  <c r="P190" i="1"/>
  <c r="O190" i="1"/>
  <c r="V189" i="1"/>
  <c r="U189" i="1"/>
  <c r="T189" i="1"/>
  <c r="S189" i="1"/>
  <c r="R189" i="1"/>
  <c r="P189" i="1"/>
  <c r="O189" i="1"/>
  <c r="V188" i="1"/>
  <c r="U188" i="1"/>
  <c r="T188" i="1"/>
  <c r="S188" i="1"/>
  <c r="R188" i="1"/>
  <c r="P188" i="1"/>
  <c r="O188" i="1"/>
  <c r="V187" i="1"/>
  <c r="U187" i="1"/>
  <c r="T187" i="1"/>
  <c r="S187" i="1"/>
  <c r="R187" i="1"/>
  <c r="P187" i="1"/>
  <c r="O187" i="1"/>
  <c r="V186" i="1"/>
  <c r="U186" i="1"/>
  <c r="T186" i="1"/>
  <c r="S186" i="1"/>
  <c r="R186" i="1"/>
  <c r="P186" i="1"/>
  <c r="O186" i="1"/>
  <c r="V185" i="1"/>
  <c r="U185" i="1"/>
  <c r="T185" i="1"/>
  <c r="S185" i="1"/>
  <c r="R185" i="1"/>
  <c r="P185" i="1"/>
  <c r="O185" i="1"/>
  <c r="V184" i="1"/>
  <c r="U184" i="1"/>
  <c r="T184" i="1"/>
  <c r="S184" i="1"/>
  <c r="R184" i="1"/>
  <c r="P184" i="1"/>
  <c r="O184" i="1"/>
  <c r="V183" i="1"/>
  <c r="U183" i="1"/>
  <c r="T183" i="1"/>
  <c r="S183" i="1"/>
  <c r="R183" i="1"/>
  <c r="P183" i="1"/>
  <c r="O183" i="1"/>
  <c r="V182" i="1"/>
  <c r="U182" i="1"/>
  <c r="T182" i="1"/>
  <c r="S182" i="1"/>
  <c r="R182" i="1"/>
  <c r="P182" i="1"/>
  <c r="O182" i="1"/>
  <c r="V181" i="1"/>
  <c r="U181" i="1"/>
  <c r="T181" i="1"/>
  <c r="S181" i="1"/>
  <c r="R181" i="1"/>
  <c r="P181" i="1"/>
  <c r="O181" i="1"/>
  <c r="V180" i="1"/>
  <c r="U180" i="1"/>
  <c r="T180" i="1"/>
  <c r="S180" i="1"/>
  <c r="R180" i="1"/>
  <c r="P180" i="1"/>
  <c r="O180" i="1"/>
  <c r="V179" i="1"/>
  <c r="U179" i="1"/>
  <c r="T179" i="1"/>
  <c r="S179" i="1"/>
  <c r="R179" i="1"/>
  <c r="P179" i="1"/>
  <c r="O179" i="1"/>
  <c r="V178" i="1"/>
  <c r="U178" i="1"/>
  <c r="T178" i="1"/>
  <c r="S178" i="1"/>
  <c r="R178" i="1"/>
  <c r="P178" i="1"/>
  <c r="O178" i="1"/>
  <c r="V177" i="1"/>
  <c r="U177" i="1"/>
  <c r="T177" i="1"/>
  <c r="S177" i="1"/>
  <c r="R177" i="1"/>
  <c r="P177" i="1"/>
  <c r="O177" i="1"/>
  <c r="V176" i="1"/>
  <c r="U176" i="1"/>
  <c r="T176" i="1"/>
  <c r="S176" i="1"/>
  <c r="R176" i="1"/>
  <c r="P176" i="1"/>
  <c r="O176" i="1"/>
  <c r="V175" i="1"/>
  <c r="U175" i="1"/>
  <c r="T175" i="1"/>
  <c r="S175" i="1"/>
  <c r="R175" i="1"/>
  <c r="P175" i="1"/>
  <c r="O175" i="1"/>
  <c r="V174" i="1"/>
  <c r="U174" i="1"/>
  <c r="T174" i="1"/>
  <c r="S174" i="1"/>
  <c r="R174" i="1"/>
  <c r="P174" i="1"/>
  <c r="O174" i="1"/>
  <c r="V173" i="1"/>
  <c r="U173" i="1"/>
  <c r="T173" i="1"/>
  <c r="S173" i="1"/>
  <c r="R173" i="1"/>
  <c r="P173" i="1"/>
  <c r="O173" i="1"/>
  <c r="V172" i="1"/>
  <c r="U172" i="1"/>
  <c r="T172" i="1"/>
  <c r="S172" i="1"/>
  <c r="R172" i="1"/>
  <c r="P172" i="1"/>
  <c r="O172" i="1"/>
  <c r="V171" i="1"/>
  <c r="U171" i="1"/>
  <c r="T171" i="1"/>
  <c r="S171" i="1"/>
  <c r="R171" i="1"/>
  <c r="P171" i="1"/>
  <c r="O171" i="1"/>
  <c r="V170" i="1"/>
  <c r="U170" i="1"/>
  <c r="T170" i="1"/>
  <c r="S170" i="1"/>
  <c r="R170" i="1"/>
  <c r="P170" i="1"/>
  <c r="O170" i="1"/>
  <c r="V169" i="1"/>
  <c r="U169" i="1"/>
  <c r="T169" i="1"/>
  <c r="S169" i="1"/>
  <c r="R169" i="1"/>
  <c r="P169" i="1"/>
  <c r="O169" i="1"/>
  <c r="V168" i="1"/>
  <c r="U168" i="1"/>
  <c r="T168" i="1"/>
  <c r="S168" i="1"/>
  <c r="R168" i="1"/>
  <c r="P168" i="1"/>
  <c r="O168" i="1"/>
  <c r="V167" i="1"/>
  <c r="U167" i="1"/>
  <c r="T167" i="1"/>
  <c r="S167" i="1"/>
  <c r="R167" i="1"/>
  <c r="P167" i="1"/>
  <c r="O167" i="1"/>
  <c r="V166" i="1"/>
  <c r="U166" i="1"/>
  <c r="T166" i="1"/>
  <c r="S166" i="1"/>
  <c r="R166" i="1"/>
  <c r="P166" i="1"/>
  <c r="O166" i="1"/>
  <c r="V165" i="1"/>
  <c r="U165" i="1"/>
  <c r="T165" i="1"/>
  <c r="S165" i="1"/>
  <c r="R165" i="1"/>
  <c r="P165" i="1"/>
  <c r="O165" i="1"/>
  <c r="V164" i="1"/>
  <c r="U164" i="1"/>
  <c r="T164" i="1"/>
  <c r="S164" i="1"/>
  <c r="R164" i="1"/>
  <c r="P164" i="1"/>
  <c r="O164" i="1"/>
  <c r="V163" i="1"/>
  <c r="U163" i="1"/>
  <c r="T163" i="1"/>
  <c r="S163" i="1"/>
  <c r="R163" i="1"/>
  <c r="P163" i="1"/>
  <c r="O163" i="1"/>
  <c r="V162" i="1"/>
  <c r="U162" i="1"/>
  <c r="T162" i="1"/>
  <c r="S162" i="1"/>
  <c r="R162" i="1"/>
  <c r="P162" i="1"/>
  <c r="O162" i="1"/>
  <c r="V161" i="1"/>
  <c r="U161" i="1"/>
  <c r="T161" i="1"/>
  <c r="S161" i="1"/>
  <c r="R161" i="1"/>
  <c r="P161" i="1"/>
  <c r="O161" i="1"/>
  <c r="V160" i="1"/>
  <c r="U160" i="1"/>
  <c r="T160" i="1"/>
  <c r="S160" i="1"/>
  <c r="R160" i="1"/>
  <c r="P160" i="1"/>
  <c r="O160" i="1"/>
  <c r="V159" i="1"/>
  <c r="U159" i="1"/>
  <c r="T159" i="1"/>
  <c r="S159" i="1"/>
  <c r="R159" i="1"/>
  <c r="P159" i="1"/>
  <c r="O159" i="1"/>
  <c r="V158" i="1"/>
  <c r="U158" i="1"/>
  <c r="T158" i="1"/>
  <c r="S158" i="1"/>
  <c r="R158" i="1"/>
  <c r="P158" i="1"/>
  <c r="O158" i="1"/>
  <c r="V157" i="1"/>
  <c r="U157" i="1"/>
  <c r="T157" i="1"/>
  <c r="S157" i="1"/>
  <c r="R157" i="1"/>
  <c r="P157" i="1"/>
  <c r="O157" i="1"/>
  <c r="V156" i="1"/>
  <c r="U156" i="1"/>
  <c r="T156" i="1"/>
  <c r="S156" i="1"/>
  <c r="R156" i="1"/>
  <c r="P156" i="1"/>
  <c r="O156" i="1"/>
  <c r="V155" i="1"/>
  <c r="U155" i="1"/>
  <c r="T155" i="1"/>
  <c r="S155" i="1"/>
  <c r="R155" i="1"/>
  <c r="P155" i="1"/>
  <c r="O155" i="1"/>
  <c r="V154" i="1"/>
  <c r="U154" i="1"/>
  <c r="T154" i="1"/>
  <c r="S154" i="1"/>
  <c r="R154" i="1"/>
  <c r="P154" i="1"/>
  <c r="O154" i="1"/>
  <c r="V153" i="1"/>
  <c r="U153" i="1"/>
  <c r="T153" i="1"/>
  <c r="S153" i="1"/>
  <c r="R153" i="1"/>
  <c r="P153" i="1"/>
  <c r="O153" i="1"/>
  <c r="V152" i="1"/>
  <c r="U152" i="1"/>
  <c r="T152" i="1"/>
  <c r="S152" i="1"/>
  <c r="R152" i="1"/>
  <c r="P152" i="1"/>
  <c r="O152" i="1"/>
  <c r="V151" i="1"/>
  <c r="U151" i="1"/>
  <c r="T151" i="1"/>
  <c r="S151" i="1"/>
  <c r="R151" i="1"/>
  <c r="P151" i="1"/>
  <c r="O151" i="1"/>
  <c r="V150" i="1"/>
  <c r="U150" i="1"/>
  <c r="T150" i="1"/>
  <c r="S150" i="1"/>
  <c r="R150" i="1"/>
  <c r="P150" i="1"/>
  <c r="O150" i="1"/>
  <c r="V149" i="1"/>
  <c r="U149" i="1"/>
  <c r="T149" i="1"/>
  <c r="S149" i="1"/>
  <c r="R149" i="1"/>
  <c r="P149" i="1"/>
  <c r="O149" i="1"/>
  <c r="V148" i="1"/>
  <c r="U148" i="1"/>
  <c r="T148" i="1"/>
  <c r="S148" i="1"/>
  <c r="R148" i="1"/>
  <c r="P148" i="1"/>
  <c r="O148" i="1"/>
  <c r="V147" i="1"/>
  <c r="U147" i="1"/>
  <c r="T147" i="1"/>
  <c r="S147" i="1"/>
  <c r="R147" i="1"/>
  <c r="P147" i="1"/>
  <c r="O147" i="1"/>
  <c r="V146" i="1"/>
  <c r="U146" i="1"/>
  <c r="T146" i="1"/>
  <c r="S146" i="1"/>
  <c r="R146" i="1"/>
  <c r="P146" i="1"/>
  <c r="O146" i="1"/>
  <c r="V145" i="1"/>
  <c r="U145" i="1"/>
  <c r="T145" i="1"/>
  <c r="S145" i="1"/>
  <c r="R145" i="1"/>
  <c r="P145" i="1"/>
  <c r="O145" i="1"/>
  <c r="V144" i="1"/>
  <c r="U144" i="1"/>
  <c r="T144" i="1"/>
  <c r="S144" i="1"/>
  <c r="R144" i="1"/>
  <c r="P144" i="1"/>
  <c r="O144" i="1"/>
  <c r="V143" i="1"/>
  <c r="U143" i="1"/>
  <c r="T143" i="1"/>
  <c r="S143" i="1"/>
  <c r="R143" i="1"/>
  <c r="P143" i="1"/>
  <c r="O143" i="1"/>
  <c r="V142" i="1"/>
  <c r="U142" i="1"/>
  <c r="T142" i="1"/>
  <c r="S142" i="1"/>
  <c r="R142" i="1"/>
  <c r="P142" i="1"/>
  <c r="O142" i="1"/>
  <c r="V141" i="1"/>
  <c r="U141" i="1"/>
  <c r="T141" i="1"/>
  <c r="S141" i="1"/>
  <c r="R141" i="1"/>
  <c r="P141" i="1"/>
  <c r="O141" i="1"/>
  <c r="V140" i="1"/>
  <c r="U140" i="1"/>
  <c r="T140" i="1"/>
  <c r="S140" i="1"/>
  <c r="R140" i="1"/>
  <c r="P140" i="1"/>
  <c r="O140" i="1"/>
  <c r="V139" i="1"/>
  <c r="U139" i="1"/>
  <c r="T139" i="1"/>
  <c r="S139" i="1"/>
  <c r="R139" i="1"/>
  <c r="P139" i="1"/>
  <c r="O139" i="1"/>
  <c r="V138" i="1"/>
  <c r="U138" i="1"/>
  <c r="T138" i="1"/>
  <c r="S138" i="1"/>
  <c r="R138" i="1"/>
  <c r="P138" i="1"/>
  <c r="O138" i="1"/>
  <c r="V137" i="1"/>
  <c r="U137" i="1"/>
  <c r="T137" i="1"/>
  <c r="S137" i="1"/>
  <c r="R137" i="1"/>
  <c r="P137" i="1"/>
  <c r="O137" i="1"/>
  <c r="V136" i="1"/>
  <c r="U136" i="1"/>
  <c r="T136" i="1"/>
  <c r="S136" i="1"/>
  <c r="R136" i="1"/>
  <c r="P136" i="1"/>
  <c r="O136" i="1"/>
  <c r="V135" i="1"/>
  <c r="U135" i="1"/>
  <c r="T135" i="1"/>
  <c r="S135" i="1"/>
  <c r="R135" i="1"/>
  <c r="P135" i="1"/>
  <c r="O135" i="1"/>
  <c r="V134" i="1"/>
  <c r="U134" i="1"/>
  <c r="T134" i="1"/>
  <c r="S134" i="1"/>
  <c r="R134" i="1"/>
  <c r="P134" i="1"/>
  <c r="O134" i="1"/>
  <c r="V133" i="1"/>
  <c r="U133" i="1"/>
  <c r="T133" i="1"/>
  <c r="S133" i="1"/>
  <c r="R133" i="1"/>
  <c r="P133" i="1"/>
  <c r="O133" i="1"/>
  <c r="V132" i="1"/>
  <c r="U132" i="1"/>
  <c r="T132" i="1"/>
  <c r="S132" i="1"/>
  <c r="R132" i="1"/>
  <c r="P132" i="1"/>
  <c r="O132" i="1"/>
  <c r="V131" i="1"/>
  <c r="U131" i="1"/>
  <c r="T131" i="1"/>
  <c r="S131" i="1"/>
  <c r="R131" i="1"/>
  <c r="P131" i="1"/>
  <c r="O131" i="1"/>
  <c r="V130" i="1"/>
  <c r="U130" i="1"/>
  <c r="T130" i="1"/>
  <c r="S130" i="1"/>
  <c r="R130" i="1"/>
  <c r="P130" i="1"/>
  <c r="O130" i="1"/>
  <c r="V129" i="1"/>
  <c r="U129" i="1"/>
  <c r="T129" i="1"/>
  <c r="S129" i="1"/>
  <c r="R129" i="1"/>
  <c r="P129" i="1"/>
  <c r="O129" i="1"/>
  <c r="V128" i="1"/>
  <c r="U128" i="1"/>
  <c r="T128" i="1"/>
  <c r="S128" i="1"/>
  <c r="R128" i="1"/>
  <c r="P128" i="1"/>
  <c r="O128" i="1"/>
  <c r="V127" i="1"/>
  <c r="U127" i="1"/>
  <c r="T127" i="1"/>
  <c r="S127" i="1"/>
  <c r="R127" i="1"/>
  <c r="P127" i="1"/>
  <c r="O127" i="1"/>
  <c r="V126" i="1"/>
  <c r="U126" i="1"/>
  <c r="T126" i="1"/>
  <c r="S126" i="1"/>
  <c r="R126" i="1"/>
  <c r="P126" i="1"/>
  <c r="O126" i="1"/>
  <c r="V125" i="1"/>
  <c r="U125" i="1"/>
  <c r="T125" i="1"/>
  <c r="S125" i="1"/>
  <c r="R125" i="1"/>
  <c r="P125" i="1"/>
  <c r="O125" i="1"/>
  <c r="V124" i="1"/>
  <c r="U124" i="1"/>
  <c r="T124" i="1"/>
  <c r="S124" i="1"/>
  <c r="R124" i="1"/>
  <c r="P124" i="1"/>
  <c r="O124" i="1"/>
  <c r="V123" i="1"/>
  <c r="U123" i="1"/>
  <c r="T123" i="1"/>
  <c r="S123" i="1"/>
  <c r="R123" i="1"/>
  <c r="P123" i="1"/>
  <c r="O123" i="1"/>
  <c r="V122" i="1"/>
  <c r="U122" i="1"/>
  <c r="T122" i="1"/>
  <c r="S122" i="1"/>
  <c r="R122" i="1"/>
  <c r="P122" i="1"/>
  <c r="O122" i="1"/>
  <c r="V121" i="1"/>
  <c r="U121" i="1"/>
  <c r="T121" i="1"/>
  <c r="S121" i="1"/>
  <c r="R121" i="1"/>
  <c r="P121" i="1"/>
  <c r="O121" i="1"/>
  <c r="V120" i="1"/>
  <c r="U120" i="1"/>
  <c r="T120" i="1"/>
  <c r="S120" i="1"/>
  <c r="R120" i="1"/>
  <c r="P120" i="1"/>
  <c r="O120" i="1"/>
  <c r="V119" i="1"/>
  <c r="U119" i="1"/>
  <c r="T119" i="1"/>
  <c r="S119" i="1"/>
  <c r="R119" i="1"/>
  <c r="P119" i="1"/>
  <c r="O119" i="1"/>
  <c r="V118" i="1"/>
  <c r="U118" i="1"/>
  <c r="T118" i="1"/>
  <c r="S118" i="1"/>
  <c r="R118" i="1"/>
  <c r="P118" i="1"/>
  <c r="O118" i="1"/>
  <c r="V117" i="1"/>
  <c r="U117" i="1"/>
  <c r="T117" i="1"/>
  <c r="S117" i="1"/>
  <c r="R117" i="1"/>
  <c r="P117" i="1"/>
  <c r="O117" i="1"/>
  <c r="V116" i="1"/>
  <c r="U116" i="1"/>
  <c r="T116" i="1"/>
  <c r="S116" i="1"/>
  <c r="R116" i="1"/>
  <c r="P116" i="1"/>
  <c r="O116" i="1"/>
  <c r="V115" i="1"/>
  <c r="U115" i="1"/>
  <c r="T115" i="1"/>
  <c r="S115" i="1"/>
  <c r="R115" i="1"/>
  <c r="P115" i="1"/>
  <c r="O115" i="1"/>
  <c r="V114" i="1"/>
  <c r="U114" i="1"/>
  <c r="T114" i="1"/>
  <c r="S114" i="1"/>
  <c r="R114" i="1"/>
  <c r="P114" i="1"/>
  <c r="O114" i="1"/>
  <c r="V113" i="1"/>
  <c r="U113" i="1"/>
  <c r="T113" i="1"/>
  <c r="S113" i="1"/>
  <c r="R113" i="1"/>
  <c r="P113" i="1"/>
  <c r="O113" i="1"/>
  <c r="V112" i="1"/>
  <c r="U112" i="1"/>
  <c r="T112" i="1"/>
  <c r="S112" i="1"/>
  <c r="R112" i="1"/>
  <c r="P112" i="1"/>
  <c r="O112" i="1"/>
  <c r="V111" i="1"/>
  <c r="U111" i="1"/>
  <c r="T111" i="1"/>
  <c r="S111" i="1"/>
  <c r="R111" i="1"/>
  <c r="P111" i="1"/>
  <c r="O111" i="1"/>
  <c r="V110" i="1"/>
  <c r="U110" i="1"/>
  <c r="T110" i="1"/>
  <c r="S110" i="1"/>
  <c r="R110" i="1"/>
  <c r="P110" i="1"/>
  <c r="O110" i="1"/>
  <c r="V109" i="1"/>
  <c r="U109" i="1"/>
  <c r="T109" i="1"/>
  <c r="S109" i="1"/>
  <c r="R109" i="1"/>
  <c r="P109" i="1"/>
  <c r="O109" i="1"/>
  <c r="V108" i="1"/>
  <c r="U108" i="1"/>
  <c r="T108" i="1"/>
  <c r="S108" i="1"/>
  <c r="R108" i="1"/>
  <c r="P108" i="1"/>
  <c r="O108" i="1"/>
  <c r="V107" i="1"/>
  <c r="U107" i="1"/>
  <c r="T107" i="1"/>
  <c r="S107" i="1"/>
  <c r="R107" i="1"/>
  <c r="P107" i="1"/>
  <c r="O107" i="1"/>
  <c r="V106" i="1"/>
  <c r="U106" i="1"/>
  <c r="T106" i="1"/>
  <c r="S106" i="1"/>
  <c r="R106" i="1"/>
  <c r="P106" i="1"/>
  <c r="O106" i="1"/>
  <c r="V105" i="1"/>
  <c r="U105" i="1"/>
  <c r="T105" i="1"/>
  <c r="S105" i="1"/>
  <c r="R105" i="1"/>
  <c r="P105" i="1"/>
  <c r="O105" i="1"/>
  <c r="V104" i="1"/>
  <c r="U104" i="1"/>
  <c r="T104" i="1"/>
  <c r="S104" i="1"/>
  <c r="R104" i="1"/>
  <c r="P104" i="1"/>
  <c r="O104" i="1"/>
  <c r="V103" i="1"/>
  <c r="U103" i="1"/>
  <c r="T103" i="1"/>
  <c r="S103" i="1"/>
  <c r="R103" i="1"/>
  <c r="P103" i="1"/>
  <c r="O103" i="1"/>
  <c r="V102" i="1"/>
  <c r="U102" i="1"/>
  <c r="T102" i="1"/>
  <c r="S102" i="1"/>
  <c r="R102" i="1"/>
  <c r="P102" i="1"/>
  <c r="O102" i="1"/>
  <c r="V101" i="1"/>
  <c r="U101" i="1"/>
  <c r="T101" i="1"/>
  <c r="S101" i="1"/>
  <c r="R101" i="1"/>
  <c r="P101" i="1"/>
  <c r="O101" i="1"/>
  <c r="V100" i="1"/>
  <c r="U100" i="1"/>
  <c r="T100" i="1"/>
  <c r="S100" i="1"/>
  <c r="R100" i="1"/>
  <c r="P100" i="1"/>
  <c r="O100" i="1"/>
  <c r="V99" i="1"/>
  <c r="U99" i="1"/>
  <c r="T99" i="1"/>
  <c r="S99" i="1"/>
  <c r="R99" i="1"/>
  <c r="P99" i="1"/>
  <c r="O99" i="1"/>
  <c r="V98" i="1"/>
  <c r="U98" i="1"/>
  <c r="T98" i="1"/>
  <c r="S98" i="1"/>
  <c r="R98" i="1"/>
  <c r="P98" i="1"/>
  <c r="O98" i="1"/>
  <c r="V97" i="1"/>
  <c r="U97" i="1"/>
  <c r="T97" i="1"/>
  <c r="S97" i="1"/>
  <c r="R97" i="1"/>
  <c r="P97" i="1"/>
  <c r="O97" i="1"/>
  <c r="V96" i="1"/>
  <c r="U96" i="1"/>
  <c r="T96" i="1"/>
  <c r="S96" i="1"/>
  <c r="R96" i="1"/>
  <c r="P96" i="1"/>
  <c r="O96" i="1"/>
  <c r="V95" i="1"/>
  <c r="U95" i="1"/>
  <c r="T95" i="1"/>
  <c r="S95" i="1"/>
  <c r="R95" i="1"/>
  <c r="P95" i="1"/>
  <c r="O95" i="1"/>
  <c r="V94" i="1"/>
  <c r="U94" i="1"/>
  <c r="T94" i="1"/>
  <c r="S94" i="1"/>
  <c r="R94" i="1"/>
  <c r="P94" i="1"/>
  <c r="O94" i="1"/>
  <c r="V93" i="1"/>
  <c r="U93" i="1"/>
  <c r="T93" i="1"/>
  <c r="S93" i="1"/>
  <c r="R93" i="1"/>
  <c r="P93" i="1"/>
  <c r="O93" i="1"/>
  <c r="V92" i="1"/>
  <c r="U92" i="1"/>
  <c r="T92" i="1"/>
  <c r="S92" i="1"/>
  <c r="R92" i="1"/>
  <c r="P92" i="1"/>
  <c r="O92" i="1"/>
  <c r="V91" i="1"/>
  <c r="U91" i="1"/>
  <c r="T91" i="1"/>
  <c r="S91" i="1"/>
  <c r="R91" i="1"/>
  <c r="P91" i="1"/>
  <c r="O91" i="1"/>
  <c r="V90" i="1"/>
  <c r="U90" i="1"/>
  <c r="T90" i="1"/>
  <c r="S90" i="1"/>
  <c r="R90" i="1"/>
  <c r="P90" i="1"/>
  <c r="O90" i="1"/>
  <c r="V89" i="1"/>
  <c r="U89" i="1"/>
  <c r="T89" i="1"/>
  <c r="S89" i="1"/>
  <c r="R89" i="1"/>
  <c r="P89" i="1"/>
  <c r="O89" i="1"/>
  <c r="V88" i="1"/>
  <c r="U88" i="1"/>
  <c r="T88" i="1"/>
  <c r="S88" i="1"/>
  <c r="R88" i="1"/>
  <c r="P88" i="1"/>
  <c r="O88" i="1"/>
  <c r="V87" i="1"/>
  <c r="U87" i="1"/>
  <c r="T87" i="1"/>
  <c r="S87" i="1"/>
  <c r="R87" i="1"/>
  <c r="P87" i="1"/>
  <c r="O87" i="1"/>
  <c r="V86" i="1"/>
  <c r="U86" i="1"/>
  <c r="T86" i="1"/>
  <c r="S86" i="1"/>
  <c r="R86" i="1"/>
  <c r="P86" i="1"/>
  <c r="O86" i="1"/>
  <c r="V85" i="1"/>
  <c r="U85" i="1"/>
  <c r="T85" i="1"/>
  <c r="S85" i="1"/>
  <c r="R85" i="1"/>
  <c r="P85" i="1"/>
  <c r="O85" i="1"/>
  <c r="V84" i="1"/>
  <c r="U84" i="1"/>
  <c r="T84" i="1"/>
  <c r="S84" i="1"/>
  <c r="R84" i="1"/>
  <c r="P84" i="1"/>
  <c r="O84" i="1"/>
  <c r="V83" i="1"/>
  <c r="U83" i="1"/>
  <c r="T83" i="1"/>
  <c r="S83" i="1"/>
  <c r="R83" i="1"/>
  <c r="P83" i="1"/>
  <c r="O83" i="1"/>
  <c r="V82" i="1"/>
  <c r="U82" i="1"/>
  <c r="T82" i="1"/>
  <c r="S82" i="1"/>
  <c r="R82" i="1"/>
  <c r="P82" i="1"/>
  <c r="O82" i="1"/>
  <c r="V81" i="1"/>
  <c r="U81" i="1"/>
  <c r="T81" i="1"/>
  <c r="S81" i="1"/>
  <c r="R81" i="1"/>
  <c r="P81" i="1"/>
  <c r="O81" i="1"/>
  <c r="V80" i="1"/>
  <c r="U80" i="1"/>
  <c r="T80" i="1"/>
  <c r="S80" i="1"/>
  <c r="R80" i="1"/>
  <c r="P80" i="1"/>
  <c r="O80" i="1"/>
  <c r="V79" i="1"/>
  <c r="U79" i="1"/>
  <c r="T79" i="1"/>
  <c r="S79" i="1"/>
  <c r="R79" i="1"/>
  <c r="P79" i="1"/>
  <c r="O79" i="1"/>
  <c r="V78" i="1"/>
  <c r="U78" i="1"/>
  <c r="T78" i="1"/>
  <c r="S78" i="1"/>
  <c r="R78" i="1"/>
  <c r="P78" i="1"/>
  <c r="O78" i="1"/>
  <c r="V77" i="1"/>
  <c r="U77" i="1"/>
  <c r="T77" i="1"/>
  <c r="S77" i="1"/>
  <c r="R77" i="1"/>
  <c r="P77" i="1"/>
  <c r="O77" i="1"/>
  <c r="V76" i="1"/>
  <c r="U76" i="1"/>
  <c r="T76" i="1"/>
  <c r="S76" i="1"/>
  <c r="R76" i="1"/>
  <c r="P76" i="1"/>
  <c r="O76" i="1"/>
  <c r="V75" i="1"/>
  <c r="U75" i="1"/>
  <c r="T75" i="1"/>
  <c r="S75" i="1"/>
  <c r="R75" i="1"/>
  <c r="P75" i="1"/>
  <c r="O75" i="1"/>
  <c r="V74" i="1"/>
  <c r="U74" i="1"/>
  <c r="T74" i="1"/>
  <c r="S74" i="1"/>
  <c r="R74" i="1"/>
  <c r="P74" i="1"/>
  <c r="O74" i="1"/>
  <c r="V73" i="1"/>
  <c r="U73" i="1"/>
  <c r="T73" i="1"/>
  <c r="S73" i="1"/>
  <c r="R73" i="1"/>
  <c r="P73" i="1"/>
  <c r="O73" i="1"/>
  <c r="V72" i="1"/>
  <c r="U72" i="1"/>
  <c r="T72" i="1"/>
  <c r="S72" i="1"/>
  <c r="R72" i="1"/>
  <c r="P72" i="1"/>
  <c r="O72" i="1"/>
  <c r="V71" i="1"/>
  <c r="U71" i="1"/>
  <c r="T71" i="1"/>
  <c r="S71" i="1"/>
  <c r="R71" i="1"/>
  <c r="P71" i="1"/>
  <c r="O71" i="1"/>
  <c r="V70" i="1"/>
  <c r="U70" i="1"/>
  <c r="T70" i="1"/>
  <c r="S70" i="1"/>
  <c r="R70" i="1"/>
  <c r="P70" i="1"/>
  <c r="O70" i="1"/>
  <c r="V69" i="1"/>
  <c r="U69" i="1"/>
  <c r="T69" i="1"/>
  <c r="S69" i="1"/>
  <c r="R69" i="1"/>
  <c r="P69" i="1"/>
  <c r="O69" i="1"/>
  <c r="V68" i="1"/>
  <c r="U68" i="1"/>
  <c r="T68" i="1"/>
  <c r="S68" i="1"/>
  <c r="R68" i="1"/>
  <c r="P68" i="1"/>
  <c r="O68" i="1"/>
  <c r="V67" i="1"/>
  <c r="U67" i="1"/>
  <c r="T67" i="1"/>
  <c r="S67" i="1"/>
  <c r="R67" i="1"/>
  <c r="P67" i="1"/>
  <c r="O67" i="1"/>
  <c r="V66" i="1"/>
  <c r="U66" i="1"/>
  <c r="T66" i="1"/>
  <c r="S66" i="1"/>
  <c r="R66" i="1"/>
  <c r="P66" i="1"/>
  <c r="O66" i="1"/>
  <c r="V65" i="1"/>
  <c r="U65" i="1"/>
  <c r="T65" i="1"/>
  <c r="S65" i="1"/>
  <c r="R65" i="1"/>
  <c r="P65" i="1"/>
  <c r="O65" i="1"/>
  <c r="V64" i="1"/>
  <c r="U64" i="1"/>
  <c r="T64" i="1"/>
  <c r="S64" i="1"/>
  <c r="R64" i="1"/>
  <c r="P64" i="1"/>
  <c r="O64" i="1"/>
  <c r="V63" i="1"/>
  <c r="U63" i="1"/>
  <c r="T63" i="1"/>
  <c r="S63" i="1"/>
  <c r="R63" i="1"/>
  <c r="P63" i="1"/>
  <c r="O63" i="1"/>
  <c r="V62" i="1"/>
  <c r="U62" i="1"/>
  <c r="T62" i="1"/>
  <c r="S62" i="1"/>
  <c r="R62" i="1"/>
  <c r="P62" i="1"/>
  <c r="O62" i="1"/>
  <c r="V61" i="1"/>
  <c r="U61" i="1"/>
  <c r="T61" i="1"/>
  <c r="S61" i="1"/>
  <c r="R61" i="1"/>
  <c r="P61" i="1"/>
  <c r="O61" i="1"/>
  <c r="V60" i="1"/>
  <c r="U60" i="1"/>
  <c r="T60" i="1"/>
  <c r="S60" i="1"/>
  <c r="R60" i="1"/>
  <c r="P60" i="1"/>
  <c r="O60" i="1"/>
  <c r="V59" i="1"/>
  <c r="U59" i="1"/>
  <c r="T59" i="1"/>
  <c r="S59" i="1"/>
  <c r="R59" i="1"/>
  <c r="P59" i="1"/>
  <c r="O59" i="1"/>
  <c r="V58" i="1"/>
  <c r="U58" i="1"/>
  <c r="T58" i="1"/>
  <c r="S58" i="1"/>
  <c r="R58" i="1"/>
  <c r="P58" i="1"/>
  <c r="O58" i="1"/>
  <c r="V57" i="1"/>
  <c r="U57" i="1"/>
  <c r="T57" i="1"/>
  <c r="S57" i="1"/>
  <c r="R57" i="1"/>
  <c r="P57" i="1"/>
  <c r="O57" i="1"/>
  <c r="V56" i="1"/>
  <c r="U56" i="1"/>
  <c r="T56" i="1"/>
  <c r="S56" i="1"/>
  <c r="R56" i="1"/>
  <c r="P56" i="1"/>
  <c r="O56" i="1"/>
  <c r="V55" i="1"/>
  <c r="U55" i="1"/>
  <c r="T55" i="1"/>
  <c r="S55" i="1"/>
  <c r="R55" i="1"/>
  <c r="P55" i="1"/>
  <c r="O55" i="1"/>
  <c r="V54" i="1"/>
  <c r="U54" i="1"/>
  <c r="T54" i="1"/>
  <c r="S54" i="1"/>
  <c r="R54" i="1"/>
  <c r="P54" i="1"/>
  <c r="O54" i="1"/>
  <c r="V53" i="1"/>
  <c r="U53" i="1"/>
  <c r="T53" i="1"/>
  <c r="S53" i="1"/>
  <c r="R53" i="1"/>
  <c r="P53" i="1"/>
  <c r="O53" i="1"/>
  <c r="V52" i="1"/>
  <c r="U52" i="1"/>
  <c r="T52" i="1"/>
  <c r="S52" i="1"/>
  <c r="R52" i="1"/>
  <c r="P52" i="1"/>
  <c r="O52" i="1"/>
  <c r="V51" i="1"/>
  <c r="U51" i="1"/>
  <c r="T51" i="1"/>
  <c r="S51" i="1"/>
  <c r="R51" i="1"/>
  <c r="P51" i="1"/>
  <c r="O51" i="1"/>
  <c r="V50" i="1"/>
  <c r="U50" i="1"/>
  <c r="T50" i="1"/>
  <c r="S50" i="1"/>
  <c r="R50" i="1"/>
  <c r="P50" i="1"/>
  <c r="O50" i="1"/>
  <c r="V49" i="1"/>
  <c r="U49" i="1"/>
  <c r="T49" i="1"/>
  <c r="S49" i="1"/>
  <c r="R49" i="1"/>
  <c r="P49" i="1"/>
  <c r="O49" i="1"/>
  <c r="V48" i="1"/>
  <c r="U48" i="1"/>
  <c r="T48" i="1"/>
  <c r="S48" i="1"/>
  <c r="R48" i="1"/>
  <c r="P48" i="1"/>
  <c r="O48" i="1"/>
  <c r="V47" i="1"/>
  <c r="U47" i="1"/>
  <c r="T47" i="1"/>
  <c r="S47" i="1"/>
  <c r="R47" i="1"/>
  <c r="P47" i="1"/>
  <c r="O47" i="1"/>
  <c r="V46" i="1"/>
  <c r="U46" i="1"/>
  <c r="T46" i="1"/>
  <c r="S46" i="1"/>
  <c r="R46" i="1"/>
  <c r="P46" i="1"/>
  <c r="O46" i="1"/>
  <c r="V45" i="1"/>
  <c r="U45" i="1"/>
  <c r="T45" i="1"/>
  <c r="S45" i="1"/>
  <c r="R45" i="1"/>
  <c r="P45" i="1"/>
  <c r="O45" i="1"/>
  <c r="V44" i="1"/>
  <c r="U44" i="1"/>
  <c r="T44" i="1"/>
  <c r="S44" i="1"/>
  <c r="R44" i="1"/>
  <c r="P44" i="1"/>
  <c r="O44" i="1"/>
  <c r="V43" i="1"/>
  <c r="U43" i="1"/>
  <c r="T43" i="1"/>
  <c r="S43" i="1"/>
  <c r="R43" i="1"/>
  <c r="P43" i="1"/>
  <c r="O43" i="1"/>
  <c r="V42" i="1"/>
  <c r="U42" i="1"/>
  <c r="T42" i="1"/>
  <c r="S42" i="1"/>
  <c r="R42" i="1"/>
  <c r="P42" i="1"/>
  <c r="O42" i="1"/>
  <c r="V41" i="1"/>
  <c r="U41" i="1"/>
  <c r="T41" i="1"/>
  <c r="S41" i="1"/>
  <c r="R41" i="1"/>
  <c r="P41" i="1"/>
  <c r="O41" i="1"/>
  <c r="V40" i="1"/>
  <c r="U40" i="1"/>
  <c r="T40" i="1"/>
  <c r="S40" i="1"/>
  <c r="R40" i="1"/>
  <c r="P40" i="1"/>
  <c r="O40" i="1"/>
  <c r="V39" i="1"/>
  <c r="U39" i="1"/>
  <c r="T39" i="1"/>
  <c r="S39" i="1"/>
  <c r="R39" i="1"/>
  <c r="P39" i="1"/>
  <c r="O39" i="1"/>
  <c r="V38" i="1"/>
  <c r="U38" i="1"/>
  <c r="T38" i="1"/>
  <c r="S38" i="1"/>
  <c r="R38" i="1"/>
  <c r="P38" i="1"/>
  <c r="O38" i="1"/>
  <c r="V37" i="1"/>
  <c r="U37" i="1"/>
  <c r="T37" i="1"/>
  <c r="S37" i="1"/>
  <c r="R37" i="1"/>
  <c r="P37" i="1"/>
  <c r="O37" i="1"/>
  <c r="V36" i="1"/>
  <c r="U36" i="1"/>
  <c r="T36" i="1"/>
  <c r="S36" i="1"/>
  <c r="R36" i="1"/>
  <c r="P36" i="1"/>
  <c r="O36" i="1"/>
  <c r="V35" i="1"/>
  <c r="U35" i="1"/>
  <c r="T35" i="1"/>
  <c r="S35" i="1"/>
  <c r="R35" i="1"/>
  <c r="P35" i="1"/>
  <c r="O35" i="1"/>
  <c r="V34" i="1"/>
  <c r="U34" i="1"/>
  <c r="T34" i="1"/>
  <c r="S34" i="1"/>
  <c r="R34" i="1"/>
  <c r="P34" i="1"/>
  <c r="O34" i="1"/>
  <c r="V33" i="1"/>
  <c r="U33" i="1"/>
  <c r="T33" i="1"/>
  <c r="S33" i="1"/>
  <c r="R33" i="1"/>
  <c r="P33" i="1"/>
  <c r="O33" i="1"/>
  <c r="V32" i="1"/>
  <c r="U32" i="1"/>
  <c r="T32" i="1"/>
  <c r="S32" i="1"/>
  <c r="R32" i="1"/>
  <c r="P32" i="1"/>
  <c r="O32" i="1"/>
  <c r="V31" i="1"/>
  <c r="U31" i="1"/>
  <c r="T31" i="1"/>
  <c r="S31" i="1"/>
  <c r="R31" i="1"/>
  <c r="P31" i="1"/>
  <c r="O31" i="1"/>
  <c r="V30" i="1"/>
  <c r="U30" i="1"/>
  <c r="T30" i="1"/>
  <c r="S30" i="1"/>
  <c r="R30" i="1"/>
  <c r="P30" i="1"/>
  <c r="O30" i="1"/>
  <c r="V29" i="1"/>
  <c r="U29" i="1"/>
  <c r="T29" i="1"/>
  <c r="S29" i="1"/>
  <c r="R29" i="1"/>
  <c r="P29" i="1"/>
  <c r="O29" i="1"/>
  <c r="V28" i="1"/>
  <c r="U28" i="1"/>
  <c r="T28" i="1"/>
  <c r="S28" i="1"/>
  <c r="R28" i="1"/>
  <c r="P28" i="1"/>
  <c r="O28" i="1"/>
  <c r="V27" i="1"/>
  <c r="U27" i="1"/>
  <c r="T27" i="1"/>
  <c r="S27" i="1"/>
  <c r="R27" i="1"/>
  <c r="P27" i="1"/>
  <c r="O27" i="1"/>
  <c r="V26" i="1"/>
  <c r="U26" i="1"/>
  <c r="T26" i="1"/>
  <c r="S26" i="1"/>
  <c r="R26" i="1"/>
  <c r="P26" i="1"/>
  <c r="O26" i="1"/>
  <c r="V25" i="1"/>
  <c r="U25" i="1"/>
  <c r="T25" i="1"/>
  <c r="S25" i="1"/>
  <c r="R25" i="1"/>
  <c r="P25" i="1"/>
  <c r="O25" i="1"/>
  <c r="V24" i="1"/>
  <c r="U24" i="1"/>
  <c r="T24" i="1"/>
  <c r="S24" i="1"/>
  <c r="R24" i="1"/>
  <c r="P24" i="1"/>
  <c r="O24" i="1"/>
  <c r="V23" i="1"/>
  <c r="U23" i="1"/>
  <c r="T23" i="1"/>
  <c r="S23" i="1"/>
  <c r="R23" i="1"/>
  <c r="P23" i="1"/>
  <c r="O23" i="1"/>
  <c r="V22" i="1"/>
  <c r="U22" i="1"/>
  <c r="T22" i="1"/>
  <c r="S22" i="1"/>
  <c r="R22" i="1"/>
  <c r="P22" i="1"/>
  <c r="O22" i="1"/>
  <c r="V21" i="1"/>
  <c r="U21" i="1"/>
  <c r="T21" i="1"/>
  <c r="S21" i="1"/>
  <c r="R21" i="1"/>
  <c r="P21" i="1"/>
  <c r="O21" i="1"/>
  <c r="V20" i="1"/>
  <c r="U20" i="1"/>
  <c r="T20" i="1"/>
  <c r="S20" i="1"/>
  <c r="R20" i="1"/>
  <c r="P20" i="1"/>
  <c r="O20" i="1"/>
  <c r="V19" i="1"/>
  <c r="U19" i="1"/>
  <c r="T19" i="1"/>
  <c r="S19" i="1"/>
  <c r="R19" i="1"/>
  <c r="P19" i="1"/>
  <c r="O19" i="1"/>
  <c r="V18" i="1"/>
  <c r="U18" i="1"/>
  <c r="T18" i="1"/>
  <c r="S18" i="1"/>
  <c r="R18" i="1"/>
  <c r="P18" i="1"/>
  <c r="O18" i="1"/>
  <c r="V17" i="1"/>
  <c r="U17" i="1"/>
  <c r="T17" i="1"/>
  <c r="S17" i="1"/>
  <c r="R17" i="1"/>
  <c r="P17" i="1"/>
  <c r="O17" i="1"/>
  <c r="V16" i="1"/>
  <c r="U16" i="1"/>
  <c r="T16" i="1"/>
  <c r="S16" i="1"/>
  <c r="R16" i="1"/>
  <c r="P16" i="1"/>
  <c r="O16" i="1"/>
  <c r="V15" i="1"/>
  <c r="U15" i="1"/>
  <c r="T15" i="1"/>
  <c r="S15" i="1"/>
  <c r="R15" i="1"/>
  <c r="P15" i="1"/>
  <c r="O15" i="1"/>
  <c r="V14" i="1"/>
  <c r="U14" i="1"/>
  <c r="T14" i="1"/>
  <c r="S14" i="1"/>
  <c r="R14" i="1"/>
  <c r="P14" i="1"/>
  <c r="O14" i="1"/>
  <c r="V13" i="1"/>
  <c r="U13" i="1"/>
  <c r="T13" i="1"/>
  <c r="S13" i="1"/>
  <c r="R13" i="1"/>
  <c r="P13" i="1"/>
  <c r="O13" i="1"/>
  <c r="V12" i="1"/>
  <c r="U12" i="1"/>
  <c r="T12" i="1"/>
  <c r="S12" i="1"/>
  <c r="R12" i="1"/>
  <c r="P12" i="1"/>
  <c r="O12" i="1"/>
  <c r="V11" i="1"/>
  <c r="U11" i="1"/>
  <c r="T11" i="1"/>
  <c r="S11" i="1"/>
  <c r="R11" i="1"/>
  <c r="P11" i="1"/>
  <c r="O11" i="1"/>
  <c r="V10" i="1"/>
  <c r="U10" i="1"/>
  <c r="T10" i="1"/>
  <c r="S10" i="1"/>
  <c r="R10" i="1"/>
  <c r="P10" i="1"/>
  <c r="O10" i="1"/>
  <c r="V9" i="1"/>
  <c r="U9" i="1"/>
  <c r="T9" i="1"/>
  <c r="S9" i="1"/>
  <c r="R9" i="1"/>
  <c r="P9" i="1"/>
  <c r="O9" i="1"/>
  <c r="V8" i="1"/>
  <c r="U8" i="1"/>
  <c r="T8" i="1"/>
  <c r="S8" i="1"/>
  <c r="R8" i="1"/>
  <c r="P8" i="1"/>
  <c r="O8" i="1"/>
  <c r="V7" i="1"/>
  <c r="U7" i="1"/>
  <c r="T7" i="1"/>
  <c r="S7" i="1"/>
  <c r="R7" i="1"/>
  <c r="P7" i="1"/>
  <c r="O7" i="1"/>
  <c r="V6" i="1"/>
  <c r="U6" i="1"/>
  <c r="T6" i="1"/>
  <c r="S6" i="1"/>
  <c r="R6" i="1"/>
  <c r="P6" i="1"/>
  <c r="O6" i="1"/>
  <c r="V5" i="1"/>
  <c r="U5" i="1"/>
  <c r="T5" i="1"/>
  <c r="S5" i="1"/>
  <c r="R5" i="1"/>
  <c r="P5" i="1"/>
  <c r="O5" i="1"/>
  <c r="V4" i="1"/>
  <c r="U4" i="1"/>
  <c r="T4" i="1"/>
  <c r="S4" i="1"/>
  <c r="R4" i="1"/>
  <c r="P4" i="1"/>
  <c r="O4" i="1"/>
  <c r="V3" i="1"/>
  <c r="U3" i="1"/>
  <c r="T3" i="1"/>
  <c r="S3" i="1"/>
  <c r="R3" i="1"/>
  <c r="P3" i="1"/>
  <c r="O3" i="1"/>
  <c r="V2" i="1"/>
  <c r="U2" i="1"/>
  <c r="T2" i="1"/>
  <c r="S2" i="1"/>
  <c r="R2" i="1"/>
  <c r="P2" i="1"/>
  <c r="O2" i="1"/>
</calcChain>
</file>

<file path=xl/sharedStrings.xml><?xml version="1.0" encoding="utf-8"?>
<sst xmlns="http://schemas.openxmlformats.org/spreadsheetml/2006/main" count="9117" uniqueCount="1336">
  <si>
    <t>Order ID</t>
  </si>
  <si>
    <t>Order Date</t>
  </si>
  <si>
    <t>Customer Name</t>
  </si>
  <si>
    <t>Region</t>
  </si>
  <si>
    <t>State</t>
  </si>
  <si>
    <t>Category</t>
  </si>
  <si>
    <t>Sub Category</t>
  </si>
  <si>
    <t>Product Name</t>
  </si>
  <si>
    <t>Sales</t>
  </si>
  <si>
    <t>Quantity</t>
  </si>
  <si>
    <t>Discount</t>
  </si>
  <si>
    <t>Profit</t>
  </si>
  <si>
    <t>Sales Person</t>
  </si>
  <si>
    <t>Segment</t>
  </si>
  <si>
    <t>salesman rank</t>
  </si>
  <si>
    <t>Unit price</t>
  </si>
  <si>
    <t>Order_Date_New</t>
  </si>
  <si>
    <t>Year</t>
  </si>
  <si>
    <t>Month_num</t>
  </si>
  <si>
    <t>Month_name</t>
  </si>
  <si>
    <t>profit_margin</t>
  </si>
  <si>
    <t>Discount_Bucket</t>
  </si>
  <si>
    <t>ORD100002</t>
  </si>
  <si>
    <t>Customer 87</t>
  </si>
  <si>
    <t>South</t>
  </si>
  <si>
    <t>Karnataka</t>
  </si>
  <si>
    <t>Office Supplies</t>
  </si>
  <si>
    <t>Binders</t>
  </si>
  <si>
    <t>Document Case</t>
  </si>
  <si>
    <t>Amit</t>
  </si>
  <si>
    <t>Home Office</t>
  </si>
  <si>
    <t>ORD100003</t>
  </si>
  <si>
    <t>Customer 64</t>
  </si>
  <si>
    <t>West</t>
  </si>
  <si>
    <t>Gujarat</t>
  </si>
  <si>
    <t>Writing</t>
  </si>
  <si>
    <t>Highlighter</t>
  </si>
  <si>
    <t>Vikram</t>
  </si>
  <si>
    <t>Consumer</t>
  </si>
  <si>
    <t>ORD100004</t>
  </si>
  <si>
    <t>Customer 49</t>
  </si>
  <si>
    <t>Paper</t>
  </si>
  <si>
    <t>Notebook</t>
  </si>
  <si>
    <t>Priya</t>
  </si>
  <si>
    <t>Small Business</t>
  </si>
  <si>
    <t>Total sales</t>
  </si>
  <si>
    <t>ORD100005</t>
  </si>
  <si>
    <t>Customer 75</t>
  </si>
  <si>
    <t>Rajasthan</t>
  </si>
  <si>
    <t>Pooja</t>
  </si>
  <si>
    <t>Total profit</t>
  </si>
  <si>
    <t>ORD100006</t>
  </si>
  <si>
    <t>Customer 191</t>
  </si>
  <si>
    <t>North</t>
  </si>
  <si>
    <t>Punjab</t>
  </si>
  <si>
    <t>Pen Pack</t>
  </si>
  <si>
    <t>Total orders</t>
  </si>
  <si>
    <t>ORD100007</t>
  </si>
  <si>
    <t>Customer 166</t>
  </si>
  <si>
    <t>Tamil Nadu</t>
  </si>
  <si>
    <t>Furniture</t>
  </si>
  <si>
    <t>Chairs</t>
  </si>
  <si>
    <t>Gaming Chair</t>
  </si>
  <si>
    <t>Total quantity sold</t>
  </si>
  <si>
    <t>ORD100008</t>
  </si>
  <si>
    <t>Customer 167</t>
  </si>
  <si>
    <t>Maharashtra</t>
  </si>
  <si>
    <t>Visitor Chair</t>
  </si>
  <si>
    <t>Karan</t>
  </si>
  <si>
    <t>avg order vaue</t>
  </si>
  <si>
    <t>ORD100009</t>
  </si>
  <si>
    <t>Customer 94</t>
  </si>
  <si>
    <t>Technology</t>
  </si>
  <si>
    <t>Computers</t>
  </si>
  <si>
    <t>Laptop</t>
  </si>
  <si>
    <t>ORD100010</t>
  </si>
  <si>
    <t>Customer 39</t>
  </si>
  <si>
    <t>Uttarakhand</t>
  </si>
  <si>
    <t>Storage</t>
  </si>
  <si>
    <t>Cabinet</t>
  </si>
  <si>
    <t>Corporate</t>
  </si>
  <si>
    <t>Profit margin</t>
  </si>
  <si>
    <t>ORD100011</t>
  </si>
  <si>
    <t>Customer 196</t>
  </si>
  <si>
    <t>Telangana</t>
  </si>
  <si>
    <t>ORD100012</t>
  </si>
  <si>
    <t>Customer 26</t>
  </si>
  <si>
    <t>Haryana</t>
  </si>
  <si>
    <t>Phones</t>
  </si>
  <si>
    <t>Smartphone</t>
  </si>
  <si>
    <t>Rahul</t>
  </si>
  <si>
    <t>ORD100013</t>
  </si>
  <si>
    <t>Customer 100</t>
  </si>
  <si>
    <t>ORD100014</t>
  </si>
  <si>
    <t>Customer 16</t>
  </si>
  <si>
    <t>ORD100015</t>
  </si>
  <si>
    <t>Customer 8</t>
  </si>
  <si>
    <t>Kerala</t>
  </si>
  <si>
    <t>Tables</t>
  </si>
  <si>
    <t>Coffee Table</t>
  </si>
  <si>
    <t>ORD100016</t>
  </si>
  <si>
    <t>Customer 109</t>
  </si>
  <si>
    <t>Desktop</t>
  </si>
  <si>
    <t>ORD100017</t>
  </si>
  <si>
    <t>Customer 44</t>
  </si>
  <si>
    <t>Rohit</t>
  </si>
  <si>
    <t>ORD100018</t>
  </si>
  <si>
    <t>Delhi</t>
  </si>
  <si>
    <t>A4 Paper</t>
  </si>
  <si>
    <t>ORD100019</t>
  </si>
  <si>
    <t>Customer 106</t>
  </si>
  <si>
    <t>Accessories</t>
  </si>
  <si>
    <t>Keyboard</t>
  </si>
  <si>
    <t>Anjali</t>
  </si>
  <si>
    <t>ORD100020</t>
  </si>
  <si>
    <t>Customer 190</t>
  </si>
  <si>
    <t>ORD100021</t>
  </si>
  <si>
    <t>Customer 153</t>
  </si>
  <si>
    <t>Goa</t>
  </si>
  <si>
    <t>Headset</t>
  </si>
  <si>
    <t>ORD100022</t>
  </si>
  <si>
    <t>Customer 61</t>
  </si>
  <si>
    <t>Office Chair</t>
  </si>
  <si>
    <t>ORD100023</t>
  </si>
  <si>
    <t>Customer 115</t>
  </si>
  <si>
    <t>Drawer Unit</t>
  </si>
  <si>
    <t>ORD100024</t>
  </si>
  <si>
    <t>Customer 76</t>
  </si>
  <si>
    <t>East</t>
  </si>
  <si>
    <t>Odisha</t>
  </si>
  <si>
    <t>ORD100025</t>
  </si>
  <si>
    <t>Customer 160</t>
  </si>
  <si>
    <t>West Bengal</t>
  </si>
  <si>
    <t>Neha</t>
  </si>
  <si>
    <t>ORD100026</t>
  </si>
  <si>
    <t>Customer 23</t>
  </si>
  <si>
    <t>ORD100027</t>
  </si>
  <si>
    <t>Customer 15</t>
  </si>
  <si>
    <t>Study Table</t>
  </si>
  <si>
    <t>ORD100028</t>
  </si>
  <si>
    <t>Customer 164</t>
  </si>
  <si>
    <t>Conference Table</t>
  </si>
  <si>
    <t>ORD100029</t>
  </si>
  <si>
    <t>Customer 38</t>
  </si>
  <si>
    <t>ORD100030</t>
  </si>
  <si>
    <t>Customer 59</t>
  </si>
  <si>
    <t>Bihar</t>
  </si>
  <si>
    <t>ORD100031</t>
  </si>
  <si>
    <t>Customer 54</t>
  </si>
  <si>
    <t>ORD100032</t>
  </si>
  <si>
    <t>Customer 159</t>
  </si>
  <si>
    <t>ORD100033</t>
  </si>
  <si>
    <t>Customer 120</t>
  </si>
  <si>
    <t>ORD100034</t>
  </si>
  <si>
    <t>Customer 132</t>
  </si>
  <si>
    <t>ORD100035</t>
  </si>
  <si>
    <t>Customer 161</t>
  </si>
  <si>
    <t>ORD100036</t>
  </si>
  <si>
    <t>Mouse</t>
  </si>
  <si>
    <t>ORD100037</t>
  </si>
  <si>
    <t>ORD100038</t>
  </si>
  <si>
    <t>Customer 72</t>
  </si>
  <si>
    <t>ORD100039</t>
  </si>
  <si>
    <t>Customer 154</t>
  </si>
  <si>
    <t>ORD100040</t>
  </si>
  <si>
    <t>Customer 30</t>
  </si>
  <si>
    <t>ORD100041</t>
  </si>
  <si>
    <t>Customer 194</t>
  </si>
  <si>
    <t>ORD100042</t>
  </si>
  <si>
    <t>Customer 199</t>
  </si>
  <si>
    <t>Sneha</t>
  </si>
  <si>
    <t>ORD100043</t>
  </si>
  <si>
    <t>Customer 142</t>
  </si>
  <si>
    <t>Marker Set</t>
  </si>
  <si>
    <t>ORD100044</t>
  </si>
  <si>
    <t>Customer 93</t>
  </si>
  <si>
    <t>ORD100045</t>
  </si>
  <si>
    <t>Customer 103</t>
  </si>
  <si>
    <t>ORD100046</t>
  </si>
  <si>
    <t>Customer 111</t>
  </si>
  <si>
    <t>ORD100047</t>
  </si>
  <si>
    <t>Customer 137</t>
  </si>
  <si>
    <t>Webcam</t>
  </si>
  <si>
    <t>ORD100048</t>
  </si>
  <si>
    <t>Customer 151</t>
  </si>
  <si>
    <t>ORD100049</t>
  </si>
  <si>
    <t>Customer 17</t>
  </si>
  <si>
    <t>ORD100050</t>
  </si>
  <si>
    <t>Customer 133</t>
  </si>
  <si>
    <t>Sticky Notes</t>
  </si>
  <si>
    <t>ORD100051</t>
  </si>
  <si>
    <t>Customer 104</t>
  </si>
  <si>
    <t>ORD100052</t>
  </si>
  <si>
    <t>Customer 98</t>
  </si>
  <si>
    <t>ORD100053</t>
  </si>
  <si>
    <t>ORD100054</t>
  </si>
  <si>
    <t>ORD100055</t>
  </si>
  <si>
    <t>Customer 186</t>
  </si>
  <si>
    <t>ORD100056</t>
  </si>
  <si>
    <t>Customer 144</t>
  </si>
  <si>
    <t>Ring Binder</t>
  </si>
  <si>
    <t>ORD100057</t>
  </si>
  <si>
    <t>Assam</t>
  </si>
  <si>
    <t>ORD100058</t>
  </si>
  <si>
    <t>ORD100059</t>
  </si>
  <si>
    <t>ORD100060</t>
  </si>
  <si>
    <t>Customer 27</t>
  </si>
  <si>
    <t>ORD100061</t>
  </si>
  <si>
    <t>Customer 43</t>
  </si>
  <si>
    <t>Desk Phone</t>
  </si>
  <si>
    <t>ORD100062</t>
  </si>
  <si>
    <t>Customer 92</t>
  </si>
  <si>
    <t>ORD100063</t>
  </si>
  <si>
    <t>Customer 42</t>
  </si>
  <si>
    <t>ORD100064</t>
  </si>
  <si>
    <t>Customer 10</t>
  </si>
  <si>
    <t>ORD100065</t>
  </si>
  <si>
    <t>Customer 176</t>
  </si>
  <si>
    <t>ORD100066</t>
  </si>
  <si>
    <t>Customer 125</t>
  </si>
  <si>
    <t>ORD100067</t>
  </si>
  <si>
    <t>Customer 47</t>
  </si>
  <si>
    <t>Bookshelf</t>
  </si>
  <si>
    <t>ORD100068</t>
  </si>
  <si>
    <t>Customer 183</t>
  </si>
  <si>
    <t>ORD100069</t>
  </si>
  <si>
    <t>Customer 28</t>
  </si>
  <si>
    <t>ORD100070</t>
  </si>
  <si>
    <t>Customer 24</t>
  </si>
  <si>
    <t>ORD100071</t>
  </si>
  <si>
    <t>ORD100072</t>
  </si>
  <si>
    <t>Customer 121</t>
  </si>
  <si>
    <t>ORD100073</t>
  </si>
  <si>
    <t>Customer 123</t>
  </si>
  <si>
    <t>ORD100074</t>
  </si>
  <si>
    <t>Customer 3</t>
  </si>
  <si>
    <t>ORD100075</t>
  </si>
  <si>
    <t>Customer 41</t>
  </si>
  <si>
    <t>ORD100076</t>
  </si>
  <si>
    <t>Customer 21</t>
  </si>
  <si>
    <t>ORD100077</t>
  </si>
  <si>
    <t>ORD100078</t>
  </si>
  <si>
    <t>Customer 200</t>
  </si>
  <si>
    <t>ORD100079</t>
  </si>
  <si>
    <t>Customer 185</t>
  </si>
  <si>
    <t>ORD100080</t>
  </si>
  <si>
    <t>Customer 139</t>
  </si>
  <si>
    <t>ORD100081</t>
  </si>
  <si>
    <t>Customer 105</t>
  </si>
  <si>
    <t>ORD100082</t>
  </si>
  <si>
    <t>ORD100083</t>
  </si>
  <si>
    <t>Customer 138</t>
  </si>
  <si>
    <t>ORD100084</t>
  </si>
  <si>
    <t>Customer 143</t>
  </si>
  <si>
    <t>ORD100085</t>
  </si>
  <si>
    <t>ORD100086</t>
  </si>
  <si>
    <t>Customer 14</t>
  </si>
  <si>
    <t>ORD100087</t>
  </si>
  <si>
    <t>Customer 53</t>
  </si>
  <si>
    <t>ORD100088</t>
  </si>
  <si>
    <t>ORD100089</t>
  </si>
  <si>
    <t>Customer 52</t>
  </si>
  <si>
    <t>ORD100090</t>
  </si>
  <si>
    <t>Customer 131</t>
  </si>
  <si>
    <t>ORD100091</t>
  </si>
  <si>
    <t>ORD100092</t>
  </si>
  <si>
    <t>Customer 11</t>
  </si>
  <si>
    <t>ORD100093</t>
  </si>
  <si>
    <t>Customer 95</t>
  </si>
  <si>
    <t>ORD100094</t>
  </si>
  <si>
    <t>Customer 48</t>
  </si>
  <si>
    <t>File Folder</t>
  </si>
  <si>
    <t>ORD100095</t>
  </si>
  <si>
    <t>Customer 108</t>
  </si>
  <si>
    <t>ORD100096</t>
  </si>
  <si>
    <t>ORD100097</t>
  </si>
  <si>
    <t>Customer 69</t>
  </si>
  <si>
    <t>ORD100098</t>
  </si>
  <si>
    <t>Customer 124</t>
  </si>
  <si>
    <t>ORD100099</t>
  </si>
  <si>
    <t>ORD100100</t>
  </si>
  <si>
    <t>ORD100101</t>
  </si>
  <si>
    <t>ORD100102</t>
  </si>
  <si>
    <t>Customer 12</t>
  </si>
  <si>
    <t>ORD100103</t>
  </si>
  <si>
    <t>Customer 86</t>
  </si>
  <si>
    <t>ORD100104</t>
  </si>
  <si>
    <t>ORD100105</t>
  </si>
  <si>
    <t>Customer 78</t>
  </si>
  <si>
    <t>ORD100106</t>
  </si>
  <si>
    <t>Customer 67</t>
  </si>
  <si>
    <t>ORD100107</t>
  </si>
  <si>
    <t>Customer 122</t>
  </si>
  <si>
    <t>Mini PC</t>
  </si>
  <si>
    <t>ORD100108</t>
  </si>
  <si>
    <t>ORD100109</t>
  </si>
  <si>
    <t>Customer 89</t>
  </si>
  <si>
    <t>ORD100110</t>
  </si>
  <si>
    <t>ORD100111</t>
  </si>
  <si>
    <t>ORD100112</t>
  </si>
  <si>
    <t>ORD100113</t>
  </si>
  <si>
    <t>Customer 179</t>
  </si>
  <si>
    <t>ORD100114</t>
  </si>
  <si>
    <t>ORD100115</t>
  </si>
  <si>
    <t>ORD100116</t>
  </si>
  <si>
    <t>Customer 156</t>
  </si>
  <si>
    <t>ORD100117</t>
  </si>
  <si>
    <t>ORD100118</t>
  </si>
  <si>
    <t>ORD100119</t>
  </si>
  <si>
    <t>Customer 127</t>
  </si>
  <si>
    <t>ORD100120</t>
  </si>
  <si>
    <t>Customer 29</t>
  </si>
  <si>
    <t>ORD100121</t>
  </si>
  <si>
    <t>ORD100122</t>
  </si>
  <si>
    <t>ORD100123</t>
  </si>
  <si>
    <t>Customer 117</t>
  </si>
  <si>
    <t>ORD100124</t>
  </si>
  <si>
    <t>Customer 178</t>
  </si>
  <si>
    <t>ORD100125</t>
  </si>
  <si>
    <t>ORD100126</t>
  </si>
  <si>
    <t>ORD100127</t>
  </si>
  <si>
    <t>ORD100128</t>
  </si>
  <si>
    <t>ORD100129</t>
  </si>
  <si>
    <t>ORD100130</t>
  </si>
  <si>
    <t>Customer 46</t>
  </si>
  <si>
    <t>ORD100131</t>
  </si>
  <si>
    <t>ORD100132</t>
  </si>
  <si>
    <t>Customer 73</t>
  </si>
  <si>
    <t>ORD100133</t>
  </si>
  <si>
    <t>Customer 79</t>
  </si>
  <si>
    <t>ORD100134</t>
  </si>
  <si>
    <t>ORD100135</t>
  </si>
  <si>
    <t>ORD100136</t>
  </si>
  <si>
    <t>ORD100137</t>
  </si>
  <si>
    <t>Customer 50</t>
  </si>
  <si>
    <t>ORD100138</t>
  </si>
  <si>
    <t>Customer 101</t>
  </si>
  <si>
    <t>ORD100139</t>
  </si>
  <si>
    <t>Customer 188</t>
  </si>
  <si>
    <t>ORD100140</t>
  </si>
  <si>
    <t>ORD100141</t>
  </si>
  <si>
    <t>Customer 77</t>
  </si>
  <si>
    <t>ORD100142</t>
  </si>
  <si>
    <t>ORD100143</t>
  </si>
  <si>
    <t>Customer 4</t>
  </si>
  <si>
    <t>ORD100144</t>
  </si>
  <si>
    <t>ORD100145</t>
  </si>
  <si>
    <t>Customer 189</t>
  </si>
  <si>
    <t>ORD100146</t>
  </si>
  <si>
    <t>ORD100147</t>
  </si>
  <si>
    <t>Customer 85</t>
  </si>
  <si>
    <t>ORD100148</t>
  </si>
  <si>
    <t>ORD100149</t>
  </si>
  <si>
    <t>ORD100150</t>
  </si>
  <si>
    <t>Customer 163</t>
  </si>
  <si>
    <t>ORD100151</t>
  </si>
  <si>
    <t>ORD100152</t>
  </si>
  <si>
    <t>ORD100153</t>
  </si>
  <si>
    <t>ORD100154</t>
  </si>
  <si>
    <t>ORD100155</t>
  </si>
  <si>
    <t>ORD100156</t>
  </si>
  <si>
    <t>Customer 90</t>
  </si>
  <si>
    <t>ORD100157</t>
  </si>
  <si>
    <t>ORD100158</t>
  </si>
  <si>
    <t>ORD100159</t>
  </si>
  <si>
    <t>Customer 193</t>
  </si>
  <si>
    <t>ORD100160</t>
  </si>
  <si>
    <t>Customer 55</t>
  </si>
  <si>
    <t>ORD100161</t>
  </si>
  <si>
    <t>Customer 96</t>
  </si>
  <si>
    <t>ORD100162</t>
  </si>
  <si>
    <t>ORD100163</t>
  </si>
  <si>
    <t>ORD100164</t>
  </si>
  <si>
    <t>ORD100165</t>
  </si>
  <si>
    <t>ORD100166</t>
  </si>
  <si>
    <t>ORD100167</t>
  </si>
  <si>
    <t>Customer 81</t>
  </si>
  <si>
    <t>ORD100168</t>
  </si>
  <si>
    <t>Customer 58</t>
  </si>
  <si>
    <t>ORD100169</t>
  </si>
  <si>
    <t>ORD100170</t>
  </si>
  <si>
    <t>ORD100171</t>
  </si>
  <si>
    <t>ORD100172</t>
  </si>
  <si>
    <t>ORD100173</t>
  </si>
  <si>
    <t>Customer 162</t>
  </si>
  <si>
    <t>ORD100174</t>
  </si>
  <si>
    <t>Customer 174</t>
  </si>
  <si>
    <t>ORD100175</t>
  </si>
  <si>
    <t>Customer 9</t>
  </si>
  <si>
    <t>ORD100176</t>
  </si>
  <si>
    <t>ORD100177</t>
  </si>
  <si>
    <t>Customer 134</t>
  </si>
  <si>
    <t>ORD100178</t>
  </si>
  <si>
    <t>Customer 91</t>
  </si>
  <si>
    <t>ORD100179</t>
  </si>
  <si>
    <t>ORD100180</t>
  </si>
  <si>
    <t>Customer 113</t>
  </si>
  <si>
    <t>ORD100181</t>
  </si>
  <si>
    <t>Customer 180</t>
  </si>
  <si>
    <t>ORD100182</t>
  </si>
  <si>
    <t>ORD100183</t>
  </si>
  <si>
    <t>Customer 119</t>
  </si>
  <si>
    <t>ORD100184</t>
  </si>
  <si>
    <t>ORD100185</t>
  </si>
  <si>
    <t>ORD100186</t>
  </si>
  <si>
    <t>ORD100187</t>
  </si>
  <si>
    <t>ORD100188</t>
  </si>
  <si>
    <t>Customer 150</t>
  </si>
  <si>
    <t>ORD100189</t>
  </si>
  <si>
    <t>ORD100190</t>
  </si>
  <si>
    <t>Customer 158</t>
  </si>
  <si>
    <t>ORD100191</t>
  </si>
  <si>
    <t>ORD100192</t>
  </si>
  <si>
    <t>ORD100193</t>
  </si>
  <si>
    <t>ORD100194</t>
  </si>
  <si>
    <t>ORD100195</t>
  </si>
  <si>
    <t>ORD100196</t>
  </si>
  <si>
    <t>Customer 149</t>
  </si>
  <si>
    <t>ORD100197</t>
  </si>
  <si>
    <t>ORD100198</t>
  </si>
  <si>
    <t>Customer 171</t>
  </si>
  <si>
    <t>ORD100199</t>
  </si>
  <si>
    <t>ORD100200</t>
  </si>
  <si>
    <t>ORD100201</t>
  </si>
  <si>
    <t>ORD100202</t>
  </si>
  <si>
    <t>ORD100203</t>
  </si>
  <si>
    <t>ORD100204</t>
  </si>
  <si>
    <t>Customer 126</t>
  </si>
  <si>
    <t>ORD100205</t>
  </si>
  <si>
    <t>ORD100206</t>
  </si>
  <si>
    <t>ORD100207</t>
  </si>
  <si>
    <t>Customer 107</t>
  </si>
  <si>
    <t>ORD100208</t>
  </si>
  <si>
    <t>ORD100209</t>
  </si>
  <si>
    <t>ORD100210</t>
  </si>
  <si>
    <t>ORD100211</t>
  </si>
  <si>
    <t>ORD100212</t>
  </si>
  <si>
    <t>Customer 51</t>
  </si>
  <si>
    <t>ORD100213</t>
  </si>
  <si>
    <t>ORD100214</t>
  </si>
  <si>
    <t>ORD100215</t>
  </si>
  <si>
    <t>Customer 45</t>
  </si>
  <si>
    <t>ORD100216</t>
  </si>
  <si>
    <t>ORD100217</t>
  </si>
  <si>
    <t>Customer 135</t>
  </si>
  <si>
    <t>ORD100218</t>
  </si>
  <si>
    <t>ORD100219</t>
  </si>
  <si>
    <t>ORD100220</t>
  </si>
  <si>
    <t>Customer 70</t>
  </si>
  <si>
    <t>ORD100221</t>
  </si>
  <si>
    <t>Customer 6</t>
  </si>
  <si>
    <t>ORD100222</t>
  </si>
  <si>
    <t>ORD100223</t>
  </si>
  <si>
    <t>ORD100224</t>
  </si>
  <si>
    <t>Customer 173</t>
  </si>
  <si>
    <t>ORD100225</t>
  </si>
  <si>
    <t>ORD100226</t>
  </si>
  <si>
    <t>ORD100227</t>
  </si>
  <si>
    <t>Customer 74</t>
  </si>
  <si>
    <t>ORD100228</t>
  </si>
  <si>
    <t>ORD100229</t>
  </si>
  <si>
    <t>ORD100230</t>
  </si>
  <si>
    <t>ORD100231</t>
  </si>
  <si>
    <t>Customer 65</t>
  </si>
  <si>
    <t>ORD100232</t>
  </si>
  <si>
    <t>ORD100233</t>
  </si>
  <si>
    <t>Customer 71</t>
  </si>
  <si>
    <t>ORD100234</t>
  </si>
  <si>
    <t>ORD100235</t>
  </si>
  <si>
    <t>ORD100236</t>
  </si>
  <si>
    <t>Customer 2</t>
  </si>
  <si>
    <t>ORD100237</t>
  </si>
  <si>
    <t>ORD100238</t>
  </si>
  <si>
    <t>ORD100239</t>
  </si>
  <si>
    <t>Customer 22</t>
  </si>
  <si>
    <t>ORD100240</t>
  </si>
  <si>
    <t>ORD100241</t>
  </si>
  <si>
    <t>ORD100242</t>
  </si>
  <si>
    <t>ORD100243</t>
  </si>
  <si>
    <t>Customer 170</t>
  </si>
  <si>
    <t>ORD100244</t>
  </si>
  <si>
    <t>Customer 66</t>
  </si>
  <si>
    <t>ORD100245</t>
  </si>
  <si>
    <t>Customer 148</t>
  </si>
  <si>
    <t>ORD100246</t>
  </si>
  <si>
    <t>Customer 112</t>
  </si>
  <si>
    <t>ORD100247</t>
  </si>
  <si>
    <t>ORD100248</t>
  </si>
  <si>
    <t>ORD100249</t>
  </si>
  <si>
    <t>ORD100250</t>
  </si>
  <si>
    <t>Customer 128</t>
  </si>
  <si>
    <t>ORD100251</t>
  </si>
  <si>
    <t>ORD100252</t>
  </si>
  <si>
    <t>ORD100253</t>
  </si>
  <si>
    <t>ORD100254</t>
  </si>
  <si>
    <t>ORD100255</t>
  </si>
  <si>
    <t>ORD100256</t>
  </si>
  <si>
    <t>ORD100257</t>
  </si>
  <si>
    <t>ORD100258</t>
  </si>
  <si>
    <t>ORD100259</t>
  </si>
  <si>
    <t>ORD100260</t>
  </si>
  <si>
    <t>ORD100261</t>
  </si>
  <si>
    <t>ORD100262</t>
  </si>
  <si>
    <t>ORD100263</t>
  </si>
  <si>
    <t>ORD100264</t>
  </si>
  <si>
    <t>ORD100265</t>
  </si>
  <si>
    <t>Customer 18</t>
  </si>
  <si>
    <t>ORD100266</t>
  </si>
  <si>
    <t>ORD100267</t>
  </si>
  <si>
    <t>ORD100268</t>
  </si>
  <si>
    <t>Customer 32</t>
  </si>
  <si>
    <t>ORD100269</t>
  </si>
  <si>
    <t>ORD100270</t>
  </si>
  <si>
    <t>ORD100271</t>
  </si>
  <si>
    <t>ORD100272</t>
  </si>
  <si>
    <t>ORD100273</t>
  </si>
  <si>
    <t>ORD100274</t>
  </si>
  <si>
    <t>ORD100275</t>
  </si>
  <si>
    <t>Customer 192</t>
  </si>
  <si>
    <t>ORD100276</t>
  </si>
  <si>
    <t>ORD100277</t>
  </si>
  <si>
    <t>Customer 62</t>
  </si>
  <si>
    <t>ORD100278</t>
  </si>
  <si>
    <t>ORD100279</t>
  </si>
  <si>
    <t>ORD100280</t>
  </si>
  <si>
    <t>ORD100281</t>
  </si>
  <si>
    <t>ORD100282</t>
  </si>
  <si>
    <t>ORD100283</t>
  </si>
  <si>
    <t>ORD100284</t>
  </si>
  <si>
    <t>ORD100285</t>
  </si>
  <si>
    <t>ORD100286</t>
  </si>
  <si>
    <t>ORD100287</t>
  </si>
  <si>
    <t>ORD100288</t>
  </si>
  <si>
    <t>Customer 7</t>
  </si>
  <si>
    <t>ORD100289</t>
  </si>
  <si>
    <t>Customer 157</t>
  </si>
  <si>
    <t>ORD100290</t>
  </si>
  <si>
    <t>ORD100291</t>
  </si>
  <si>
    <t>Customer 181</t>
  </si>
  <si>
    <t>ORD100292</t>
  </si>
  <si>
    <t>ORD100293</t>
  </si>
  <si>
    <t>ORD100294</t>
  </si>
  <si>
    <t>ORD100295</t>
  </si>
  <si>
    <t>ORD100296</t>
  </si>
  <si>
    <t>ORD100297</t>
  </si>
  <si>
    <t>ORD100298</t>
  </si>
  <si>
    <t>ORD100299</t>
  </si>
  <si>
    <t>ORD100300</t>
  </si>
  <si>
    <t>ORD100301</t>
  </si>
  <si>
    <t>ORD100302</t>
  </si>
  <si>
    <t>ORD100303</t>
  </si>
  <si>
    <t>ORD100304</t>
  </si>
  <si>
    <t>ORD100305</t>
  </si>
  <si>
    <t>Customer 140</t>
  </si>
  <si>
    <t>ORD100306</t>
  </si>
  <si>
    <t>ORD100307</t>
  </si>
  <si>
    <t>Customer 175</t>
  </si>
  <si>
    <t>ORD100308</t>
  </si>
  <si>
    <t>Customer 56</t>
  </si>
  <si>
    <t>ORD100309</t>
  </si>
  <si>
    <t>ORD100310</t>
  </si>
  <si>
    <t>Customer 195</t>
  </si>
  <si>
    <t>ORD100311</t>
  </si>
  <si>
    <t>Customer 88</t>
  </si>
  <si>
    <t>ORD100312</t>
  </si>
  <si>
    <t>ORD100313</t>
  </si>
  <si>
    <t>ORD100314</t>
  </si>
  <si>
    <t>ORD100315</t>
  </si>
  <si>
    <t>Customer 114</t>
  </si>
  <si>
    <t>ORD100316</t>
  </si>
  <si>
    <t>ORD100317</t>
  </si>
  <si>
    <t>ORD100318</t>
  </si>
  <si>
    <t>Customer 99</t>
  </si>
  <si>
    <t>ORD100319</t>
  </si>
  <si>
    <t>ORD100320</t>
  </si>
  <si>
    <t>ORD100321</t>
  </si>
  <si>
    <t>Customer 172</t>
  </si>
  <si>
    <t>ORD100322</t>
  </si>
  <si>
    <t>ORD100323</t>
  </si>
  <si>
    <t>ORD100324</t>
  </si>
  <si>
    <t>ORD100325</t>
  </si>
  <si>
    <t>ORD100326</t>
  </si>
  <si>
    <t>ORD100327</t>
  </si>
  <si>
    <t>ORD100328</t>
  </si>
  <si>
    <t>ORD100329</t>
  </si>
  <si>
    <t>ORD100330</t>
  </si>
  <si>
    <t>ORD100331</t>
  </si>
  <si>
    <t>ORD100332</t>
  </si>
  <si>
    <t>Customer 118</t>
  </si>
  <si>
    <t>ORD100333</t>
  </si>
  <si>
    <t>Customer 182</t>
  </si>
  <si>
    <t>ORD100334</t>
  </si>
  <si>
    <t>Customer 19</t>
  </si>
  <si>
    <t>ORD100335</t>
  </si>
  <si>
    <t>ORD100336</t>
  </si>
  <si>
    <t>Customer 147</t>
  </si>
  <si>
    <t>ORD100337</t>
  </si>
  <si>
    <t>ORD100338</t>
  </si>
  <si>
    <t>ORD100339</t>
  </si>
  <si>
    <t>Customer 68</t>
  </si>
  <si>
    <t>ORD100340</t>
  </si>
  <si>
    <t>Customer 34</t>
  </si>
  <si>
    <t>ORD100341</t>
  </si>
  <si>
    <t>ORD100342</t>
  </si>
  <si>
    <t>Customer 36</t>
  </si>
  <si>
    <t>ORD100343</t>
  </si>
  <si>
    <t>ORD100344</t>
  </si>
  <si>
    <t>ORD100345</t>
  </si>
  <si>
    <t>ORD100346</t>
  </si>
  <si>
    <t>Customer 1</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</si>
  <si>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</si>
  <si>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</si>
  <si>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</si>
  <si>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</si>
  <si>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</si>
  <si>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</si>
  <si>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</si>
  <si>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</si>
  <si>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</si>
  <si>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</si>
  <si>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</si>
  <si>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</si>
  <si>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</si>
  <si>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</si>
  <si>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</si>
  <si>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</si>
  <si>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</si>
  <si>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</si>
  <si>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</si>
  <si>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Customer 80</t>
  </si>
  <si>
    <t>ORD100366</t>
  </si>
  <si>
    <t>Customer 35</t>
  </si>
  <si>
    <t>ORD100367</t>
  </si>
  <si>
    <t>ORD100368</t>
  </si>
  <si>
    <t>Customer 197</t>
  </si>
  <si>
    <t>ORD100369</t>
  </si>
  <si>
    <t>ORD100370</t>
  </si>
  <si>
    <t>ORD100371</t>
  </si>
  <si>
    <t>Customer 130</t>
  </si>
  <si>
    <t>ORD100372</t>
  </si>
  <si>
    <t>ORD100373</t>
  </si>
  <si>
    <t>ORD100374</t>
  </si>
  <si>
    <t>ORD100375</t>
  </si>
  <si>
    <t>ORD100376</t>
  </si>
  <si>
    <t>ORD100377</t>
  </si>
  <si>
    <t>ORD100378</t>
  </si>
  <si>
    <t>ORD100379</t>
  </si>
  <si>
    <t>Customer 60</t>
  </si>
  <si>
    <t>ORD100380</t>
  </si>
  <si>
    <t>ORD100381</t>
  </si>
  <si>
    <t>ORD100382</t>
  </si>
  <si>
    <t>ORD100383</t>
  </si>
  <si>
    <t>ORD100384</t>
  </si>
  <si>
    <t>ORD100385</t>
  </si>
  <si>
    <t>Customer 187</t>
  </si>
  <si>
    <t>ORD100386</t>
  </si>
  <si>
    <t>ORD100387</t>
  </si>
  <si>
    <t>ORD100388</t>
  </si>
  <si>
    <t>ORD100389</t>
  </si>
  <si>
    <t>Customer 40</t>
  </si>
  <si>
    <t>ORD100390</t>
  </si>
  <si>
    <t>ORD100391</t>
  </si>
  <si>
    <t>ORD100392</t>
  </si>
  <si>
    <t>ORD100393</t>
  </si>
  <si>
    <t>Customer 145</t>
  </si>
  <si>
    <t>ORD100394</t>
  </si>
  <si>
    <t>ORD100395</t>
  </si>
  <si>
    <t>ORD100396</t>
  </si>
  <si>
    <t>ORD100397</t>
  </si>
  <si>
    <t>Customer 25</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</si>
  <si>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</si>
  <si>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</si>
  <si>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</si>
  <si>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</si>
  <si>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</si>
  <si>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</si>
  <si>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</si>
  <si>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</si>
  <si>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</si>
  <si>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</si>
  <si>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</si>
  <si>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</si>
  <si>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</si>
  <si>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</si>
  <si>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</si>
  <si>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</si>
  <si>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</si>
  <si>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Customer 84</t>
  </si>
  <si>
    <t>ORD100415</t>
  </si>
  <si>
    <t>ORD100416</t>
  </si>
  <si>
    <t>ORD100417</t>
  </si>
  <si>
    <t>ORD100418</t>
  </si>
  <si>
    <t>ORD100419</t>
  </si>
  <si>
    <t>ORD100420</t>
  </si>
  <si>
    <t>ORD100421</t>
  </si>
  <si>
    <t>Customer 37</t>
  </si>
  <si>
    <t>ORD100422</t>
  </si>
  <si>
    <t>ORD100423</t>
  </si>
  <si>
    <t>Customer 136</t>
  </si>
  <si>
    <t>ORD100424</t>
  </si>
  <si>
    <t>ORD100425</t>
  </si>
  <si>
    <t>ORD100426</t>
  </si>
  <si>
    <t>ORD100427</t>
  </si>
  <si>
    <t>ORD100428</t>
  </si>
  <si>
    <t>Customer 63</t>
  </si>
  <si>
    <t>ORD100429</t>
  </si>
  <si>
    <t>ORD100430</t>
  </si>
  <si>
    <t>Customer 5</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</si>
  <si>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</si>
  <si>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</si>
  <si>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</si>
  <si>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</si>
  <si>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</si>
  <si>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</si>
  <si>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</si>
  <si>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</si>
  <si>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</si>
  <si>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</si>
  <si>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</si>
  <si>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</si>
  <si>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</si>
  <si>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</si>
  <si>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</si>
  <si>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</si>
  <si>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</si>
  <si>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</si>
  <si>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</si>
  <si>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</si>
  <si>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</si>
  <si>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Customer 116</t>
  </si>
  <si>
    <t>ORD100452</t>
  </si>
  <si>
    <t>ORD100453</t>
  </si>
  <si>
    <t>ORD100454</t>
  </si>
  <si>
    <t>Customer 31</t>
  </si>
  <si>
    <t>ORD100455</t>
  </si>
  <si>
    <t>ORD100456</t>
  </si>
  <si>
    <t>ORD100457</t>
  </si>
  <si>
    <t>ORD100458</t>
  </si>
  <si>
    <t>ORD100459</t>
  </si>
  <si>
    <t>Customer 152</t>
  </si>
  <si>
    <t>ORD100460</t>
  </si>
  <si>
    <t>Customer 165</t>
  </si>
  <si>
    <t>ORD100461</t>
  </si>
  <si>
    <t>ORD100462</t>
  </si>
  <si>
    <t>ORD100463</t>
  </si>
  <si>
    <t>ORD100464</t>
  </si>
  <si>
    <t>ORD100465</t>
  </si>
  <si>
    <t>ORD100466</t>
  </si>
  <si>
    <t>ORD100467</t>
  </si>
  <si>
    <t>ORD100468</t>
  </si>
  <si>
    <t>ORD100469</t>
  </si>
  <si>
    <t>Customer 168</t>
  </si>
  <si>
    <t>ORD100470</t>
  </si>
  <si>
    <t>ORD100471</t>
  </si>
  <si>
    <t>ORD100472</t>
  </si>
  <si>
    <t>ORD100473</t>
  </si>
  <si>
    <t>ORD100474</t>
  </si>
  <si>
    <t>ORD100475</t>
  </si>
  <si>
    <t>ORD100476</t>
  </si>
  <si>
    <t>ORD100477</t>
  </si>
  <si>
    <t>Customer 83</t>
  </si>
  <si>
    <t>ORD100478</t>
  </si>
  <si>
    <t>ORD100479</t>
  </si>
  <si>
    <t>ORD100480</t>
  </si>
  <si>
    <t>Customer 198</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</si>
  <si>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</si>
  <si>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</si>
  <si>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</si>
  <si>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</si>
  <si>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</si>
  <si>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</si>
  <si>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</si>
  <si>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</si>
  <si>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</si>
  <si>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</si>
  <si>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</si>
  <si>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</si>
  <si>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</si>
  <si>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</si>
  <si>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</si>
  <si>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</si>
  <si>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</si>
  <si>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</si>
  <si>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</si>
  <si>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</si>
  <si>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</si>
  <si>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</si>
  <si>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</si>
  <si>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</si>
  <si>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</si>
  <si>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</si>
  <si>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</si>
  <si>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</si>
  <si>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</si>
  <si>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</si>
  <si>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</si>
  <si>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</si>
  <si>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</si>
  <si>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</si>
  <si>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</si>
  <si>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</si>
  <si>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</si>
  <si>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</si>
  <si>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</si>
  <si>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</si>
  <si>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</si>
  <si>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</si>
  <si>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</si>
  <si>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</si>
  <si>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</si>
  <si>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</si>
  <si>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</si>
  <si>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</si>
  <si>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</si>
  <si>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</si>
  <si>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</si>
  <si>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</si>
  <si>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</si>
  <si>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</si>
  <si>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</si>
  <si>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</si>
  <si>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</si>
  <si>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</si>
  <si>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Customer 102</t>
  </si>
  <si>
    <t>ORD100539</t>
  </si>
  <si>
    <t>ORD100540</t>
  </si>
  <si>
    <t>ORD100541</t>
  </si>
  <si>
    <t>ORD100542</t>
  </si>
  <si>
    <t>ORD100543</t>
  </si>
  <si>
    <t>ORD100544</t>
  </si>
  <si>
    <t>Customer 155</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</si>
  <si>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</si>
  <si>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</si>
  <si>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</si>
  <si>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</si>
  <si>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</si>
  <si>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</si>
  <si>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</si>
  <si>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</si>
  <si>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</si>
  <si>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</si>
  <si>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</si>
  <si>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</si>
  <si>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</si>
  <si>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</si>
  <si>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</si>
  <si>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</si>
  <si>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</si>
  <si>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</si>
  <si>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</si>
  <si>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Customer 97</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</si>
  <si>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</si>
  <si>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</si>
  <si>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</si>
  <si>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</si>
  <si>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</si>
  <si>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</si>
  <si>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</si>
  <si>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</si>
  <si>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</si>
  <si>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</si>
  <si>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</si>
  <si>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</si>
  <si>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</si>
  <si>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</si>
  <si>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</si>
  <si>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</si>
  <si>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</si>
  <si>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</si>
  <si>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</si>
  <si>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</si>
  <si>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</si>
  <si>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</si>
  <si>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</si>
  <si>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</si>
  <si>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</si>
  <si>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</si>
  <si>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</si>
  <si>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</si>
  <si>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</si>
  <si>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</si>
  <si>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</si>
  <si>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</si>
  <si>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</si>
  <si>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</si>
  <si>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</si>
  <si>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</si>
  <si>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</si>
  <si>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</si>
  <si>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</si>
  <si>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</si>
  <si>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</si>
  <si>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</si>
  <si>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</si>
  <si>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</si>
  <si>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Customer 57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</si>
  <si>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</si>
  <si>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</si>
  <si>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</si>
  <si>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</si>
  <si>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</si>
  <si>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</si>
  <si>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</si>
  <si>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</si>
  <si>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</si>
  <si>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</si>
  <si>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</si>
  <si>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</si>
  <si>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</si>
  <si>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</si>
  <si>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</si>
  <si>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</si>
  <si>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</si>
  <si>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</si>
  <si>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</si>
  <si>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</si>
  <si>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</si>
  <si>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</si>
  <si>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</si>
  <si>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</si>
  <si>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</si>
  <si>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</si>
  <si>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</si>
  <si>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</si>
  <si>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</si>
  <si>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</si>
  <si>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</si>
  <si>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</si>
  <si>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</si>
  <si>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</si>
  <si>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</si>
  <si>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</si>
  <si>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Customer 177</t>
  </si>
  <si>
    <t>ORD100644</t>
  </si>
  <si>
    <t>ORD100645</t>
  </si>
  <si>
    <t>ORD100646</t>
  </si>
  <si>
    <t>ORD100647</t>
  </si>
  <si>
    <t>ORD100648</t>
  </si>
  <si>
    <t>ORD100649</t>
  </si>
  <si>
    <t>Customer 13</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</si>
  <si>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</si>
  <si>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</si>
  <si>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</si>
  <si>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</si>
  <si>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</si>
  <si>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</si>
  <si>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</si>
  <si>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</si>
  <si>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</si>
  <si>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</si>
  <si>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</si>
  <si>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</si>
  <si>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</si>
  <si>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</si>
  <si>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</si>
  <si>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</si>
  <si>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</si>
  <si>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</si>
  <si>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</si>
  <si>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</si>
  <si>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</si>
  <si>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</si>
  <si>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</si>
  <si>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</si>
  <si>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</si>
  <si>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</si>
  <si>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</si>
  <si>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</si>
  <si>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</si>
  <si>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</si>
  <si>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</si>
  <si>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</si>
  <si>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</si>
  <si>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</si>
  <si>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</si>
  <si>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</si>
  <si>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</si>
  <si>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</si>
  <si>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</si>
  <si>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</si>
  <si>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</si>
  <si>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</si>
  <si>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</si>
  <si>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</si>
  <si>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</si>
  <si>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</si>
  <si>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</si>
  <si>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</si>
  <si>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</si>
  <si>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</si>
  <si>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</si>
  <si>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</si>
  <si>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</si>
  <si>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Customer 141</t>
  </si>
  <si>
    <t>ORD100703</t>
  </si>
  <si>
    <t>ORD100704</t>
  </si>
  <si>
    <t>ORD100705</t>
  </si>
  <si>
    <t>ORD100706</t>
  </si>
  <si>
    <t>Customer 110</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</si>
  <si>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</si>
  <si>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</si>
  <si>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</si>
  <si>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</si>
  <si>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</si>
  <si>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</si>
  <si>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</si>
  <si>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</si>
  <si>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</si>
  <si>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</si>
  <si>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</si>
  <si>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</si>
  <si>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</si>
  <si>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</si>
  <si>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</si>
  <si>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</si>
  <si>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</si>
  <si>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</si>
  <si>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</si>
  <si>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</si>
  <si>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Customer 184</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</si>
  <si>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</si>
  <si>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</si>
  <si>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</si>
  <si>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</si>
  <si>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</si>
  <si>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</si>
  <si>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</si>
  <si>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</si>
  <si>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</si>
  <si>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</si>
  <si>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</si>
  <si>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</si>
  <si>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</si>
  <si>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</si>
  <si>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</si>
  <si>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</si>
  <si>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</si>
  <si>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</si>
  <si>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</si>
  <si>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</si>
  <si>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</si>
  <si>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</si>
  <si>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</si>
  <si>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</si>
  <si>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Customer 33</t>
  </si>
  <si>
    <t>ORD100751</t>
  </si>
  <si>
    <t>ORD100752</t>
  </si>
  <si>
    <t>ORD100753</t>
  </si>
  <si>
    <t>ORD100754</t>
  </si>
  <si>
    <t>Customer 146</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</si>
  <si>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</si>
  <si>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</si>
  <si>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</si>
  <si>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</si>
  <si>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</si>
  <si>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</si>
  <si>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</si>
  <si>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</si>
  <si>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</si>
  <si>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</si>
  <si>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</si>
  <si>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</si>
  <si>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</si>
  <si>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</si>
  <si>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</si>
  <si>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</si>
  <si>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</si>
  <si>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</si>
  <si>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</si>
  <si>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</si>
  <si>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</si>
  <si>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</si>
  <si>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</si>
  <si>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</si>
  <si>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</si>
  <si>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</si>
  <si>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</si>
  <si>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</si>
  <si>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</si>
  <si>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</si>
  <si>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</si>
  <si>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</si>
  <si>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</si>
  <si>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</si>
  <si>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</si>
  <si>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</si>
  <si>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</si>
  <si>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</si>
  <si>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</si>
  <si>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</si>
  <si>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</si>
  <si>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</si>
  <si>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</si>
  <si>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</si>
  <si>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</si>
  <si>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</si>
  <si>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</si>
  <si>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</si>
  <si>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</si>
  <si>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</si>
  <si>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</si>
  <si>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</si>
  <si>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</si>
  <si>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</si>
  <si>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</si>
  <si>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</si>
  <si>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</si>
  <si>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</si>
  <si>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</si>
  <si>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</si>
  <si>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</si>
  <si>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</si>
  <si>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</si>
  <si>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</si>
  <si>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</si>
  <si>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</si>
  <si>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</si>
  <si>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</si>
  <si>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</si>
  <si>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</si>
  <si>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</si>
  <si>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</si>
  <si>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</si>
  <si>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</si>
  <si>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</si>
  <si>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</si>
  <si>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</si>
  <si>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</si>
  <si>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</si>
  <si>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</si>
  <si>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</si>
  <si>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</si>
  <si>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</si>
  <si>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</si>
  <si>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</si>
  <si>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</si>
  <si>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</si>
  <si>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</si>
  <si>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</si>
  <si>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</si>
  <si>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</si>
  <si>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</si>
  <si>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</si>
  <si>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</si>
  <si>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</si>
  <si>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</si>
  <si>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</si>
  <si>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</si>
  <si>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</si>
  <si>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</si>
  <si>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</si>
  <si>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Customer 82</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</si>
  <si>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</si>
  <si>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</si>
  <si>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</si>
  <si>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</si>
  <si>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</si>
  <si>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</si>
  <si>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</si>
  <si>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</si>
  <si>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</si>
  <si>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</si>
  <si>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</si>
  <si>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</si>
  <si>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</si>
  <si>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</si>
  <si>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</si>
  <si>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</si>
  <si>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</si>
  <si>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</si>
  <si>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</si>
  <si>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</si>
  <si>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</si>
  <si>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</si>
  <si>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Customer 129</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</si>
  <si>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</si>
  <si>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</si>
  <si>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</si>
  <si>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</si>
  <si>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</si>
  <si>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</si>
  <si>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</si>
  <si>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</si>
  <si>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</si>
  <si>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</si>
  <si>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</si>
  <si>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</si>
  <si>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</si>
  <si>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</si>
  <si>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</si>
  <si>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</si>
  <si>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</si>
  <si>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</si>
  <si>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</si>
  <si>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</si>
  <si>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</si>
  <si>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</si>
  <si>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</si>
  <si>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</si>
  <si>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</si>
  <si>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</si>
  <si>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</si>
  <si>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</si>
  <si>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</si>
  <si>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</si>
  <si>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</si>
  <si>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</si>
  <si>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</si>
  <si>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</si>
  <si>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</si>
  <si>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</si>
  <si>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</si>
  <si>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</si>
  <si>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</si>
  <si>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</si>
  <si>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</si>
  <si>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</si>
  <si>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</si>
  <si>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</si>
  <si>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</si>
  <si>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</si>
  <si>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</si>
  <si>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</si>
  <si>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</si>
  <si>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</si>
  <si>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</si>
  <si>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</si>
  <si>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</si>
  <si>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</si>
  <si>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</si>
  <si>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</si>
  <si>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</si>
  <si>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</si>
  <si>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</si>
  <si>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</si>
  <si>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</si>
  <si>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</si>
  <si>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</si>
  <si>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</si>
  <si>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</si>
  <si>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</si>
  <si>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</si>
  <si>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</si>
  <si>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</si>
  <si>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</si>
  <si>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</si>
  <si>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Customer 20</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</si>
  <si>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</si>
  <si>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</si>
  <si>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</si>
  <si>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</si>
  <si>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</si>
  <si>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</si>
  <si>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</si>
  <si>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</si>
  <si>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</si>
  <si>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</si>
  <si>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</si>
  <si>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</si>
  <si>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</si>
  <si>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</si>
  <si>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</si>
  <si>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</si>
  <si>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</si>
  <si>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</si>
  <si>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</si>
  <si>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</si>
  <si>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</si>
  <si>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</si>
  <si>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</si>
  <si>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</si>
  <si>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</si>
  <si>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</si>
  <si>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</si>
  <si>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</si>
  <si>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</si>
  <si>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</si>
  <si>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</si>
  <si>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</si>
  <si>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</si>
  <si>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</si>
  <si>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</si>
  <si>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</si>
  <si>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</si>
  <si>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</si>
  <si>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</si>
  <si>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</si>
  <si>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</si>
  <si>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</si>
  <si>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</si>
  <si>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</si>
  <si>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</si>
  <si>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</si>
  <si>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</si>
  <si>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</si>
  <si>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</si>
  <si>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</si>
  <si>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</si>
  <si>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</si>
  <si>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</si>
  <si>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1. Which month generate highest sales?</t>
  </si>
  <si>
    <t>Sum of Sales</t>
  </si>
  <si>
    <t>January</t>
  </si>
  <si>
    <t>February</t>
  </si>
  <si>
    <t>March</t>
  </si>
  <si>
    <t>April</t>
  </si>
  <si>
    <t>May</t>
  </si>
  <si>
    <t>June</t>
  </si>
  <si>
    <t>July</t>
  </si>
  <si>
    <t>August</t>
  </si>
  <si>
    <t>September</t>
  </si>
  <si>
    <t>October</t>
  </si>
  <si>
    <t>November</t>
  </si>
  <si>
    <t>December</t>
  </si>
  <si>
    <t>Sum of Profit</t>
  </si>
  <si>
    <t>Average of profit_margin</t>
  </si>
  <si>
    <t>Highest revenue region</t>
  </si>
  <si>
    <t>Highest selling category</t>
  </si>
  <si>
    <t>Row Labels</t>
  </si>
  <si>
    <t>Grand Total</t>
  </si>
  <si>
    <t>Highest profit category</t>
  </si>
  <si>
    <t>Count of Order ID</t>
  </si>
  <si>
    <t>Best salesperson</t>
  </si>
  <si>
    <t>Sum of Quantity</t>
  </si>
  <si>
    <t>Best customer segment</t>
  </si>
  <si>
    <t>total sales</t>
  </si>
  <si>
    <t>Average of Sales</t>
  </si>
  <si>
    <t>total profit</t>
  </si>
  <si>
    <t>average sales</t>
  </si>
  <si>
    <t>count of product</t>
  </si>
  <si>
    <t>total quantity</t>
  </si>
  <si>
    <t>profit margin</t>
  </si>
  <si>
    <t>KPI</t>
  </si>
  <si>
    <t xml:space="preserve">Top 10 Products </t>
  </si>
  <si>
    <t>SS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</si>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</sst>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164" formatCode="&quot;$&quot;00,&quot;k&quot;"/>
    <numFmt numFmtId="165" formatCode="&quot;$&quot;#,##0.00"/>
    <numFmt numFmtId="166" formatCode="#,##0.00,,&quot;M&quot;"/>
    <numFmt numFmtId="167" formatCode="&quot;$&quot;0.00,&quot;k&quot;"/>
  </numFmts>
  <fonts count="18" x14ac:knownFonts="1">
    <font>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D111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9" fontId="0" fillId="0" borderId="0" xfId="0" applyNumberFormat="1"/>
    <xf numFmtId="0" fontId="0" fillId="33" borderId="0" xfId="0" applyFill="1"/>
    <xf numFmtId="164" fontId="0" fillId="0" borderId="0" xfId="0" applyNumberFormat="1"/>
    <xf numFmtId="14" fontId="0" fillId="0" borderId="0" xfId="0" applyNumberFormat="1"/>
    <xf numFmtId="0" fontId="16" fillId="0" borderId="0" xfId="0" applyFont="1"/>
    <xf numFmtId="165" fontId="0" fillId="0" borderId="0" xfId="0" applyNumberFormat="1"/>
    <xf numFmtId="166" fontId="0" fillId="0" borderId="0" xfId="0" applyNumberFormat="1"/>
    <xf numFmtId="9" fontId="0" fillId="0" borderId="0" xfId="1" applyFont="1"/>
    <xf numFmtId="167" fontId="0" fillId="0" borderId="0" xfId="43" applyNumberFormat="1" applyFont="1"/>
    <xf numFmtId="0" fontId="16" fillId="0" borderId="0" xfId="0" applyFont="1" applyAlignment="1">
      <alignment horizontal="center"/>
    </xf>
    <xf numFmtId="0" fontId="0" fillId="0" borderId="0" xfId="0" applyAlignment="1">
      <alignment horizontal="center"/>
    </xf>
    <xf numFmtId="0"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7">
    <dxf>
      <font>
        <b/>
        <i val="0"/>
        <sz val="10"/>
        <color theme="0" tint="-4.9989318521683403E-2"/>
        <name val="Segoe UI"/>
        <family val="2"/>
        <scheme val="none"/>
      </font>
      <fill>
        <patternFill>
          <bgColor rgb="FF0D1117"/>
        </patternFill>
      </fill>
    </dxf>
    <dxf>
      <font>
        <b/>
        <i val="0"/>
        <sz val="10"/>
        <name val="Segoe UI"/>
        <family val="2"/>
        <scheme val="none"/>
      </font>
      <fill>
        <patternFill>
          <bgColor rgb="FF0D1117"/>
        </patternFill>
      </fill>
    </dxf>
    <dxf>
      <numFmt numFmtId="165" formatCode="&quot;$&quot;#,##0.00"/>
    </dxf>
    <dxf>
      <numFmt numFmtId="164" formatCode="&quot;$&quot;00,&quot;k&quot;"/>
    </dxf>
    <dxf>
      <numFmt numFmtId="166" formatCode="#,##0.00,,&quot;M&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5" formatCode="&quot;$&quot;#,##0.00"/>
    </dxf>
    <dxf>
      <numFmt numFmtId="164" formatCode="&quot;$&quot;00,&quot;k&quot;"/>
    </dxf>
    <dxf>
      <numFmt numFmtId="166" formatCode="#,##0.00,,&quot;M&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5" formatCode="&quot;$&quot;#,##0.00"/>
    </dxf>
    <dxf>
      <numFmt numFmtId="164" formatCode="&quot;$&quot;00,&quot;k&quot;"/>
    </dxf>
    <dxf>
      <numFmt numFmtId="166" formatCode="#,##0.00,,&quot;M&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5" formatCode="&quot;$&quot;#,##0.00"/>
    </dxf>
    <dxf>
      <numFmt numFmtId="164" formatCode="&quot;$&quot;00,&quot;k&quot;"/>
    </dxf>
    <dxf>
      <numFmt numFmtId="166" formatCode="#,##0.00,,&quot;M&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5" formatCode="&quot;$&quot;#,##0.00"/>
    </dxf>
    <dxf>
      <numFmt numFmtId="164" formatCode="&quot;$&quot;00,&quot;k&quot;"/>
    </dxf>
    <dxf>
      <numFmt numFmtId="166" formatCode="#,##0.00,,&quot;M&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4" formatCode="&quot;$&quot;00,&quot;k&quot;"/>
    </dxf>
    <dxf>
      <numFmt numFmtId="166" formatCode="#,##0.00,,&quot;M&quot;"/>
    </dxf>
    <dxf>
      <numFmt numFmtId="165" formatCode="&quot;$&quot;#,##0.00"/>
    </dxf>
    <dxf>
      <numFmt numFmtId="164" formatCode="&quot;$&quot;00,&quot;k&quot;"/>
    </dxf>
    <dxf>
      <numFmt numFmtId="19" formatCode="mm/d/yyyy"/>
    </dxf>
  </dxfs>
  <tableStyles count="1" defaultTableStyle="TableStyleMedium2" defaultPivotStyle="PivotStyleLight16">
    <tableStyle name="Slicer Style 1" pivot="0" table="0" count="6" xr9:uid="{C7879730-F7A2-4DBC-AAEE-09A2E83740EF}">
      <tableStyleElement type="wholeTable" dxfId="1"/>
      <tableStyleElement type="headerRow" dxfId="0"/>
    </tableStyle>
  </tableStyles>
  <colors>
    <mruColors>
      <color rgb="FF39FF14"/>
      <color rgb="FF00E5FF"/>
      <color rgb="FFB026FF"/>
      <color rgb="FFFF8800"/>
      <color rgb="FF008B8B"/>
      <color rgb="FF0D1117"/>
    </mruColors>
  </colors>
  <extLst>
    <ext xmlns:x14="http://schemas.microsoft.com/office/spreadsheetml/2009/9/main" uri="{46F421CA-312F-682f-3DD2-61675219B42D}">
      <x14:dxfs count="8">
        <dxf>
          <font>
            <color theme="0" tint="-4.9989318521683403E-2"/>
            <name val="Segoe UI"/>
            <family val="2"/>
            <scheme val="none"/>
          </font>
          <fill>
            <patternFill>
              <bgColor rgb="FF008B8B"/>
            </patternFill>
          </fill>
        </dxf>
        <dxf>
          <font>
            <color theme="0" tint="-4.9989318521683403E-2"/>
            <name val="Segoe UI"/>
            <family val="2"/>
            <scheme val="none"/>
          </font>
        </dxf>
        <dxf>
          <font>
            <b/>
            <i val="0"/>
            <sz val="10"/>
            <color theme="0" tint="-4.9989318521683403E-2"/>
            <name val="Segoe UI"/>
            <family val="2"/>
            <scheme val="none"/>
          </font>
          <fill>
            <patternFill>
              <fgColor rgb="FF00E5FF"/>
              <bgColor rgb="FF00E5FF"/>
            </patternFill>
          </fill>
        </dxf>
        <dxf>
          <font>
            <b/>
            <i val="0"/>
            <sz val="10"/>
            <color theme="0" tint="-4.9989318521683403E-2"/>
            <name val="Segoe UI"/>
            <family val="2"/>
            <scheme val="none"/>
          </font>
          <fill>
            <patternFill>
              <bgColor rgb="FF0D1117"/>
            </patternFill>
          </fill>
        </dxf>
        <dxf>
          <font>
            <color theme="0" tint="-4.9989318521683403E-2"/>
            <name val="Segoe UI"/>
            <family val="2"/>
            <scheme val="none"/>
          </font>
          <fill>
            <patternFill>
              <bgColor rgb="FF008B8B"/>
            </patternFill>
          </fill>
        </dxf>
        <dxf>
          <font>
            <color theme="0" tint="-4.9989318521683403E-2"/>
            <name val="Segoe UI"/>
            <family val="2"/>
            <scheme val="none"/>
          </font>
        </dxf>
        <dxf>
          <font>
            <b val="0"/>
            <i val="0"/>
            <sz val="10"/>
            <color theme="0" tint="-4.9989318521683403E-2"/>
            <name val="Segoe UI"/>
            <family val="2"/>
            <scheme val="none"/>
          </font>
          <fill>
            <patternFill>
              <fgColor rgb="FF00E5FF"/>
              <bgColor rgb="FF00E5FF"/>
            </patternFill>
          </fill>
        </dxf>
        <dxf>
          <font>
            <b val="0"/>
            <i val="0"/>
            <sz val="10"/>
            <color theme="0" tint="-4.9989318521683403E-2"/>
            <name val="Segoe UI"/>
            <family val="2"/>
            <scheme val="none"/>
          </font>
          <fill>
            <patternFill>
              <bgColor rgb="FF0D111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dataset.xlsx]Segment Analysis!PivotTable8</c:name>
    <c:fmtId val="16"/>
  </c:pivotSource>
  <c:chart>
    <c:title>
      <c:tx>
        <c:rich>
          <a:bodyPr rot="0" spcFirstLastPara="1" vertOverflow="ellipsis" vert="horz" wrap="square" anchor="ctr" anchorCtr="1"/>
          <a:lstStyle/>
          <a:p>
            <a:pPr>
              <a:defRPr sz="1400" b="0" i="0" u="none" strike="noStrike" kern="1200" spc="0" baseline="0">
                <a:ln>
                  <a:noFill/>
                </a:ln>
                <a:solidFill>
                  <a:srgbClr val="00E5FF"/>
                </a:solidFill>
                <a:latin typeface="+mn-lt"/>
                <a:ea typeface="+mn-ea"/>
                <a:cs typeface="+mn-cs"/>
              </a:defRPr>
            </a:pPr>
            <a:r>
              <a:rPr lang="en-US" b="1">
                <a:ln>
                  <a:noFill/>
                </a:ln>
                <a:solidFill>
                  <a:srgbClr val="00E5FF"/>
                </a:solidFill>
                <a:latin typeface="Segoe UI" panose="020B0502040204020203" pitchFamily="34" charset="0"/>
                <a:cs typeface="Segoe UI" panose="020B0502040204020203" pitchFamily="34" charset="0"/>
              </a:rPr>
              <a:t>Sales</a:t>
            </a:r>
            <a:r>
              <a:rPr lang="en-US" b="1" baseline="0">
                <a:ln>
                  <a:noFill/>
                </a:ln>
                <a:solidFill>
                  <a:srgbClr val="00E5FF"/>
                </a:solidFill>
                <a:latin typeface="Segoe UI" panose="020B0502040204020203" pitchFamily="34" charset="0"/>
                <a:cs typeface="Segoe UI" panose="020B0502040204020203" pitchFamily="34" charset="0"/>
              </a:rPr>
              <a:t> by segment</a:t>
            </a:r>
            <a:endParaRPr lang="en-US" b="1">
              <a:ln>
                <a:noFill/>
              </a:ln>
              <a:solidFill>
                <a:srgbClr val="00E5FF"/>
              </a:solidFill>
              <a:latin typeface="Segoe UI" panose="020B0502040204020203" pitchFamily="34" charset="0"/>
              <a:cs typeface="Segoe UI" panose="020B0502040204020203" pitchFamily="34" charset="0"/>
            </a:endParaRPr>
          </a:p>
        </c:rich>
      </c:tx>
      <c:layout>
        <c:manualLayout>
          <c:xMode val="edge"/>
          <c:yMode val="edge"/>
          <c:x val="5.8530183727034134E-2"/>
          <c:y val="2.5176233635448138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00E5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A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E5FF"/>
          </a:solidFill>
          <a:ln w="19050">
            <a:solidFill>
              <a:schemeClr val="lt1"/>
            </a:solidFill>
          </a:ln>
          <a:effectLst/>
        </c:spPr>
      </c:pivotFmt>
      <c:pivotFmt>
        <c:idx val="8"/>
        <c:spPr>
          <a:solidFill>
            <a:srgbClr val="39FF14"/>
          </a:solidFill>
          <a:ln w="19050">
            <a:solidFill>
              <a:schemeClr val="lt1"/>
            </a:solidFill>
          </a:ln>
          <a:effectLst/>
        </c:spPr>
      </c:pivotFmt>
      <c:pivotFmt>
        <c:idx val="9"/>
        <c:spPr>
          <a:solidFill>
            <a:srgbClr val="FF8800"/>
          </a:solidFill>
          <a:ln w="19050">
            <a:solidFill>
              <a:schemeClr val="lt1"/>
            </a:solidFill>
          </a:ln>
          <a:effectLst/>
        </c:spPr>
      </c:pivotFmt>
      <c:pivotFmt>
        <c:idx val="10"/>
        <c:spPr>
          <a:solidFill>
            <a:srgbClr val="B026FF"/>
          </a:solidFill>
          <a:ln w="19050">
            <a:solidFill>
              <a:schemeClr val="lt1"/>
            </a:solidFill>
          </a:ln>
          <a:effectLst/>
        </c:spPr>
      </c:pivotFmt>
    </c:pivotFmts>
    <c:plotArea>
      <c:layout/>
      <c:doughnutChart>
        <c:varyColors val="1"/>
        <c:ser>
          <c:idx val="0"/>
          <c:order val="0"/>
          <c:tx>
            <c:strRef>
              <c:f>'Segment Analysis'!$C$4</c:f>
              <c:strCache>
                <c:ptCount val="1"/>
                <c:pt idx="0">
                  <c:v>Total</c:v>
                </c:pt>
              </c:strCache>
            </c:strRef>
          </c:tx>
          <c:dPt>
            <c:idx val="0"/>
            <c:bubble3D val="0"/>
            <c:spPr>
              <a:solidFill>
                <a:srgbClr val="00E5FF"/>
              </a:solidFill>
              <a:ln w="19050">
                <a:solidFill>
                  <a:schemeClr val="lt1"/>
                </a:solidFill>
              </a:ln>
              <a:effectLst/>
            </c:spPr>
            <c:extLst>
              <c:ext xmlns:c16="http://schemas.microsoft.com/office/drawing/2014/chart" uri="{C3380CC4-5D6E-409C-BE32-E72D297353CC}">
                <c16:uniqueId val="{00000001-F3F3-49BE-B877-5528DC06C40D}"/>
              </c:ext>
            </c:extLst>
          </c:dPt>
          <c:dPt>
            <c:idx val="1"/>
            <c:bubble3D val="0"/>
            <c:spPr>
              <a:solidFill>
                <a:srgbClr val="39FF14"/>
              </a:solidFill>
              <a:ln w="19050">
                <a:solidFill>
                  <a:schemeClr val="lt1"/>
                </a:solidFill>
              </a:ln>
              <a:effectLst/>
            </c:spPr>
            <c:extLst>
              <c:ext xmlns:c16="http://schemas.microsoft.com/office/drawing/2014/chart" uri="{C3380CC4-5D6E-409C-BE32-E72D297353CC}">
                <c16:uniqueId val="{00000003-F3F3-49BE-B877-5528DC06C40D}"/>
              </c:ext>
            </c:extLst>
          </c:dPt>
          <c:dPt>
            <c:idx val="2"/>
            <c:bubble3D val="0"/>
            <c:spPr>
              <a:solidFill>
                <a:srgbClr val="FF8800"/>
              </a:solidFill>
              <a:ln w="19050">
                <a:solidFill>
                  <a:schemeClr val="lt1"/>
                </a:solidFill>
              </a:ln>
              <a:effectLst/>
            </c:spPr>
            <c:extLst>
              <c:ext xmlns:c16="http://schemas.microsoft.com/office/drawing/2014/chart" uri="{C3380CC4-5D6E-409C-BE32-E72D297353CC}">
                <c16:uniqueId val="{00000005-F3F3-49BE-B877-5528DC06C40D}"/>
              </c:ext>
            </c:extLst>
          </c:dPt>
          <c:dPt>
            <c:idx val="3"/>
            <c:bubble3D val="0"/>
            <c:spPr>
              <a:solidFill>
                <a:srgbClr val="B026FF"/>
              </a:solidFill>
              <a:ln w="19050">
                <a:solidFill>
                  <a:schemeClr val="lt1"/>
                </a:solidFill>
              </a:ln>
              <a:effectLst/>
            </c:spPr>
            <c:extLst>
              <c:ext xmlns:c16="http://schemas.microsoft.com/office/drawing/2014/chart" uri="{C3380CC4-5D6E-409C-BE32-E72D297353CC}">
                <c16:uniqueId val="{00000007-F3F3-49BE-B877-5528DC06C4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A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Analysis'!$B$5:$B$9</c:f>
              <c:strCache>
                <c:ptCount val="4"/>
                <c:pt idx="0">
                  <c:v>Consumer</c:v>
                </c:pt>
                <c:pt idx="1">
                  <c:v>Home Office</c:v>
                </c:pt>
                <c:pt idx="2">
                  <c:v>Corporate</c:v>
                </c:pt>
                <c:pt idx="3">
                  <c:v>Small Business</c:v>
                </c:pt>
              </c:strCache>
            </c:strRef>
          </c:cat>
          <c:val>
            <c:numRef>
              <c:f>'Segment Analysis'!$C$5:$C$9</c:f>
              <c:numCache>
                <c:formatCode>"$"00,"k"</c:formatCode>
                <c:ptCount val="4"/>
                <c:pt idx="0">
                  <c:v>917791.49999999953</c:v>
                </c:pt>
                <c:pt idx="1">
                  <c:v>893221.53</c:v>
                </c:pt>
                <c:pt idx="2">
                  <c:v>841316.08999999985</c:v>
                </c:pt>
                <c:pt idx="3">
                  <c:v>813125.93999999971</c:v>
                </c:pt>
              </c:numCache>
            </c:numRef>
          </c:val>
          <c:extLst>
            <c:ext xmlns:c16="http://schemas.microsoft.com/office/drawing/2014/chart" uri="{C3380CC4-5D6E-409C-BE32-E72D297353CC}">
              <c16:uniqueId val="{00000008-F3F3-49BE-B877-5528DC06C40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noFill/>
      <a:round/>
    </a:ln>
    <a:effectLst>
      <a:glow rad="101600">
        <a:schemeClr val="accent5">
          <a:satMod val="175000"/>
          <a:alpha val="40000"/>
        </a:schemeClr>
      </a:glow>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dataset.xlsx]Salesman Performance!PivotTable7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rgbClr val="00E5FF"/>
                </a:solidFill>
                <a:latin typeface="Segoe UI" panose="020B0502040204020203" pitchFamily="34" charset="0"/>
                <a:cs typeface="Segoe UI" panose="020B0502040204020203" pitchFamily="34" charset="0"/>
              </a:rPr>
              <a:t>SALES</a:t>
            </a:r>
            <a:r>
              <a:rPr lang="en-US" sz="1100" b="1" baseline="0">
                <a:solidFill>
                  <a:srgbClr val="00E5FF"/>
                </a:solidFill>
                <a:latin typeface="Segoe UI" panose="020B0502040204020203" pitchFamily="34" charset="0"/>
                <a:cs typeface="Segoe UI" panose="020B0502040204020203" pitchFamily="34" charset="0"/>
              </a:rPr>
              <a:t>MAN PERFORMANCE BY </a:t>
            </a:r>
            <a:r>
              <a:rPr lang="en-US" sz="1100" b="1" baseline="0">
                <a:solidFill>
                  <a:schemeClr val="bg1"/>
                </a:solidFill>
                <a:latin typeface="Segoe UI" panose="020B0502040204020203" pitchFamily="34" charset="0"/>
                <a:cs typeface="Segoe UI" panose="020B0502040204020203" pitchFamily="34" charset="0"/>
              </a:rPr>
              <a:t>(TOP 10)</a:t>
            </a:r>
            <a:endParaRPr lang="en-US" sz="1100" b="1">
              <a:solidFill>
                <a:schemeClr val="bg1"/>
              </a:solidFill>
              <a:latin typeface="Segoe UI" panose="020B0502040204020203" pitchFamily="34" charset="0"/>
              <a:cs typeface="Segoe UI" panose="020B0502040204020203" pitchFamily="34" charset="0"/>
            </a:endParaRPr>
          </a:p>
        </c:rich>
      </c:tx>
      <c:layout>
        <c:manualLayout>
          <c:xMode val="edge"/>
          <c:yMode val="edge"/>
          <c:x val="1.4856192714130627E-2"/>
          <c:y val="1.82461015902423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FF1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9FF14"/>
          </a:solidFill>
          <a:ln>
            <a:noFill/>
          </a:ln>
          <a:effectLst/>
        </c:spPr>
      </c:pivotFmt>
      <c:pivotFmt>
        <c:idx val="4"/>
        <c:spPr>
          <a:solidFill>
            <a:srgbClr val="39FF14"/>
          </a:solidFill>
          <a:ln>
            <a:noFill/>
          </a:ln>
          <a:effectLst/>
        </c:spPr>
      </c:pivotFmt>
    </c:pivotFmts>
    <c:plotArea>
      <c:layout/>
      <c:barChart>
        <c:barDir val="col"/>
        <c:grouping val="clustered"/>
        <c:varyColors val="0"/>
        <c:ser>
          <c:idx val="0"/>
          <c:order val="0"/>
          <c:tx>
            <c:strRef>
              <c:f>'Salesman Performance'!$C$3</c:f>
              <c:strCache>
                <c:ptCount val="1"/>
                <c:pt idx="0">
                  <c:v>Total</c:v>
                </c:pt>
              </c:strCache>
            </c:strRef>
          </c:tx>
          <c:spPr>
            <a:solidFill>
              <a:srgbClr val="39FF1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noFill/>
                    </a:ln>
                    <a:solidFill>
                      <a:schemeClr val="bg1">
                        <a:lumMod val="9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'Salesman Performance'!$B$4:$B$14</c:f>
              <c:strCache>
                <c:ptCount val="10"/>
                <c:pt idx="0">
                  <c:v>Pooja</c:v>
                </c:pt>
                <c:pt idx="1">
                  <c:v>Rohit</c:v>
                </c:pt>
                <c:pt idx="2">
                  <c:v>Rahul</c:v>
                </c:pt>
                <c:pt idx="3">
                  <c:v>Priya</c:v>
                </c:pt>
                <c:pt idx="4">
                  <c:v>Amit</c:v>
                </c:pt>
                <c:pt idx="5">
                  <c:v>Anjali</c:v>
                </c:pt>
                <c:pt idx="6">
                  <c:v>Vikram</c:v>
                </c:pt>
                <c:pt idx="7">
                  <c:v>Sneha</c:v>
                </c:pt>
                <c:pt idx="8">
                  <c:v>Karan</c:v>
                </c:pt>
                <c:pt idx="9">
                  <c:v>Neha</c:v>
                </c:pt>
              </c:strCache>
            </c:strRef>
          </c:cat>
          <c:val>
            <c:numRef>
              <c:f>'Salesman Performance'!$C$4:$C$14</c:f>
              <c:numCache>
                <c:formatCode>"$"00,"k"</c:formatCode>
                <c:ptCount val="10"/>
                <c:pt idx="0">
                  <c:v>405495.69000000006</c:v>
                </c:pt>
                <c:pt idx="1">
                  <c:v>395387.20999999996</c:v>
                </c:pt>
                <c:pt idx="2">
                  <c:v>374029.37000000005</c:v>
                </c:pt>
                <c:pt idx="3">
                  <c:v>351157.02</c:v>
                </c:pt>
                <c:pt idx="4">
                  <c:v>350695.37999999989</c:v>
                </c:pt>
                <c:pt idx="5">
                  <c:v>341609.5799999999</c:v>
                </c:pt>
                <c:pt idx="6">
                  <c:v>334323.11000000004</c:v>
                </c:pt>
                <c:pt idx="7">
                  <c:v>321778.47000000015</c:v>
                </c:pt>
                <c:pt idx="8">
                  <c:v>311338.44</c:v>
                </c:pt>
                <c:pt idx="9">
                  <c:v>279640.78999999998</c:v>
                </c:pt>
              </c:numCache>
            </c:numRef>
          </c:val>
          <c:extLst>
            <c:ext xmlns:c16="http://schemas.microsoft.com/office/drawing/2014/chart" uri="{C3380CC4-5D6E-409C-BE32-E72D297353CC}">
              <c16:uniqueId val="{00000000-CA34-402B-AA23-0B6CBA1048DC}"/>
            </c:ext>
          </c:extLst>
        </c:ser>
        <c:dLbls>
          <c:showLegendKey val="0"/>
          <c:showVal val="0"/>
          <c:showCatName val="0"/>
          <c:showSerName val="0"/>
          <c:showPercent val="0"/>
          <c:showBubbleSize val="0"/>
        </c:dLbls>
        <c:gapWidth val="219"/>
        <c:overlap val="-27"/>
        <c:axId val="997773631"/>
        <c:axId val="997775071"/>
      </c:barChart>
      <c:catAx>
        <c:axId val="99777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AS"/>
          </a:p>
        </c:txPr>
        <c:crossAx val="997775071"/>
        <c:crosses val="autoZero"/>
        <c:auto val="1"/>
        <c:lblAlgn val="ctr"/>
        <c:lblOffset val="100"/>
        <c:noMultiLvlLbl val="0"/>
      </c:catAx>
      <c:valAx>
        <c:axId val="99777507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AS"/>
          </a:p>
        </c:txPr>
        <c:crossAx val="997773631"/>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noFill/>
      <a:round/>
    </a:ln>
    <a:effectLst>
      <a:glow rad="101600">
        <a:srgbClr val="39FF14">
          <a:alpha val="40000"/>
        </a:srgbClr>
      </a:glow>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dataset.xlsx]Product  Analysis!PivotTable9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E5FF"/>
                </a:solidFill>
                <a:latin typeface="Segoe UI" panose="020B0502040204020203" pitchFamily="34" charset="0"/>
                <a:cs typeface="Segoe UI" panose="020B0502040204020203" pitchFamily="34" charset="0"/>
              </a:rPr>
              <a:t>Top</a:t>
            </a:r>
            <a:r>
              <a:rPr lang="en-US" b="1" baseline="0">
                <a:solidFill>
                  <a:srgbClr val="00E5FF"/>
                </a:solidFill>
                <a:latin typeface="Segoe UI" panose="020B0502040204020203" pitchFamily="34" charset="0"/>
                <a:cs typeface="Segoe UI" panose="020B0502040204020203" pitchFamily="34" charset="0"/>
              </a:rPr>
              <a:t> 10 Product by Sales</a:t>
            </a:r>
            <a:endParaRPr lang="en-US" b="1">
              <a:solidFill>
                <a:srgbClr val="00E5FF"/>
              </a:solidFill>
              <a:latin typeface="Segoe UI" panose="020B0502040204020203" pitchFamily="34" charset="0"/>
              <a:cs typeface="Segoe UI" panose="020B0502040204020203" pitchFamily="34" charset="0"/>
            </a:endParaRPr>
          </a:p>
        </c:rich>
      </c:tx>
      <c:layout>
        <c:manualLayout>
          <c:xMode val="edge"/>
          <c:yMode val="edge"/>
          <c:x val="3.0319335083114612E-2"/>
          <c:y val="3.5035035035035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Analysis'!$A$4:$A$14</c:f>
              <c:strCache>
                <c:ptCount val="10"/>
                <c:pt idx="0">
                  <c:v>Conference Table</c:v>
                </c:pt>
                <c:pt idx="1">
                  <c:v>Mini PC</c:v>
                </c:pt>
                <c:pt idx="2">
                  <c:v>Headset</c:v>
                </c:pt>
                <c:pt idx="3">
                  <c:v>Keyboard</c:v>
                </c:pt>
                <c:pt idx="4">
                  <c:v>File Folder</c:v>
                </c:pt>
                <c:pt idx="5">
                  <c:v>Gaming Chair</c:v>
                </c:pt>
                <c:pt idx="6">
                  <c:v>A4 Paper</c:v>
                </c:pt>
                <c:pt idx="7">
                  <c:v>Smartphone</c:v>
                </c:pt>
                <c:pt idx="8">
                  <c:v>Document Case</c:v>
                </c:pt>
                <c:pt idx="9">
                  <c:v>Office Chair</c:v>
                </c:pt>
              </c:strCache>
            </c:strRef>
          </c:cat>
          <c:val>
            <c:numRef>
              <c:f>'Product  Analysis'!$B$4:$B$14</c:f>
              <c:numCache>
                <c:formatCode>"$"00,"k"</c:formatCode>
                <c:ptCount val="10"/>
                <c:pt idx="0">
                  <c:v>213389.86000000004</c:v>
                </c:pt>
                <c:pt idx="1">
                  <c:v>172205.51999999996</c:v>
                </c:pt>
                <c:pt idx="2">
                  <c:v>165051.09999999998</c:v>
                </c:pt>
                <c:pt idx="3">
                  <c:v>158867.86000000002</c:v>
                </c:pt>
                <c:pt idx="4">
                  <c:v>155448.88</c:v>
                </c:pt>
                <c:pt idx="5">
                  <c:v>138350.93</c:v>
                </c:pt>
                <c:pt idx="6">
                  <c:v>137670.46999999997</c:v>
                </c:pt>
                <c:pt idx="7">
                  <c:v>135858.04</c:v>
                </c:pt>
                <c:pt idx="8">
                  <c:v>133570.01</c:v>
                </c:pt>
                <c:pt idx="9">
                  <c:v>132379.78000000003</c:v>
                </c:pt>
              </c:numCache>
            </c:numRef>
          </c:val>
          <c:extLst>
            <c:ext xmlns:c16="http://schemas.microsoft.com/office/drawing/2014/chart" uri="{C3380CC4-5D6E-409C-BE32-E72D297353CC}">
              <c16:uniqueId val="{00000000-5C53-4335-85A4-EF0A14869784}"/>
            </c:ext>
          </c:extLst>
        </c:ser>
        <c:dLbls>
          <c:dLblPos val="outEnd"/>
          <c:showLegendKey val="0"/>
          <c:showVal val="1"/>
          <c:showCatName val="0"/>
          <c:showSerName val="0"/>
          <c:showPercent val="0"/>
          <c:showBubbleSize val="0"/>
        </c:dLbls>
        <c:gapWidth val="182"/>
        <c:axId val="997776511"/>
        <c:axId val="997776991"/>
      </c:barChart>
      <c:catAx>
        <c:axId val="99777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AS"/>
          </a:p>
        </c:txPr>
        <c:crossAx val="997776991"/>
        <c:crosses val="autoZero"/>
        <c:auto val="1"/>
        <c:lblAlgn val="ctr"/>
        <c:lblOffset val="100"/>
        <c:noMultiLvlLbl val="0"/>
      </c:catAx>
      <c:valAx>
        <c:axId val="997776991"/>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lumMod val="95000"/>
                  </a:schemeClr>
                </a:solidFill>
                <a:latin typeface="+mn-lt"/>
                <a:ea typeface="+mn-ea"/>
                <a:cs typeface="+mn-cs"/>
              </a:defRPr>
            </a:pPr>
            <a:endParaRPr lang="en-AS"/>
          </a:p>
        </c:txPr>
        <c:crossAx val="997776511"/>
        <c:crosses val="autoZero"/>
        <c:crossBetween val="between"/>
      </c:valAx>
      <c:spPr>
        <a:solidFill>
          <a:srgbClr val="161B2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noFill/>
      <a:round/>
    </a:ln>
    <a:effectLst>
      <a:glow rad="101600">
        <a:srgbClr val="00E5FF">
          <a:alpha val="40000"/>
        </a:srgbClr>
      </a:glow>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dataset.xlsx]Category Analysis!PivotTable3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E5FF"/>
                </a:solidFill>
                <a:latin typeface="Segoe UI" panose="020B0502040204020203" pitchFamily="34" charset="0"/>
                <a:cs typeface="Segoe UI" panose="020B0502040204020203" pitchFamily="34" charset="0"/>
              </a:rPr>
              <a:t>Profit</a:t>
            </a:r>
            <a:r>
              <a:rPr lang="en-US" b="1" baseline="0">
                <a:solidFill>
                  <a:srgbClr val="00E5FF"/>
                </a:solidFill>
                <a:latin typeface="Segoe UI" panose="020B0502040204020203" pitchFamily="34" charset="0"/>
                <a:cs typeface="Segoe UI" panose="020B0502040204020203" pitchFamily="34" charset="0"/>
              </a:rPr>
              <a:t> by Category</a:t>
            </a:r>
            <a:endParaRPr lang="en-US" b="1">
              <a:solidFill>
                <a:srgbClr val="00E5FF"/>
              </a:solidFill>
              <a:latin typeface="Segoe UI" panose="020B0502040204020203" pitchFamily="34" charset="0"/>
              <a:cs typeface="Segoe UI" panose="020B0502040204020203" pitchFamily="34" charset="0"/>
            </a:endParaRPr>
          </a:p>
        </c:rich>
      </c:tx>
      <c:layout>
        <c:manualLayout>
          <c:xMode val="edge"/>
          <c:yMode val="edge"/>
          <c:x val="2.2010068707281897E-2"/>
          <c:y val="3.10172490419528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9FF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9FF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FF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9FF14"/>
          </a:solidFill>
          <a:ln>
            <a:noFill/>
          </a:ln>
          <a:effectLst>
            <a:outerShdw blurRad="50800" dist="38100" dir="5400000" algn="t" rotWithShape="0">
              <a:srgbClr val="39FF14">
                <a:alpha val="40000"/>
              </a:srgbClr>
            </a:outerShdw>
          </a:effectLst>
        </c:spPr>
      </c:pivotFmt>
      <c:pivotFmt>
        <c:idx val="4"/>
        <c:spPr>
          <a:solidFill>
            <a:srgbClr val="39FF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9FF14"/>
          </a:solidFill>
          <a:ln>
            <a:noFill/>
          </a:ln>
          <a:effectLst>
            <a:outerShdw blurRad="50800" dist="38100" dir="5400000" algn="t" rotWithShape="0">
              <a:srgbClr val="39FF14">
                <a:alpha val="40000"/>
              </a:srgbClr>
            </a:outerShdw>
          </a:effectLst>
        </c:spPr>
      </c:pivotFmt>
      <c:pivotFmt>
        <c:idx val="6"/>
        <c:spPr>
          <a:solidFill>
            <a:schemeClr val="accent1"/>
          </a:solidFill>
          <a:ln>
            <a:noFill/>
          </a:ln>
          <a:effectLst/>
        </c:spPr>
        <c:marker>
          <c:symbol val="none"/>
        </c:marker>
        <c:dLbl>
          <c:idx val="0"/>
          <c:spPr>
            <a:noFill/>
            <a:ln>
              <a:noFill/>
            </a:ln>
            <a:effectLst/>
          </c:spPr>
          <c:txPr>
            <a:bodyPr rot="-5400000" spcFirstLastPara="1" vertOverflow="overflow" horzOverflow="overflow" vert="horz" wrap="square" lIns="72000" tIns="19050" rIns="38100" bIns="18000" spcCol="0" anchor="ctr" anchorCtr="1">
              <a:spAutoFit/>
            </a:bodyPr>
            <a:lstStyle/>
            <a:p>
              <a:pPr>
                <a:defRPr sz="900" b="0" i="0" u="none" strike="noStrike" kern="1200" baseline="0">
                  <a:ln>
                    <a:solidFill>
                      <a:schemeClr val="bg1"/>
                    </a:solidFill>
                  </a:ln>
                  <a:solidFill>
                    <a:schemeClr val="bg1">
                      <a:lumMod val="95000"/>
                    </a:schemeClr>
                  </a:solidFill>
                  <a:latin typeface="+mn-lt"/>
                  <a:ea typeface="+mn-ea"/>
                  <a:cs typeface="+mn-cs"/>
                </a:defRPr>
              </a:pPr>
              <a:endParaRPr lang="en-A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39FF14"/>
          </a:solidFill>
          <a:ln>
            <a:noFill/>
          </a:ln>
          <a:effectLst/>
        </c:spPr>
      </c:pivotFmt>
      <c:pivotFmt>
        <c:idx val="8"/>
        <c:spPr>
          <a:solidFill>
            <a:srgbClr val="39FF14"/>
          </a:solidFill>
          <a:ln>
            <a:noFill/>
          </a:ln>
          <a:effectLst/>
        </c:spPr>
      </c:pivotFmt>
      <c:pivotFmt>
        <c:idx val="9"/>
        <c:spPr>
          <a:solidFill>
            <a:srgbClr val="39FF14"/>
          </a:solidFill>
          <a:ln>
            <a:noFill/>
          </a:ln>
          <a:effectLst/>
        </c:spPr>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Analysis'!$D$11</c:f>
              <c:strCache>
                <c:ptCount val="1"/>
                <c:pt idx="0">
                  <c:v>Total</c:v>
                </c:pt>
              </c:strCache>
            </c:strRef>
          </c:tx>
          <c:spPr>
            <a:solidFill>
              <a:schemeClr val="accent1"/>
            </a:solidFill>
            <a:ln>
              <a:noFill/>
            </a:ln>
            <a:effectLst/>
          </c:spPr>
          <c:invertIfNegative val="0"/>
          <c:dPt>
            <c:idx val="0"/>
            <c:invertIfNegative val="0"/>
            <c:bubble3D val="0"/>
            <c:spPr>
              <a:solidFill>
                <a:srgbClr val="39FF14"/>
              </a:solidFill>
              <a:ln>
                <a:noFill/>
              </a:ln>
              <a:effectLst/>
            </c:spPr>
            <c:extLst>
              <c:ext xmlns:c16="http://schemas.microsoft.com/office/drawing/2014/chart" uri="{C3380CC4-5D6E-409C-BE32-E72D297353CC}">
                <c16:uniqueId val="{00000003-9C85-4A09-814C-1A70FC055439}"/>
              </c:ext>
            </c:extLst>
          </c:dPt>
          <c:dPt>
            <c:idx val="1"/>
            <c:invertIfNegative val="0"/>
            <c:bubble3D val="0"/>
            <c:spPr>
              <a:solidFill>
                <a:srgbClr val="39FF14"/>
              </a:solidFill>
              <a:ln>
                <a:noFill/>
              </a:ln>
              <a:effectLst/>
            </c:spPr>
            <c:extLst>
              <c:ext xmlns:c16="http://schemas.microsoft.com/office/drawing/2014/chart" uri="{C3380CC4-5D6E-409C-BE32-E72D297353CC}">
                <c16:uniqueId val="{00000004-9C85-4A09-814C-1A70FC055439}"/>
              </c:ext>
            </c:extLst>
          </c:dPt>
          <c:dPt>
            <c:idx val="2"/>
            <c:invertIfNegative val="0"/>
            <c:bubble3D val="0"/>
            <c:spPr>
              <a:solidFill>
                <a:srgbClr val="39FF14"/>
              </a:solidFill>
              <a:ln>
                <a:noFill/>
              </a:ln>
              <a:effectLst/>
            </c:spPr>
            <c:extLst>
              <c:ext xmlns:c16="http://schemas.microsoft.com/office/drawing/2014/chart" uri="{C3380CC4-5D6E-409C-BE32-E72D297353CC}">
                <c16:uniqueId val="{00000005-9C85-4A09-814C-1A70FC055439}"/>
              </c:ext>
            </c:extLst>
          </c:dPt>
          <c:dLbls>
            <c:spPr>
              <a:noFill/>
              <a:ln>
                <a:noFill/>
              </a:ln>
              <a:effectLst/>
            </c:spPr>
            <c:txPr>
              <a:bodyPr rot="-5400000" spcFirstLastPara="1" vertOverflow="overflow" horzOverflow="overflow" vert="horz" wrap="square" lIns="72000" tIns="19050" rIns="38100" bIns="18000" spcCol="0" anchor="ctr" anchorCtr="1">
                <a:spAutoFit/>
              </a:bodyPr>
              <a:lstStyle/>
              <a:p>
                <a:pPr>
                  <a:defRPr sz="900" b="0" i="0" u="none" strike="noStrike" kern="1200" baseline="0">
                    <a:ln>
                      <a:solidFill>
                        <a:schemeClr val="bg1"/>
                      </a:solidFill>
                    </a:ln>
                    <a:solidFill>
                      <a:schemeClr val="bg1">
                        <a:lumMod val="95000"/>
                      </a:schemeClr>
                    </a:solidFill>
                    <a:latin typeface="+mn-lt"/>
                    <a:ea typeface="+mn-ea"/>
                    <a:cs typeface="+mn-cs"/>
                  </a:defRPr>
                </a:pPr>
                <a:endParaRPr lang="en-A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'Category Analysis'!$C$12:$C$15</c:f>
              <c:strCache>
                <c:ptCount val="3"/>
                <c:pt idx="0">
                  <c:v>Furniture</c:v>
                </c:pt>
                <c:pt idx="1">
                  <c:v>Office Supplies</c:v>
                </c:pt>
                <c:pt idx="2">
                  <c:v>Technology</c:v>
                </c:pt>
              </c:strCache>
            </c:strRef>
          </c:cat>
          <c:val>
            <c:numRef>
              <c:f>'Category Analysis'!$D$12:$D$15</c:f>
              <c:numCache>
                <c:formatCode>"$"00,"k"</c:formatCode>
                <c:ptCount val="3"/>
                <c:pt idx="0">
                  <c:v>121478.71000000005</c:v>
                </c:pt>
                <c:pt idx="1">
                  <c:v>119851.33000000006</c:v>
                </c:pt>
                <c:pt idx="2">
                  <c:v>118082.57</c:v>
                </c:pt>
              </c:numCache>
            </c:numRef>
          </c:val>
          <c:extLst>
            <c:ext xmlns:c16="http://schemas.microsoft.com/office/drawing/2014/chart" uri="{C3380CC4-5D6E-409C-BE32-E72D297353CC}">
              <c16:uniqueId val="{00000001-9C85-4A09-814C-1A70FC055439}"/>
            </c:ext>
          </c:extLst>
        </c:ser>
        <c:dLbls>
          <c:showLegendKey val="0"/>
          <c:showVal val="1"/>
          <c:showCatName val="0"/>
          <c:showSerName val="0"/>
          <c:showPercent val="0"/>
          <c:showBubbleSize val="0"/>
        </c:dLbls>
        <c:gapWidth val="150"/>
        <c:overlap val="100"/>
        <c:axId val="740189967"/>
        <c:axId val="740190447"/>
      </c:barChart>
      <c:catAx>
        <c:axId val="740189967"/>
        <c:scaling>
          <c:orientation val="minMax"/>
        </c:scaling>
        <c:delete val="0"/>
        <c:axPos val="b"/>
        <c:numFmt formatCode="General" sourceLinked="1"/>
        <c:majorTickMark val="none"/>
        <c:minorTickMark val="none"/>
        <c:tickLblPos val="low"/>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AS"/>
          </a:p>
        </c:txPr>
        <c:crossAx val="740190447"/>
        <c:crosses val="autoZero"/>
        <c:auto val="1"/>
        <c:lblAlgn val="ctr"/>
        <c:lblOffset val="100"/>
        <c:noMultiLvlLbl val="0"/>
      </c:catAx>
      <c:valAx>
        <c:axId val="740190447"/>
        <c:scaling>
          <c:orientation val="minMax"/>
        </c:scaling>
        <c:delete val="0"/>
        <c:axPos val="l"/>
        <c:majorGridlines>
          <c:spPr>
            <a:ln w="9525" cap="flat" cmpd="sng" algn="ctr">
              <a:noFill/>
              <a:round/>
            </a:ln>
            <a:effectLst/>
          </c:spPr>
        </c:majorGridlines>
        <c:numFmt formatCode="&quot;$&quot;00,&quot;k&quot;" sourceLinked="1"/>
        <c:majorTickMark val="none"/>
        <c:minorTickMark val="none"/>
        <c:tickLblPos val="nextTo"/>
        <c:spPr>
          <a:noFill/>
          <a:ln>
            <a:solidFill>
              <a:schemeClr val="bg1"/>
            </a:solidFill>
          </a:ln>
          <a:effectLst/>
        </c:spPr>
        <c:txPr>
          <a:bodyPr rot="0" spcFirstLastPara="1" vertOverflow="ellipsis" wrap="square" anchor="ctr" anchorCtr="1"/>
          <a:lstStyle/>
          <a:p>
            <a:pPr>
              <a:defRPr sz="900" b="0" i="0" u="none" strike="noStrike" kern="1200" baseline="0">
                <a:ln>
                  <a:solidFill>
                    <a:schemeClr val="bg1"/>
                  </a:solidFill>
                </a:ln>
                <a:solidFill>
                  <a:schemeClr val="bg1"/>
                </a:solidFill>
                <a:latin typeface="+mn-lt"/>
                <a:ea typeface="+mn-ea"/>
                <a:cs typeface="+mn-cs"/>
              </a:defRPr>
            </a:pPr>
            <a:endParaRPr lang="en-AS"/>
          </a:p>
        </c:txPr>
        <c:crossAx val="74018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noFill/>
      <a:round/>
    </a:ln>
    <a:effectLst>
      <a:glow rad="101600">
        <a:srgbClr val="39FF14">
          <a:alpha val="40000"/>
        </a:srgbClr>
      </a:glow>
    </a:effectLst>
  </c:spPr>
  <c:txPr>
    <a:bodyPr rot="5400000" vert="horz"/>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dataset.xlsx]Regional Analysis!PivotTable11</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E5FF"/>
                </a:solidFill>
                <a:latin typeface="Segoe UI" panose="020B0502040204020203" pitchFamily="34" charset="0"/>
                <a:cs typeface="Segoe UI" panose="020B0502040204020203" pitchFamily="34" charset="0"/>
              </a:rPr>
              <a:t>Sales By Region</a:t>
            </a:r>
          </a:p>
        </c:rich>
      </c:tx>
      <c:layout>
        <c:manualLayout>
          <c:xMode val="edge"/>
          <c:yMode val="edge"/>
          <c:x val="3.1423447069116345E-2"/>
          <c:y val="3.240740740740740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A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E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E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E5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lumMod val="95000"/>
                    </a:schemeClr>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68338424466648"/>
          <c:y val="0.18576376214562584"/>
          <c:w val="0.7245739282589676"/>
          <c:h val="0.71380431612715078"/>
        </c:manualLayout>
      </c:layout>
      <c:barChart>
        <c:barDir val="bar"/>
        <c:grouping val="clustered"/>
        <c:varyColors val="0"/>
        <c:ser>
          <c:idx val="0"/>
          <c:order val="0"/>
          <c:tx>
            <c:strRef>
              <c:f>'Regional Analysis'!$B$2</c:f>
              <c:strCache>
                <c:ptCount val="1"/>
                <c:pt idx="0">
                  <c:v>Total</c:v>
                </c:pt>
              </c:strCache>
            </c:strRef>
          </c:tx>
          <c:spPr>
            <a:solidFill>
              <a:srgbClr val="00E5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lumMod val="95000"/>
                      </a:schemeClr>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Analysis'!$A$3:$A$7</c:f>
              <c:strCache>
                <c:ptCount val="4"/>
                <c:pt idx="0">
                  <c:v>West</c:v>
                </c:pt>
                <c:pt idx="1">
                  <c:v>North</c:v>
                </c:pt>
                <c:pt idx="2">
                  <c:v>East</c:v>
                </c:pt>
                <c:pt idx="3">
                  <c:v>South</c:v>
                </c:pt>
              </c:strCache>
            </c:strRef>
          </c:cat>
          <c:val>
            <c:numRef>
              <c:f>'Regional Analysis'!$B$3:$B$7</c:f>
              <c:numCache>
                <c:formatCode>"$"00,"k"</c:formatCode>
                <c:ptCount val="4"/>
                <c:pt idx="0">
                  <c:v>892650.60999999975</c:v>
                </c:pt>
                <c:pt idx="1">
                  <c:v>889350.76000000013</c:v>
                </c:pt>
                <c:pt idx="2">
                  <c:v>888709.5399999998</c:v>
                </c:pt>
                <c:pt idx="3">
                  <c:v>794744.14999999991</c:v>
                </c:pt>
              </c:numCache>
            </c:numRef>
          </c:val>
          <c:extLst>
            <c:ext xmlns:c16="http://schemas.microsoft.com/office/drawing/2014/chart" uri="{C3380CC4-5D6E-409C-BE32-E72D297353CC}">
              <c16:uniqueId val="{00000000-B416-4263-B56A-FBB557BF6D1C}"/>
            </c:ext>
          </c:extLst>
        </c:ser>
        <c:dLbls>
          <c:dLblPos val="outEnd"/>
          <c:showLegendKey val="0"/>
          <c:showVal val="1"/>
          <c:showCatName val="0"/>
          <c:showSerName val="0"/>
          <c:showPercent val="0"/>
          <c:showBubbleSize val="0"/>
        </c:dLbls>
        <c:gapWidth val="182"/>
        <c:axId val="1329750735"/>
        <c:axId val="1329744495"/>
      </c:barChart>
      <c:catAx>
        <c:axId val="1329750735"/>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AS"/>
          </a:p>
        </c:txPr>
        <c:crossAx val="1329744495"/>
        <c:crosses val="autoZero"/>
        <c:auto val="1"/>
        <c:lblAlgn val="ctr"/>
        <c:lblOffset val="100"/>
        <c:noMultiLvlLbl val="0"/>
      </c:catAx>
      <c:valAx>
        <c:axId val="1329744495"/>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AS"/>
          </a:p>
        </c:txPr>
        <c:crossAx val="132975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117"/>
    </a:solidFill>
    <a:ln w="9525" cap="flat" cmpd="sng" algn="ctr">
      <a:noFill/>
      <a:round/>
    </a:ln>
    <a:effectLst>
      <a:glow rad="101600">
        <a:schemeClr val="accent5">
          <a:satMod val="175000"/>
          <a:alpha val="40000"/>
        </a:schemeClr>
      </a:glow>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dataset.xlsx]Time series Analysis!PivotTable12</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spc="0" baseline="0">
                <a:solidFill>
                  <a:srgbClr val="00E5FF"/>
                </a:solidFill>
                <a:latin typeface="Segoe UI" panose="020B0502040204020203" pitchFamily="34" charset="0"/>
                <a:cs typeface="Segoe UI" panose="020B0502040204020203" pitchFamily="34" charset="0"/>
              </a:rPr>
              <a:t>Sales Trends Monthly</a:t>
            </a:r>
          </a:p>
        </c:rich>
      </c:tx>
      <c:layout>
        <c:manualLayout>
          <c:xMode val="edge"/>
          <c:yMode val="edge"/>
          <c:x val="2.1965223097112879E-2"/>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AS"/>
        </a:p>
      </c:txPr>
    </c:title>
    <c:autoTitleDeleted val="0"/>
    <c:pivotFmts>
      <c:pivotFmt>
        <c:idx val="0"/>
        <c:spPr>
          <a:solidFill>
            <a:schemeClr val="accent1"/>
          </a:solidFill>
          <a:ln w="28575" cap="rnd">
            <a:solidFill>
              <a:srgbClr val="00E5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E5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E5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bg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Analysis'!$B$4</c:f>
              <c:strCache>
                <c:ptCount val="1"/>
                <c:pt idx="0">
                  <c:v>Total</c:v>
                </c:pt>
              </c:strCache>
            </c:strRef>
          </c:tx>
          <c:spPr>
            <a:ln w="28575" cap="rnd">
              <a:solidFill>
                <a:srgbClr val="00E5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bg1"/>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'Time series Analysis'!$A$5:$A$17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'Time series Analysis'!$B$5:$B$17</c:f>
              <c:numCache>
                <c:formatCode>"$"00,"k"</c:formatCode>
                <c:ptCount val="12"/>
                <c:pt idx="0">
                  <c:v>355999.32999999996</c:v>
                </c:pt>
                <c:pt idx="1">
                  <c:v>140042.73000000001</c:v>
                </c:pt>
                <c:pt idx="2">
                  <c:v>367070.95000000007</c:v>
                </c:pt>
                <c:pt idx="3">
                  <c:v>310082.86000000004</c:v>
                </c:pt>
                <c:pt idx="4">
                  <c:v>266511</c:v>
                </c:pt>
                <c:pt idx="5">
                  <c:v>287893.18</c:v>
                </c:pt>
                <c:pt idx="6">
                  <c:v>346784.4800000001</c:v>
                </c:pt>
                <c:pt idx="7">
                  <c:v>239372.65000000008</c:v>
                </c:pt>
                <c:pt idx="8">
                  <c:v>297494.26</c:v>
                </c:pt>
                <c:pt idx="9">
                  <c:v>225012.92999999996</c:v>
                </c:pt>
                <c:pt idx="10">
                  <c:v>284343.11000000004</c:v>
                </c:pt>
                <c:pt idx="11">
                  <c:v>344847.57999999996</c:v>
                </c:pt>
              </c:numCache>
            </c:numRef>
          </c:val>
          <c:smooth val="0"/>
          <c:extLst>
            <c:ext xmlns:c16="http://schemas.microsoft.com/office/drawing/2014/chart" uri="{C3380CC4-5D6E-409C-BE32-E72D297353CC}">
              <c16:uniqueId val="{00000000-8B7A-4E0F-A91F-E2D1E4CED4F8}"/>
            </c:ext>
          </c:extLst>
        </c:ser>
        <c:dLbls>
          <c:dLblPos val="t"/>
          <c:showLegendKey val="0"/>
          <c:showVal val="1"/>
          <c:showCatName val="0"/>
          <c:showSerName val="0"/>
          <c:showPercent val="0"/>
          <c:showBubbleSize val="0"/>
        </c:dLbls>
        <c:smooth val="0"/>
        <c:axId val="1332850911"/>
        <c:axId val="1332848991"/>
      </c:lineChart>
      <c:catAx>
        <c:axId val="1332850911"/>
        <c:scaling>
          <c:orientation val="minMax"/>
        </c:scaling>
        <c:delete val="0"/>
        <c:axPos val="b"/>
        <c:numFmt formatCode="General" sourceLinked="1"/>
        <c:majorTickMark val="none"/>
        <c:minorTickMark val="none"/>
        <c:tickLblPos val="nextTo"/>
        <c:spPr>
          <a:noFill/>
          <a:ln w="9525" cap="flat" cmpd="sng" algn="ctr">
            <a:solidFill>
              <a:schemeClr val="bg1">
                <a:lumMod val="95000"/>
              </a:schemeClr>
            </a:solidFill>
            <a:round/>
          </a:ln>
          <a:effectLst/>
        </c:spPr>
        <c:txPr>
          <a:bodyPr rot="-60000000" spcFirstLastPara="1" vertOverflow="ellipsis" vert="horz" wrap="square" anchor="ctr" anchorCtr="1"/>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AS"/>
          </a:p>
        </c:txPr>
        <c:crossAx val="1332848991"/>
        <c:crosses val="autoZero"/>
        <c:auto val="1"/>
        <c:lblAlgn val="ctr"/>
        <c:lblOffset val="100"/>
        <c:noMultiLvlLbl val="0"/>
      </c:catAx>
      <c:valAx>
        <c:axId val="1332848991"/>
        <c:scaling>
          <c:orientation val="minMax"/>
          <c:min val="0"/>
        </c:scaling>
        <c:delete val="0"/>
        <c:axPos val="l"/>
        <c:numFmt formatCode="&quot;$&quot;00,&quot;k&quot;" sourceLinked="1"/>
        <c:majorTickMark val="none"/>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AS"/>
          </a:p>
        </c:txPr>
        <c:crossAx val="1332850911"/>
        <c:crosses val="autoZero"/>
        <c:crossBetween val="between"/>
        <c:maj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D1117"/>
    </a:solidFill>
    <a:ln w="9525" cap="flat" cmpd="sng" algn="ctr">
      <a:noFill/>
      <a:round/>
    </a:ln>
    <a:effectLst>
      <a:glow rad="101600">
        <a:schemeClr val="accent5">
          <a:satMod val="175000"/>
          <a:alpha val="40000"/>
        </a:schemeClr>
      </a:glow>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chart" Target="../charts/chart4.xml"/><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image" Target="../media/image9.pn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236220</xdr:colOff>
      <xdr:row>25</xdr:row>
      <xdr:rowOff>11430</xdr:rowOff>
    </xdr:from>
    <xdr:to>
      <xdr:col>23</xdr:col>
      <xdr:colOff>327420</xdr:colOff>
      <xdr:row>37</xdr:row>
      <xdr:rowOff>142470</xdr:rowOff>
    </xdr:to>
    <xdr:grpSp>
      <xdr:nvGrpSpPr>
        <xdr:cNvPr id="41" name="Group 40">
          <a:extLst>
            <a:ext uri="{FF2B5EF4-FFF2-40B4-BE49-F238E27FC236}">
              <a16:creationId xmlns:a16="http://schemas.microsoft.com/office/drawing/2014/main" id="{CAAAEDD0-CDEF-A890-10E7-AFDC2F28401E}"/>
            </a:ext>
          </a:extLst>
        </xdr:cNvPr>
        <xdr:cNvGrpSpPr/>
      </xdr:nvGrpSpPr>
      <xdr:grpSpPr>
        <a:xfrm>
          <a:off x="236220" y="4583430"/>
          <a:ext cx="14112000" cy="2325600"/>
          <a:chOff x="236220" y="4583430"/>
          <a:chExt cx="14276700" cy="2325600"/>
        </a:xfrm>
      </xdr:grpSpPr>
      <xdr:graphicFrame macro="">
        <xdr:nvGraphicFramePr>
          <xdr:cNvPr id="47" name="Chart 46">
            <a:extLst>
              <a:ext uri="{FF2B5EF4-FFF2-40B4-BE49-F238E27FC236}">
                <a16:creationId xmlns:a16="http://schemas.microsoft.com/office/drawing/2014/main" id="{A8D2C6B6-1385-4D22-9220-908168C9E515}"/>
              </a:ext>
            </a:extLst>
          </xdr:cNvPr>
          <xdr:cNvGraphicFramePr>
            <a:graphicFrameLocks/>
          </xdr:cNvGraphicFramePr>
        </xdr:nvGraphicFramePr>
        <xdr:xfrm>
          <a:off x="5093970" y="4583430"/>
          <a:ext cx="4525200" cy="23256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8" name="Chart 47">
            <a:extLst>
              <a:ext uri="{FF2B5EF4-FFF2-40B4-BE49-F238E27FC236}">
                <a16:creationId xmlns:a16="http://schemas.microsoft.com/office/drawing/2014/main" id="{0C01241B-B7DF-4659-BF65-E4C8E682CA3F}"/>
              </a:ext>
            </a:extLst>
          </xdr:cNvPr>
          <xdr:cNvGraphicFramePr>
            <a:graphicFrameLocks/>
          </xdr:cNvGraphicFramePr>
        </xdr:nvGraphicFramePr>
        <xdr:xfrm>
          <a:off x="9951720" y="4583430"/>
          <a:ext cx="4561200" cy="23256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0" name="Chart 59">
            <a:extLst>
              <a:ext uri="{FF2B5EF4-FFF2-40B4-BE49-F238E27FC236}">
                <a16:creationId xmlns:a16="http://schemas.microsoft.com/office/drawing/2014/main" id="{4B509EBC-F9AE-5E40-5D85-E183DCC90091}"/>
              </a:ext>
            </a:extLst>
          </xdr:cNvPr>
          <xdr:cNvGraphicFramePr>
            <a:graphicFrameLocks/>
          </xdr:cNvGraphicFramePr>
        </xdr:nvGraphicFramePr>
        <xdr:xfrm>
          <a:off x="236220" y="4583430"/>
          <a:ext cx="4525200" cy="23256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175280</xdr:colOff>
      <xdr:row>5</xdr:row>
      <xdr:rowOff>15240</xdr:rowOff>
    </xdr:from>
    <xdr:to>
      <xdr:col>23</xdr:col>
      <xdr:colOff>266480</xdr:colOff>
      <xdr:row>10</xdr:row>
      <xdr:rowOff>36840</xdr:rowOff>
    </xdr:to>
    <xdr:grpSp>
      <xdr:nvGrpSpPr>
        <xdr:cNvPr id="53" name="Group 52">
          <a:extLst>
            <a:ext uri="{FF2B5EF4-FFF2-40B4-BE49-F238E27FC236}">
              <a16:creationId xmlns:a16="http://schemas.microsoft.com/office/drawing/2014/main" id="{04A1897F-5365-7E79-3FC2-D5E52EF4D9EE}"/>
            </a:ext>
          </a:extLst>
        </xdr:cNvPr>
        <xdr:cNvGrpSpPr/>
      </xdr:nvGrpSpPr>
      <xdr:grpSpPr>
        <a:xfrm>
          <a:off x="175280" y="929640"/>
          <a:ext cx="14112000" cy="936000"/>
          <a:chOff x="175280" y="949320"/>
          <a:chExt cx="14112000" cy="936000"/>
        </a:xfrm>
      </xdr:grpSpPr>
      <xdr:grpSp>
        <xdr:nvGrpSpPr>
          <xdr:cNvPr id="24" name="Group 23">
            <a:extLst>
              <a:ext uri="{FF2B5EF4-FFF2-40B4-BE49-F238E27FC236}">
                <a16:creationId xmlns:a16="http://schemas.microsoft.com/office/drawing/2014/main" id="{3B576E1C-AEB4-9F4E-C6B3-521AAD48FCE7}"/>
              </a:ext>
            </a:extLst>
          </xdr:cNvPr>
          <xdr:cNvGrpSpPr/>
        </xdr:nvGrpSpPr>
        <xdr:grpSpPr>
          <a:xfrm>
            <a:off x="175280" y="949320"/>
            <a:ext cx="2232000" cy="936000"/>
            <a:chOff x="182880" y="967740"/>
            <a:chExt cx="2247971" cy="929640"/>
          </a:xfrm>
        </xdr:grpSpPr>
        <xdr:sp macro="" textlink="">
          <xdr:nvSpPr>
            <xdr:cNvPr id="3" name="Rectangle: Rounded Corners 2">
              <a:extLst>
                <a:ext uri="{FF2B5EF4-FFF2-40B4-BE49-F238E27FC236}">
                  <a16:creationId xmlns:a16="http://schemas.microsoft.com/office/drawing/2014/main" id="{248E1D4B-19A9-AE00-CAF6-2F8291810429}"/>
                </a:ext>
              </a:extLst>
            </xdr:cNvPr>
            <xdr:cNvSpPr/>
          </xdr:nvSpPr>
          <xdr:spPr>
            <a:xfrm>
              <a:off x="182880" y="967740"/>
              <a:ext cx="2247971" cy="929640"/>
            </a:xfrm>
            <a:prstGeom prst="roundRect">
              <a:avLst/>
            </a:prstGeom>
            <a:solidFill>
              <a:srgbClr val="1F2937"/>
            </a:solidFill>
            <a:effectLst>
              <a:glow rad="63500">
                <a:srgbClr val="00E5FF">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100" b="1">
                  <a:solidFill>
                    <a:srgbClr val="00E5FF"/>
                  </a:solidFill>
                  <a:latin typeface="Segoe UI" panose="020B0502040204020203" pitchFamily="34" charset="0"/>
                  <a:cs typeface="Segoe UI" panose="020B0502040204020203" pitchFamily="34" charset="0"/>
                </a:rPr>
                <a:t>TOTAl</a:t>
              </a:r>
              <a:r>
                <a:rPr lang="en-GB" sz="1100" b="1" baseline="0">
                  <a:solidFill>
                    <a:srgbClr val="00E5FF"/>
                  </a:solidFill>
                  <a:latin typeface="Segoe UI" panose="020B0502040204020203" pitchFamily="34" charset="0"/>
                  <a:cs typeface="Segoe UI" panose="020B0502040204020203" pitchFamily="34" charset="0"/>
                </a:rPr>
                <a:t> SALES</a:t>
              </a:r>
              <a:endParaRPr lang="en-AS" sz="1100" b="1">
                <a:solidFill>
                  <a:srgbClr val="00E5FF"/>
                </a:solidFill>
                <a:latin typeface="Segoe UI" panose="020B0502040204020203" pitchFamily="34" charset="0"/>
                <a:cs typeface="Segoe UI" panose="020B0502040204020203" pitchFamily="34" charset="0"/>
              </a:endParaRPr>
            </a:p>
          </xdr:txBody>
        </xdr:sp>
        <xdr:grpSp>
          <xdr:nvGrpSpPr>
            <xdr:cNvPr id="20" name="Group 19">
              <a:extLst>
                <a:ext uri="{FF2B5EF4-FFF2-40B4-BE49-F238E27FC236}">
                  <a16:creationId xmlns:a16="http://schemas.microsoft.com/office/drawing/2014/main" id="{1D53957F-C652-4320-C458-65EBB1AAB6EC}"/>
                </a:ext>
              </a:extLst>
            </xdr:cNvPr>
            <xdr:cNvGrpSpPr/>
          </xdr:nvGrpSpPr>
          <xdr:grpSpPr>
            <a:xfrm>
              <a:off x="386897" y="1224122"/>
              <a:ext cx="1990875" cy="523145"/>
              <a:chOff x="386897" y="1224122"/>
              <a:chExt cx="1990875" cy="523145"/>
            </a:xfrm>
          </xdr:grpSpPr>
          <xdr:sp macro="" textlink="KPI!$F$5">
            <xdr:nvSpPr>
              <xdr:cNvPr id="9" name="TextBox 8">
                <a:extLst>
                  <a:ext uri="{FF2B5EF4-FFF2-40B4-BE49-F238E27FC236}">
                    <a16:creationId xmlns:a16="http://schemas.microsoft.com/office/drawing/2014/main" id="{5E984271-3511-FE71-5307-C887D36BB407}"/>
                  </a:ext>
                </a:extLst>
              </xdr:cNvPr>
              <xdr:cNvSpPr txBox="1"/>
            </xdr:nvSpPr>
            <xdr:spPr>
              <a:xfrm>
                <a:off x="1126826" y="1270469"/>
                <a:ext cx="1250946" cy="476798"/>
              </a:xfrm>
              <a:prstGeom prst="rect">
                <a:avLst/>
              </a:prstGeom>
              <a:solidFill>
                <a:srgbClr val="1F2937"/>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1ACC5C-15D3-4765-859B-2AE71E0AB725}" type="TxLink">
                  <a:rPr lang="en-US" sz="2800" b="1" i="0" u="none" strike="noStrike">
                    <a:solidFill>
                      <a:schemeClr val="bg1"/>
                    </a:solidFill>
                    <a:latin typeface="Segoe UI" panose="020B0502040204020203" pitchFamily="34" charset="0"/>
                    <a:ea typeface="Calibri"/>
                    <a:cs typeface="Segoe UI" panose="020B0502040204020203" pitchFamily="34" charset="0"/>
                  </a:rPr>
                  <a:pPr algn="ctr"/>
                  <a:t>3.47M</a:t>
                </a:fld>
                <a:endParaRPr lang="en-US" sz="2800" b="1">
                  <a:solidFill>
                    <a:schemeClr val="bg1"/>
                  </a:solidFill>
                  <a:latin typeface="Segoe UI" panose="020B0502040204020203" pitchFamily="34" charset="0"/>
                  <a:cs typeface="Segoe UI" panose="020B0502040204020203" pitchFamily="34" charset="0"/>
                </a:endParaRPr>
              </a:p>
            </xdr:txBody>
          </xdr:sp>
          <xdr:sp macro="" textlink="">
            <xdr:nvSpPr>
              <xdr:cNvPr id="12" name="Graphic 10" descr="Dollar with solid fill">
                <a:extLst>
                  <a:ext uri="{FF2B5EF4-FFF2-40B4-BE49-F238E27FC236}">
                    <a16:creationId xmlns:a16="http://schemas.microsoft.com/office/drawing/2014/main" id="{E6AACA71-D14C-8597-1394-E702B3141E91}"/>
                  </a:ext>
                </a:extLst>
              </xdr:cNvPr>
              <xdr:cNvSpPr/>
            </xdr:nvSpPr>
            <xdr:spPr>
              <a:xfrm>
                <a:off x="386897" y="1224122"/>
                <a:ext cx="221576" cy="477837"/>
              </a:xfrm>
              <a:custGeom>
                <a:avLst/>
                <a:gdLst>
                  <a:gd name="csX0" fmla="*/ 191357 w 221576"/>
                  <a:gd name="csY0" fmla="*/ 250031 h 477837"/>
                  <a:gd name="csX1" fmla="*/ 125071 w 221576"/>
                  <a:gd name="csY1" fmla="*/ 219305 h 477837"/>
                  <a:gd name="csX2" fmla="*/ 125071 w 221576"/>
                  <a:gd name="csY2" fmla="*/ 84955 h 477837"/>
                  <a:gd name="csX3" fmla="*/ 184301 w 221576"/>
                  <a:gd name="csY3" fmla="*/ 113125 h 477837"/>
                  <a:gd name="csX4" fmla="*/ 210971 w 221576"/>
                  <a:gd name="csY4" fmla="*/ 87567 h 477837"/>
                  <a:gd name="csX5" fmla="*/ 125071 w 221576"/>
                  <a:gd name="csY5" fmla="*/ 48284 h 477837"/>
                  <a:gd name="csX6" fmla="*/ 125071 w 221576"/>
                  <a:gd name="csY6" fmla="*/ 0 h 477837"/>
                  <a:gd name="csX7" fmla="*/ 91734 w 221576"/>
                  <a:gd name="csY7" fmla="*/ 0 h 477837"/>
                  <a:gd name="csX8" fmla="*/ 91734 w 221576"/>
                  <a:gd name="csY8" fmla="*/ 50395 h 477837"/>
                  <a:gd name="csX9" fmla="*/ 59063 w 221576"/>
                  <a:gd name="csY9" fmla="*/ 62063 h 477837"/>
                  <a:gd name="csX10" fmla="*/ 12724 w 221576"/>
                  <a:gd name="csY10" fmla="*/ 184301 h 477837"/>
                  <a:gd name="csX11" fmla="*/ 91734 w 221576"/>
                  <a:gd name="csY11" fmla="*/ 246642 h 477837"/>
                  <a:gd name="csX12" fmla="*/ 91734 w 221576"/>
                  <a:gd name="csY12" fmla="*/ 392105 h 477837"/>
                  <a:gd name="csX13" fmla="*/ 26670 w 221576"/>
                  <a:gd name="csY13" fmla="*/ 355600 h 477837"/>
                  <a:gd name="csX14" fmla="*/ 0 w 221576"/>
                  <a:gd name="csY14" fmla="*/ 381103 h 477837"/>
                  <a:gd name="csX15" fmla="*/ 44728 w 221576"/>
                  <a:gd name="csY15" fmla="*/ 416719 h 477837"/>
                  <a:gd name="csX16" fmla="*/ 91734 w 221576"/>
                  <a:gd name="csY16" fmla="*/ 429109 h 477837"/>
                  <a:gd name="csX17" fmla="*/ 91734 w 221576"/>
                  <a:gd name="csY17" fmla="*/ 477838 h 477837"/>
                  <a:gd name="csX18" fmla="*/ 125071 w 221576"/>
                  <a:gd name="csY18" fmla="*/ 477838 h 477837"/>
                  <a:gd name="csX19" fmla="*/ 125071 w 221576"/>
                  <a:gd name="csY19" fmla="*/ 427831 h 477837"/>
                  <a:gd name="csX20" fmla="*/ 213527 w 221576"/>
                  <a:gd name="csY20" fmla="*/ 361156 h 477837"/>
                  <a:gd name="csX21" fmla="*/ 191357 w 221576"/>
                  <a:gd name="csY21" fmla="*/ 250031 h 477837"/>
                  <a:gd name="csX22" fmla="*/ 63952 w 221576"/>
                  <a:gd name="csY22" fmla="*/ 192969 h 477837"/>
                  <a:gd name="csX23" fmla="*/ 73231 w 221576"/>
                  <a:gd name="csY23" fmla="*/ 96623 h 477837"/>
                  <a:gd name="csX24" fmla="*/ 91734 w 221576"/>
                  <a:gd name="csY24" fmla="*/ 88122 h 477837"/>
                  <a:gd name="csX25" fmla="*/ 91734 w 221576"/>
                  <a:gd name="csY25" fmla="*/ 208637 h 477837"/>
                  <a:gd name="csX26" fmla="*/ 63952 w 221576"/>
                  <a:gd name="csY26" fmla="*/ 192969 h 477837"/>
                  <a:gd name="csX27" fmla="*/ 164465 w 221576"/>
                  <a:gd name="csY27" fmla="*/ 369768 h 477837"/>
                  <a:gd name="csX28" fmla="*/ 125071 w 221576"/>
                  <a:gd name="csY28" fmla="*/ 390604 h 477837"/>
                  <a:gd name="csX29" fmla="*/ 125071 w 221576"/>
                  <a:gd name="csY29" fmla="*/ 257866 h 477837"/>
                  <a:gd name="csX30" fmla="*/ 181856 w 221576"/>
                  <a:gd name="csY30" fmla="*/ 298815 h 477837"/>
                  <a:gd name="csX31" fmla="*/ 164465 w 221576"/>
                  <a:gd name="csY31" fmla="*/ 369768 h 47783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221576" h="477837">
                    <a:moveTo>
                      <a:pt x="191357" y="250031"/>
                    </a:moveTo>
                    <a:cubicBezTo>
                      <a:pt x="172577" y="234029"/>
                      <a:pt x="148185" y="226528"/>
                      <a:pt x="125071" y="219305"/>
                    </a:cubicBezTo>
                    <a:lnTo>
                      <a:pt x="125071" y="84955"/>
                    </a:lnTo>
                    <a:cubicBezTo>
                      <a:pt x="147513" y="87088"/>
                      <a:pt x="168485" y="97062"/>
                      <a:pt x="184301" y="113125"/>
                    </a:cubicBezTo>
                    <a:lnTo>
                      <a:pt x="210971" y="87567"/>
                    </a:lnTo>
                    <a:cubicBezTo>
                      <a:pt x="188147" y="64349"/>
                      <a:pt x="157562" y="50362"/>
                      <a:pt x="125071" y="48284"/>
                    </a:cubicBezTo>
                    <a:lnTo>
                      <a:pt x="125071" y="0"/>
                    </a:lnTo>
                    <a:lnTo>
                      <a:pt x="91734" y="0"/>
                    </a:lnTo>
                    <a:lnTo>
                      <a:pt x="91734" y="50395"/>
                    </a:lnTo>
                    <a:cubicBezTo>
                      <a:pt x="80318" y="52617"/>
                      <a:pt x="69304" y="56551"/>
                      <a:pt x="59063" y="62063"/>
                    </a:cubicBezTo>
                    <a:cubicBezTo>
                      <a:pt x="16947" y="85011"/>
                      <a:pt x="-4556" y="138906"/>
                      <a:pt x="12724" y="184301"/>
                    </a:cubicBezTo>
                    <a:cubicBezTo>
                      <a:pt x="26114" y="219305"/>
                      <a:pt x="58396" y="234918"/>
                      <a:pt x="91734" y="246642"/>
                    </a:cubicBezTo>
                    <a:lnTo>
                      <a:pt x="91734" y="392105"/>
                    </a:lnTo>
                    <a:cubicBezTo>
                      <a:pt x="65897" y="388938"/>
                      <a:pt x="44450" y="374102"/>
                      <a:pt x="26670" y="355600"/>
                    </a:cubicBezTo>
                    <a:lnTo>
                      <a:pt x="0" y="381103"/>
                    </a:lnTo>
                    <a:cubicBezTo>
                      <a:pt x="12699" y="395513"/>
                      <a:pt x="27840" y="407570"/>
                      <a:pt x="44728" y="416719"/>
                    </a:cubicBezTo>
                    <a:cubicBezTo>
                      <a:pt x="59488" y="423740"/>
                      <a:pt x="75430" y="427942"/>
                      <a:pt x="91734" y="429109"/>
                    </a:cubicBezTo>
                    <a:lnTo>
                      <a:pt x="91734" y="477838"/>
                    </a:lnTo>
                    <a:lnTo>
                      <a:pt x="125071" y="477838"/>
                    </a:lnTo>
                    <a:lnTo>
                      <a:pt x="125071" y="427831"/>
                    </a:lnTo>
                    <a:cubicBezTo>
                      <a:pt x="163298" y="421442"/>
                      <a:pt x="198414" y="397939"/>
                      <a:pt x="213527" y="361156"/>
                    </a:cubicBezTo>
                    <a:cubicBezTo>
                      <a:pt x="228640" y="324374"/>
                      <a:pt x="223139" y="277201"/>
                      <a:pt x="191357" y="250031"/>
                    </a:cubicBezTo>
                    <a:close/>
                    <a:moveTo>
                      <a:pt x="63952" y="192969"/>
                    </a:moveTo>
                    <a:cubicBezTo>
                      <a:pt x="33393" y="167188"/>
                      <a:pt x="40838" y="117292"/>
                      <a:pt x="73231" y="96623"/>
                    </a:cubicBezTo>
                    <a:cubicBezTo>
                      <a:pt x="78973" y="92941"/>
                      <a:pt x="85200" y="90080"/>
                      <a:pt x="91734" y="88122"/>
                    </a:cubicBezTo>
                    <a:lnTo>
                      <a:pt x="91734" y="208637"/>
                    </a:lnTo>
                    <a:cubicBezTo>
                      <a:pt x="81674" y="204978"/>
                      <a:pt x="72288" y="199684"/>
                      <a:pt x="63952" y="192969"/>
                    </a:cubicBezTo>
                    <a:close/>
                    <a:moveTo>
                      <a:pt x="164465" y="369768"/>
                    </a:moveTo>
                    <a:cubicBezTo>
                      <a:pt x="153620" y="380370"/>
                      <a:pt x="139938" y="387607"/>
                      <a:pt x="125071" y="390604"/>
                    </a:cubicBezTo>
                    <a:lnTo>
                      <a:pt x="125071" y="257866"/>
                    </a:lnTo>
                    <a:cubicBezTo>
                      <a:pt x="147296" y="265478"/>
                      <a:pt x="172799" y="275146"/>
                      <a:pt x="181856" y="298815"/>
                    </a:cubicBezTo>
                    <a:cubicBezTo>
                      <a:pt x="190913" y="322485"/>
                      <a:pt x="181801" y="352100"/>
                      <a:pt x="164465" y="369768"/>
                    </a:cubicBezTo>
                    <a:close/>
                  </a:path>
                </a:pathLst>
              </a:custGeom>
              <a:solidFill>
                <a:srgbClr val="00E5FF"/>
              </a:solidFill>
              <a:ln w="5556" cap="flat">
                <a:noFill/>
                <a:prstDash val="solid"/>
                <a:miter/>
              </a:ln>
              <a:effectLst/>
            </xdr:spPr>
          </xdr:sp>
        </xdr:grpSp>
      </xdr:grpSp>
      <xdr:grpSp>
        <xdr:nvGrpSpPr>
          <xdr:cNvPr id="23" name="Group 22">
            <a:extLst>
              <a:ext uri="{FF2B5EF4-FFF2-40B4-BE49-F238E27FC236}">
                <a16:creationId xmlns:a16="http://schemas.microsoft.com/office/drawing/2014/main" id="{62366678-F9D9-0EBA-1D85-F023D2E8B2FE}"/>
              </a:ext>
            </a:extLst>
          </xdr:cNvPr>
          <xdr:cNvGrpSpPr/>
        </xdr:nvGrpSpPr>
        <xdr:grpSpPr>
          <a:xfrm>
            <a:off x="2543500" y="949320"/>
            <a:ext cx="2247041" cy="936000"/>
            <a:chOff x="2567940" y="960120"/>
            <a:chExt cx="2276716" cy="929640"/>
          </a:xfrm>
        </xdr:grpSpPr>
        <xdr:sp macro="" textlink="">
          <xdr:nvSpPr>
            <xdr:cNvPr id="4" name="Rectangle: Rounded Corners 3">
              <a:extLst>
                <a:ext uri="{FF2B5EF4-FFF2-40B4-BE49-F238E27FC236}">
                  <a16:creationId xmlns:a16="http://schemas.microsoft.com/office/drawing/2014/main" id="{C092772B-4E80-4279-8259-B85E5351A2C0}"/>
                </a:ext>
              </a:extLst>
            </xdr:cNvPr>
            <xdr:cNvSpPr/>
          </xdr:nvSpPr>
          <xdr:spPr>
            <a:xfrm>
              <a:off x="2583180" y="960120"/>
              <a:ext cx="2261476" cy="929640"/>
            </a:xfrm>
            <a:prstGeom prst="roundRect">
              <a:avLst/>
            </a:prstGeom>
            <a:solidFill>
              <a:srgbClr val="1F2937"/>
            </a:solidFill>
            <a:effectLst>
              <a:glow rad="101600">
                <a:srgbClr val="39FF14">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100" b="1">
                  <a:solidFill>
                    <a:srgbClr val="39FF14"/>
                  </a:solidFill>
                  <a:latin typeface="Segoe UI" panose="020B0502040204020203" pitchFamily="34" charset="0"/>
                  <a:cs typeface="Segoe UI" panose="020B0502040204020203" pitchFamily="34" charset="0"/>
                </a:rPr>
                <a:t>TOTAL PROFIT</a:t>
              </a:r>
              <a:endParaRPr lang="en-AS" sz="1100" b="1">
                <a:solidFill>
                  <a:srgbClr val="39FF14"/>
                </a:solidFill>
                <a:latin typeface="Segoe UI" panose="020B0502040204020203" pitchFamily="34" charset="0"/>
                <a:cs typeface="Segoe UI" panose="020B0502040204020203" pitchFamily="34" charset="0"/>
              </a:endParaRPr>
            </a:p>
          </xdr:txBody>
        </xdr:sp>
        <xdr:sp macro="" textlink="KPI!$F$6">
          <xdr:nvSpPr>
            <xdr:cNvPr id="17" name="TextBox 16">
              <a:extLst>
                <a:ext uri="{FF2B5EF4-FFF2-40B4-BE49-F238E27FC236}">
                  <a16:creationId xmlns:a16="http://schemas.microsoft.com/office/drawing/2014/main" id="{3D90327F-2EE8-41DC-A9B3-BD7F4201DA3F}"/>
                </a:ext>
              </a:extLst>
            </xdr:cNvPr>
            <xdr:cNvSpPr txBox="1"/>
          </xdr:nvSpPr>
          <xdr:spPr>
            <a:xfrm>
              <a:off x="3550060" y="1330963"/>
              <a:ext cx="1227581" cy="378411"/>
            </a:xfrm>
            <a:prstGeom prst="rect">
              <a:avLst/>
            </a:prstGeom>
            <a:solidFill>
              <a:srgbClr val="1F29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EFFF173-30CF-43B2-A270-85A01672A692}" type="TxLink">
                <a:rPr lang="en-US" sz="2800" b="1" i="0" u="none" strike="noStrike">
                  <a:solidFill>
                    <a:schemeClr val="bg1"/>
                  </a:solidFill>
                  <a:latin typeface="Segoe UI" panose="020B0502040204020203" pitchFamily="34" charset="0"/>
                  <a:ea typeface="Calibri"/>
                  <a:cs typeface="Segoe UI" panose="020B0502040204020203" pitchFamily="34" charset="0"/>
                </a:rPr>
                <a:pPr marL="0" marR="0" lvl="0" indent="0" algn="ctr" defTabSz="914400" eaLnBrk="1" fontAlgn="auto" latinLnBrk="0" hangingPunct="1">
                  <a:lnSpc>
                    <a:spcPct val="100000"/>
                  </a:lnSpc>
                  <a:spcBef>
                    <a:spcPts val="0"/>
                  </a:spcBef>
                  <a:spcAft>
                    <a:spcPts val="0"/>
                  </a:spcAft>
                  <a:buClrTx/>
                  <a:buSzTx/>
                  <a:buFontTx/>
                  <a:buNone/>
                  <a:tabLst/>
                  <a:defRPr/>
                </a:pPr>
                <a:t>$359k</a:t>
              </a:fld>
              <a:endParaRPr lang="en-US" sz="2800" b="1">
                <a:solidFill>
                  <a:schemeClr val="bg1"/>
                </a:solidFill>
                <a:latin typeface="Segoe UI" panose="020B0502040204020203" pitchFamily="34" charset="0"/>
                <a:cs typeface="Segoe UI" panose="020B0502040204020203" pitchFamily="34" charset="0"/>
              </a:endParaRPr>
            </a:p>
          </xdr:txBody>
        </xdr:sp>
        <xdr:pic>
          <xdr:nvPicPr>
            <xdr:cNvPr id="25" name="Graphic 24" descr="Bar graph with upward trend with solid fill">
              <a:extLst>
                <a:ext uri="{FF2B5EF4-FFF2-40B4-BE49-F238E27FC236}">
                  <a16:creationId xmlns:a16="http://schemas.microsoft.com/office/drawing/2014/main" id="{E911D48C-136E-4B05-8B84-A67769EC2F0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67940" y="1101090"/>
              <a:ext cx="640080" cy="640080"/>
            </a:xfrm>
            <a:prstGeom prst="rect">
              <a:avLst/>
            </a:prstGeom>
          </xdr:spPr>
        </xdr:pic>
      </xdr:grpSp>
      <xdr:grpSp>
        <xdr:nvGrpSpPr>
          <xdr:cNvPr id="28" name="Group 27">
            <a:extLst>
              <a:ext uri="{FF2B5EF4-FFF2-40B4-BE49-F238E27FC236}">
                <a16:creationId xmlns:a16="http://schemas.microsoft.com/office/drawing/2014/main" id="{7D2BBB76-3762-E6ED-1142-6C1033A28201}"/>
              </a:ext>
            </a:extLst>
          </xdr:cNvPr>
          <xdr:cNvGrpSpPr/>
        </xdr:nvGrpSpPr>
        <xdr:grpSpPr>
          <a:xfrm>
            <a:off x="4926761" y="949320"/>
            <a:ext cx="2232000" cy="936000"/>
            <a:chOff x="4968240" y="937260"/>
            <a:chExt cx="2140054" cy="936000"/>
          </a:xfrm>
        </xdr:grpSpPr>
        <xdr:sp macro="" textlink="">
          <xdr:nvSpPr>
            <xdr:cNvPr id="5" name="Rectangle: Rounded Corners 4">
              <a:extLst>
                <a:ext uri="{FF2B5EF4-FFF2-40B4-BE49-F238E27FC236}">
                  <a16:creationId xmlns:a16="http://schemas.microsoft.com/office/drawing/2014/main" id="{8094A527-FCDB-4ACE-9FFE-5891287B9A5A}"/>
                </a:ext>
              </a:extLst>
            </xdr:cNvPr>
            <xdr:cNvSpPr/>
          </xdr:nvSpPr>
          <xdr:spPr>
            <a:xfrm>
              <a:off x="4968240" y="937260"/>
              <a:ext cx="2140054" cy="936000"/>
            </a:xfrm>
            <a:prstGeom prst="roundRect">
              <a:avLst/>
            </a:prstGeom>
            <a:solidFill>
              <a:srgbClr val="1F2937"/>
            </a:solidFill>
            <a:effectLst>
              <a:glow rad="101600">
                <a:srgbClr val="FF88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100" b="1">
                  <a:solidFill>
                    <a:srgbClr val="FF8800"/>
                  </a:solidFill>
                  <a:latin typeface="Segoe UI" panose="020B0502040204020203" pitchFamily="34" charset="0"/>
                  <a:cs typeface="Segoe UI" panose="020B0502040204020203" pitchFamily="34" charset="0"/>
                </a:rPr>
                <a:t>TOTAL</a:t>
              </a:r>
              <a:r>
                <a:rPr lang="en-GB" sz="1100" b="1" baseline="0">
                  <a:solidFill>
                    <a:srgbClr val="FF8800"/>
                  </a:solidFill>
                  <a:latin typeface="Segoe UI" panose="020B0502040204020203" pitchFamily="34" charset="0"/>
                  <a:cs typeface="Segoe UI" panose="020B0502040204020203" pitchFamily="34" charset="0"/>
                </a:rPr>
                <a:t> ORDER</a:t>
              </a:r>
              <a:endParaRPr lang="en-AS" sz="1100" b="1">
                <a:solidFill>
                  <a:srgbClr val="FF8800"/>
                </a:solidFill>
                <a:latin typeface="Segoe UI" panose="020B0502040204020203" pitchFamily="34" charset="0"/>
                <a:cs typeface="Segoe UI" panose="020B0502040204020203" pitchFamily="34" charset="0"/>
              </a:endParaRPr>
            </a:p>
          </xdr:txBody>
        </xdr:sp>
        <xdr:grpSp>
          <xdr:nvGrpSpPr>
            <xdr:cNvPr id="26" name="Group 25">
              <a:extLst>
                <a:ext uri="{FF2B5EF4-FFF2-40B4-BE49-F238E27FC236}">
                  <a16:creationId xmlns:a16="http://schemas.microsoft.com/office/drawing/2014/main" id="{40B14292-1DE6-4841-D290-8073AC63FDC6}"/>
                </a:ext>
              </a:extLst>
            </xdr:cNvPr>
            <xdr:cNvGrpSpPr/>
          </xdr:nvGrpSpPr>
          <xdr:grpSpPr>
            <a:xfrm>
              <a:off x="4991100" y="1009650"/>
              <a:ext cx="2026088" cy="777240"/>
              <a:chOff x="4991100" y="1009650"/>
              <a:chExt cx="2026088" cy="777240"/>
            </a:xfrm>
          </xdr:grpSpPr>
          <xdr:sp macro="" textlink="KPI!$F$7">
            <xdr:nvSpPr>
              <xdr:cNvPr id="19" name="TextBox 18">
                <a:extLst>
                  <a:ext uri="{FF2B5EF4-FFF2-40B4-BE49-F238E27FC236}">
                    <a16:creationId xmlns:a16="http://schemas.microsoft.com/office/drawing/2014/main" id="{DD02AF75-AB37-472C-BD27-7783F3F18E79}"/>
                  </a:ext>
                </a:extLst>
              </xdr:cNvPr>
              <xdr:cNvSpPr txBox="1"/>
            </xdr:nvSpPr>
            <xdr:spPr>
              <a:xfrm>
                <a:off x="5994333" y="1303020"/>
                <a:ext cx="1022855" cy="419100"/>
              </a:xfrm>
              <a:prstGeom prst="rect">
                <a:avLst/>
              </a:prstGeom>
              <a:solidFill>
                <a:srgbClr val="1F29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B64F3C-3B4E-43B2-B307-058AD104DBAB}" type="TxLink">
                  <a:rPr lang="en-US" sz="2800" b="1" i="0" u="none" strike="noStrike" baseline="0">
                    <a:solidFill>
                      <a:schemeClr val="bg1"/>
                    </a:solidFill>
                    <a:latin typeface="Segoe UI" panose="020B0502040204020203" pitchFamily="34" charset="0"/>
                    <a:ea typeface="Calibri"/>
                    <a:cs typeface="Segoe UI" panose="020B0502040204020203" pitchFamily="34" charset="0"/>
                  </a:rPr>
                  <a:pPr algn="ctr"/>
                  <a:t>1000</a:t>
                </a:fld>
                <a:endParaRPr lang="en-US" sz="41300" b="1" i="0" u="none" strike="noStrike" baseline="0">
                  <a:solidFill>
                    <a:schemeClr val="bg1"/>
                  </a:solidFill>
                  <a:latin typeface="Segoe UI" panose="020B0502040204020203" pitchFamily="34" charset="0"/>
                  <a:ea typeface="Calibri"/>
                  <a:cs typeface="Segoe UI" panose="020B0502040204020203" pitchFamily="34" charset="0"/>
                </a:endParaRPr>
              </a:p>
            </xdr:txBody>
          </xdr:sp>
          <xdr:pic>
            <xdr:nvPicPr>
              <xdr:cNvPr id="27" name="Graphic 26" descr="List with solid fill">
                <a:extLst>
                  <a:ext uri="{FF2B5EF4-FFF2-40B4-BE49-F238E27FC236}">
                    <a16:creationId xmlns:a16="http://schemas.microsoft.com/office/drawing/2014/main" id="{B7E2E467-EC3A-FDF8-81A9-3722A1D5118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91100" y="1009650"/>
                <a:ext cx="777240" cy="777240"/>
              </a:xfrm>
              <a:prstGeom prst="rect">
                <a:avLst/>
              </a:prstGeom>
            </xdr:spPr>
          </xdr:pic>
        </xdr:grpSp>
      </xdr:grpSp>
      <xdr:grpSp>
        <xdr:nvGrpSpPr>
          <xdr:cNvPr id="36" name="Group 35">
            <a:extLst>
              <a:ext uri="{FF2B5EF4-FFF2-40B4-BE49-F238E27FC236}">
                <a16:creationId xmlns:a16="http://schemas.microsoft.com/office/drawing/2014/main" id="{82262F85-01F4-888F-17DF-4CFC836B692A}"/>
              </a:ext>
            </a:extLst>
          </xdr:cNvPr>
          <xdr:cNvGrpSpPr/>
        </xdr:nvGrpSpPr>
        <xdr:grpSpPr>
          <a:xfrm>
            <a:off x="9663201" y="949320"/>
            <a:ext cx="2246695" cy="936000"/>
            <a:chOff x="9662160" y="922020"/>
            <a:chExt cx="2329837" cy="975360"/>
          </a:xfrm>
        </xdr:grpSpPr>
        <xdr:sp macro="" textlink="">
          <xdr:nvSpPr>
            <xdr:cNvPr id="7" name="Rectangle: Rounded Corners 6">
              <a:extLst>
                <a:ext uri="{FF2B5EF4-FFF2-40B4-BE49-F238E27FC236}">
                  <a16:creationId xmlns:a16="http://schemas.microsoft.com/office/drawing/2014/main" id="{644822B2-85ED-449A-9D96-811BE6788CF1}"/>
                </a:ext>
              </a:extLst>
            </xdr:cNvPr>
            <xdr:cNvSpPr/>
          </xdr:nvSpPr>
          <xdr:spPr>
            <a:xfrm>
              <a:off x="9677399" y="922020"/>
              <a:ext cx="2314598" cy="975360"/>
            </a:xfrm>
            <a:prstGeom prst="roundRect">
              <a:avLst/>
            </a:prstGeom>
            <a:solidFill>
              <a:srgbClr val="1F2937"/>
            </a:solidFill>
            <a:effectLst>
              <a:glow rad="101600">
                <a:srgbClr val="00E5FF">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100" b="1">
                  <a:solidFill>
                    <a:srgbClr val="00E5FF"/>
                  </a:solidFill>
                  <a:latin typeface="Segoe UI" panose="020B0502040204020203" pitchFamily="34" charset="0"/>
                  <a:cs typeface="Segoe UI" panose="020B0502040204020203" pitchFamily="34" charset="0"/>
                </a:rPr>
                <a:t>AVG ORDER VALUE</a:t>
              </a:r>
              <a:endParaRPr lang="en-AS" sz="1100" b="1">
                <a:solidFill>
                  <a:srgbClr val="00E5FF"/>
                </a:solidFill>
                <a:latin typeface="Segoe UI" panose="020B0502040204020203" pitchFamily="34" charset="0"/>
                <a:cs typeface="Segoe UI" panose="020B0502040204020203" pitchFamily="34" charset="0"/>
              </a:endParaRPr>
            </a:p>
          </xdr:txBody>
        </xdr:sp>
        <xdr:grpSp>
          <xdr:nvGrpSpPr>
            <xdr:cNvPr id="34" name="Group 33">
              <a:extLst>
                <a:ext uri="{FF2B5EF4-FFF2-40B4-BE49-F238E27FC236}">
                  <a16:creationId xmlns:a16="http://schemas.microsoft.com/office/drawing/2014/main" id="{DDDD8D55-BC39-8BB0-F4A4-35FCC4078AC9}"/>
                </a:ext>
              </a:extLst>
            </xdr:cNvPr>
            <xdr:cNvGrpSpPr/>
          </xdr:nvGrpSpPr>
          <xdr:grpSpPr>
            <a:xfrm>
              <a:off x="9662160" y="1047750"/>
              <a:ext cx="2306301" cy="746760"/>
              <a:chOff x="9662160" y="1047750"/>
              <a:chExt cx="2306301" cy="746760"/>
            </a:xfrm>
          </xdr:grpSpPr>
          <xdr:sp macro="" textlink="KPI!$F$9">
            <xdr:nvSpPr>
              <xdr:cNvPr id="21" name="TextBox 20">
                <a:extLst>
                  <a:ext uri="{FF2B5EF4-FFF2-40B4-BE49-F238E27FC236}">
                    <a16:creationId xmlns:a16="http://schemas.microsoft.com/office/drawing/2014/main" id="{7EA077B4-4255-403B-958B-6E2F2AA9E620}"/>
                  </a:ext>
                </a:extLst>
              </xdr:cNvPr>
              <xdr:cNvSpPr txBox="1"/>
            </xdr:nvSpPr>
            <xdr:spPr>
              <a:xfrm>
                <a:off x="10403867" y="1215816"/>
                <a:ext cx="1564594" cy="566291"/>
              </a:xfrm>
              <a:prstGeom prst="rect">
                <a:avLst/>
              </a:prstGeom>
              <a:solidFill>
                <a:srgbClr val="1F29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AEA269-56FC-4D4E-9A9C-C06E8ADBB2AB}" type="TxLink">
                  <a:rPr lang="en-US" sz="2800" b="1" i="0" u="none" strike="noStrike">
                    <a:solidFill>
                      <a:schemeClr val="bg1"/>
                    </a:solidFill>
                    <a:effectLst/>
                    <a:latin typeface="Segoe UI" panose="020B0502040204020203" pitchFamily="34" charset="0"/>
                    <a:ea typeface="Calibri"/>
                    <a:cs typeface="Segoe UI" panose="020B0502040204020203" pitchFamily="34" charset="0"/>
                  </a:rPr>
                  <a:pPr algn="ctr"/>
                  <a:t>$3.47k</a:t>
                </a:fld>
                <a:endParaRPr lang="en-AS" sz="6000" b="1">
                  <a:solidFill>
                    <a:schemeClr val="bg1"/>
                  </a:solidFill>
                  <a:latin typeface="Segoe UI" panose="020B0502040204020203" pitchFamily="34" charset="0"/>
                  <a:cs typeface="Segoe UI" panose="020B0502040204020203" pitchFamily="34" charset="0"/>
                </a:endParaRPr>
              </a:p>
            </xdr:txBody>
          </xdr:sp>
          <xdr:pic>
            <xdr:nvPicPr>
              <xdr:cNvPr id="33" name="Graphic 32" descr="Research with solid fill">
                <a:extLst>
                  <a:ext uri="{FF2B5EF4-FFF2-40B4-BE49-F238E27FC236}">
                    <a16:creationId xmlns:a16="http://schemas.microsoft.com/office/drawing/2014/main" id="{CB5C7800-4BC6-BBA2-B9B5-E1AB55963CF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662160" y="1047750"/>
                <a:ext cx="746760" cy="746760"/>
              </a:xfrm>
              <a:prstGeom prst="rect">
                <a:avLst/>
              </a:prstGeom>
            </xdr:spPr>
          </xdr:pic>
        </xdr:grpSp>
      </xdr:grpSp>
      <xdr:grpSp>
        <xdr:nvGrpSpPr>
          <xdr:cNvPr id="38" name="Group 37">
            <a:extLst>
              <a:ext uri="{FF2B5EF4-FFF2-40B4-BE49-F238E27FC236}">
                <a16:creationId xmlns:a16="http://schemas.microsoft.com/office/drawing/2014/main" id="{DD934AA6-2D0B-4ED3-3308-075C62FCE814}"/>
              </a:ext>
            </a:extLst>
          </xdr:cNvPr>
          <xdr:cNvGrpSpPr/>
        </xdr:nvGrpSpPr>
        <xdr:grpSpPr>
          <a:xfrm>
            <a:off x="12046117" y="949320"/>
            <a:ext cx="2241163" cy="936000"/>
            <a:chOff x="12138660" y="937260"/>
            <a:chExt cx="2263140" cy="929640"/>
          </a:xfrm>
        </xdr:grpSpPr>
        <xdr:sp macro="" textlink="">
          <xdr:nvSpPr>
            <xdr:cNvPr id="8" name="Rectangle: Rounded Corners 7">
              <a:extLst>
                <a:ext uri="{FF2B5EF4-FFF2-40B4-BE49-F238E27FC236}">
                  <a16:creationId xmlns:a16="http://schemas.microsoft.com/office/drawing/2014/main" id="{9EE80E03-7A94-4F59-B40B-A6EB49E55309}"/>
                </a:ext>
              </a:extLst>
            </xdr:cNvPr>
            <xdr:cNvSpPr/>
          </xdr:nvSpPr>
          <xdr:spPr>
            <a:xfrm>
              <a:off x="12146280" y="937260"/>
              <a:ext cx="2255520" cy="929640"/>
            </a:xfrm>
            <a:prstGeom prst="roundRect">
              <a:avLst/>
            </a:prstGeom>
            <a:solidFill>
              <a:srgbClr val="1F2937"/>
            </a:solidFill>
            <a:effectLst>
              <a:glow rad="101600">
                <a:srgbClr val="39FF14">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100" b="1">
                  <a:solidFill>
                    <a:srgbClr val="39FF14"/>
                  </a:solidFill>
                  <a:latin typeface="Segoe UI" panose="020B0502040204020203" pitchFamily="34" charset="0"/>
                  <a:cs typeface="Segoe UI" panose="020B0502040204020203" pitchFamily="34" charset="0"/>
                </a:rPr>
                <a:t>PROFIT MARGIN</a:t>
              </a:r>
              <a:endParaRPr lang="en-AS" sz="1100" b="1">
                <a:solidFill>
                  <a:srgbClr val="39FF14"/>
                </a:solidFill>
                <a:latin typeface="Segoe UI" panose="020B0502040204020203" pitchFamily="34" charset="0"/>
                <a:cs typeface="Segoe UI" panose="020B0502040204020203" pitchFamily="34" charset="0"/>
              </a:endParaRPr>
            </a:p>
          </xdr:txBody>
        </xdr:sp>
        <xdr:grpSp>
          <xdr:nvGrpSpPr>
            <xdr:cNvPr id="37" name="Group 36">
              <a:extLst>
                <a:ext uri="{FF2B5EF4-FFF2-40B4-BE49-F238E27FC236}">
                  <a16:creationId xmlns:a16="http://schemas.microsoft.com/office/drawing/2014/main" id="{4376857A-27D5-2F04-2DD0-668CAA6D5FE1}"/>
                </a:ext>
              </a:extLst>
            </xdr:cNvPr>
            <xdr:cNvGrpSpPr/>
          </xdr:nvGrpSpPr>
          <xdr:grpSpPr>
            <a:xfrm>
              <a:off x="12138660" y="1062990"/>
              <a:ext cx="2240278" cy="777240"/>
              <a:chOff x="12138660" y="1062990"/>
              <a:chExt cx="2240278" cy="777240"/>
            </a:xfrm>
          </xdr:grpSpPr>
          <xdr:sp macro="" textlink="KPI!$F$10">
            <xdr:nvSpPr>
              <xdr:cNvPr id="22" name="TextBox 21">
                <a:extLst>
                  <a:ext uri="{FF2B5EF4-FFF2-40B4-BE49-F238E27FC236}">
                    <a16:creationId xmlns:a16="http://schemas.microsoft.com/office/drawing/2014/main" id="{398146D9-9A29-41FC-AA05-62DC8D6CB4E8}"/>
                  </a:ext>
                </a:extLst>
              </xdr:cNvPr>
              <xdr:cNvSpPr txBox="1"/>
            </xdr:nvSpPr>
            <xdr:spPr>
              <a:xfrm>
                <a:off x="13117004" y="1270262"/>
                <a:ext cx="1261934" cy="438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80DDDF-E2F9-4DDD-A981-8E7A238CA542}" type="TxLink">
                  <a:rPr lang="en-US" sz="2800" b="1" i="0" u="none" strike="noStrike">
                    <a:solidFill>
                      <a:schemeClr val="bg1"/>
                    </a:solidFill>
                    <a:effectLst/>
                    <a:latin typeface="Segoe UI" panose="020B0502040204020203" pitchFamily="34" charset="0"/>
                    <a:ea typeface="Calibri"/>
                    <a:cs typeface="Segoe UI" panose="020B0502040204020203" pitchFamily="34" charset="0"/>
                  </a:rPr>
                  <a:pPr algn="ctr"/>
                  <a:t>10%</a:t>
                </a:fld>
                <a:endParaRPr lang="en-AS" sz="6000" b="1">
                  <a:solidFill>
                    <a:schemeClr val="bg1"/>
                  </a:solidFill>
                  <a:latin typeface="Segoe UI" panose="020B0502040204020203" pitchFamily="34" charset="0"/>
                  <a:cs typeface="Segoe UI" panose="020B0502040204020203" pitchFamily="34" charset="0"/>
                </a:endParaRPr>
              </a:p>
            </xdr:txBody>
          </xdr:sp>
          <xdr:pic>
            <xdr:nvPicPr>
              <xdr:cNvPr id="35" name="Graphic 34" descr="Gauge with solid fill">
                <a:extLst>
                  <a:ext uri="{FF2B5EF4-FFF2-40B4-BE49-F238E27FC236}">
                    <a16:creationId xmlns:a16="http://schemas.microsoft.com/office/drawing/2014/main" id="{2B15DFAB-401D-52E0-4579-FA9CD0B868A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138660" y="1062990"/>
                <a:ext cx="777240" cy="777240"/>
              </a:xfrm>
              <a:prstGeom prst="rect">
                <a:avLst/>
              </a:prstGeom>
            </xdr:spPr>
          </xdr:pic>
        </xdr:grpSp>
      </xdr:grpSp>
    </xdr:grpSp>
    <xdr:clientData/>
  </xdr:twoCellAnchor>
  <xdr:twoCellAnchor>
    <xdr:from>
      <xdr:col>0</xdr:col>
      <xdr:colOff>175280</xdr:colOff>
      <xdr:row>0</xdr:row>
      <xdr:rowOff>30480</xdr:rowOff>
    </xdr:from>
    <xdr:to>
      <xdr:col>23</xdr:col>
      <xdr:colOff>266480</xdr:colOff>
      <xdr:row>4</xdr:row>
      <xdr:rowOff>38100</xdr:rowOff>
    </xdr:to>
    <xdr:grpSp>
      <xdr:nvGrpSpPr>
        <xdr:cNvPr id="43" name="Group 42">
          <a:extLst>
            <a:ext uri="{FF2B5EF4-FFF2-40B4-BE49-F238E27FC236}">
              <a16:creationId xmlns:a16="http://schemas.microsoft.com/office/drawing/2014/main" id="{94D8C84E-93BF-EAD7-51F2-756D3ED5C77B}"/>
            </a:ext>
          </a:extLst>
        </xdr:cNvPr>
        <xdr:cNvGrpSpPr/>
      </xdr:nvGrpSpPr>
      <xdr:grpSpPr>
        <a:xfrm>
          <a:off x="175280" y="30480"/>
          <a:ext cx="14112000" cy="739140"/>
          <a:chOff x="158848" y="30480"/>
          <a:chExt cx="12525312" cy="739140"/>
        </a:xfrm>
      </xdr:grpSpPr>
      <xdr:grpSp>
        <xdr:nvGrpSpPr>
          <xdr:cNvPr id="10" name="Group 9">
            <a:extLst>
              <a:ext uri="{FF2B5EF4-FFF2-40B4-BE49-F238E27FC236}">
                <a16:creationId xmlns:a16="http://schemas.microsoft.com/office/drawing/2014/main" id="{7887B3AA-73B7-9781-39B6-CC5B57E1D330}"/>
              </a:ext>
            </a:extLst>
          </xdr:cNvPr>
          <xdr:cNvGrpSpPr/>
        </xdr:nvGrpSpPr>
        <xdr:grpSpPr>
          <a:xfrm>
            <a:off x="5961980" y="72390"/>
            <a:ext cx="1226585" cy="655320"/>
            <a:chOff x="6096000" y="91440"/>
            <a:chExt cx="1226585" cy="655320"/>
          </a:xfrm>
        </xdr:grpSpPr>
        <xdr:sp macro="" textlink="">
          <xdr:nvSpPr>
            <xdr:cNvPr id="61" name="Rectangle: Rounded Corners 60">
              <a:extLst>
                <a:ext uri="{FF2B5EF4-FFF2-40B4-BE49-F238E27FC236}">
                  <a16:creationId xmlns:a16="http://schemas.microsoft.com/office/drawing/2014/main" id="{7013328A-4175-195D-1782-47BB3DCBA1B6}"/>
                </a:ext>
              </a:extLst>
            </xdr:cNvPr>
            <xdr:cNvSpPr/>
          </xdr:nvSpPr>
          <xdr:spPr>
            <a:xfrm>
              <a:off x="6096000" y="91440"/>
              <a:ext cx="1219200" cy="640080"/>
            </a:xfrm>
            <a:prstGeom prst="roundRect">
              <a:avLst/>
            </a:prstGeom>
            <a:solidFill>
              <a:srgbClr val="0D11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mc:AlternateContent xmlns:mc="http://schemas.openxmlformats.org/markup-compatibility/2006" xmlns:a14="http://schemas.microsoft.com/office/drawing/2010/main">
          <mc:Choice Requires="a14">
            <xdr:graphicFrame macro="">
              <xdr:nvGraphicFramePr>
                <xdr:cNvPr id="68" name="Year">
                  <a:extLst>
                    <a:ext uri="{FF2B5EF4-FFF2-40B4-BE49-F238E27FC236}">
                      <a16:creationId xmlns:a16="http://schemas.microsoft.com/office/drawing/2014/main" id="{0345FB55-7FD0-417C-8E27-32096D519778}"/>
                    </a:ext>
                  </a:extLst>
                </xdr:cNvPr>
                <xdr:cNvGraphicFramePr/>
              </xdr:nvGraphicFramePr>
              <xdr:xfrm>
                <a:off x="6171965" y="99060"/>
                <a:ext cx="1150620" cy="64770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799132" y="80010"/>
                  <a:ext cx="1296379" cy="64770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 name="TextBox 1">
            <a:extLst>
              <a:ext uri="{FF2B5EF4-FFF2-40B4-BE49-F238E27FC236}">
                <a16:creationId xmlns:a16="http://schemas.microsoft.com/office/drawing/2014/main" id="{C7B2C3C7-826C-8A8A-4842-9FAE8DF8C5C4}"/>
              </a:ext>
            </a:extLst>
          </xdr:cNvPr>
          <xdr:cNvSpPr txBox="1"/>
        </xdr:nvSpPr>
        <xdr:spPr>
          <a:xfrm>
            <a:off x="158848" y="30480"/>
            <a:ext cx="5693311" cy="739140"/>
          </a:xfrm>
          <a:prstGeom prst="rect">
            <a:avLst/>
          </a:prstGeom>
          <a:solidFill>
            <a:srgbClr val="0D111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solidFill>
                  <a:srgbClr val="00BFFF"/>
                </a:solidFill>
                <a:latin typeface="Segoe UI" panose="020B0502040204020203" pitchFamily="34" charset="0"/>
                <a:cs typeface="Segoe UI" panose="020B0502040204020203" pitchFamily="34" charset="0"/>
              </a:rPr>
              <a:t>SALES PERFORMANCE DASHBOARD</a:t>
            </a:r>
          </a:p>
          <a:p>
            <a:pPr algn="ctr"/>
            <a:r>
              <a:rPr lang="en-AS" sz="1100">
                <a:solidFill>
                  <a:srgbClr val="A8B3C2"/>
                </a:solidFill>
                <a:latin typeface="Segoe UI" panose="020B0502040204020203" pitchFamily="34" charset="0"/>
                <a:cs typeface="Segoe UI" panose="020B0502040204020203" pitchFamily="34" charset="0"/>
              </a:rPr>
              <a:t>Sales | Profit | Customer | Region | Product Analysis</a:t>
            </a:r>
            <a:endParaRPr lang="en-AS" sz="1100" b="1">
              <a:solidFill>
                <a:srgbClr val="A8B3C2"/>
              </a:solidFill>
              <a:latin typeface="Segoe UI" panose="020B0502040204020203" pitchFamily="34" charset="0"/>
              <a:cs typeface="Segoe UI" panose="020B0502040204020203" pitchFamily="34" charset="0"/>
            </a:endParaRPr>
          </a:p>
        </xdr:txBody>
      </xdr:sp>
      <xdr:grpSp>
        <xdr:nvGrpSpPr>
          <xdr:cNvPr id="11" name="Group 10">
            <a:extLst>
              <a:ext uri="{FF2B5EF4-FFF2-40B4-BE49-F238E27FC236}">
                <a16:creationId xmlns:a16="http://schemas.microsoft.com/office/drawing/2014/main" id="{0791ACD9-7FF3-5AFB-E153-6F4E3123FAE2}"/>
              </a:ext>
            </a:extLst>
          </xdr:cNvPr>
          <xdr:cNvGrpSpPr/>
        </xdr:nvGrpSpPr>
        <xdr:grpSpPr>
          <a:xfrm>
            <a:off x="7329100" y="65250"/>
            <a:ext cx="1286328" cy="669600"/>
            <a:chOff x="7467600" y="91440"/>
            <a:chExt cx="1279448" cy="647700"/>
          </a:xfrm>
        </xdr:grpSpPr>
        <xdr:sp macro="" textlink="">
          <xdr:nvSpPr>
            <xdr:cNvPr id="62" name="Rectangle: Rounded Corners 61">
              <a:extLst>
                <a:ext uri="{FF2B5EF4-FFF2-40B4-BE49-F238E27FC236}">
                  <a16:creationId xmlns:a16="http://schemas.microsoft.com/office/drawing/2014/main" id="{37290226-07CF-4055-8A6C-21BDE796A2AE}"/>
                </a:ext>
              </a:extLst>
            </xdr:cNvPr>
            <xdr:cNvSpPr/>
          </xdr:nvSpPr>
          <xdr:spPr>
            <a:xfrm>
              <a:off x="7467600" y="91440"/>
              <a:ext cx="1219200" cy="640080"/>
            </a:xfrm>
            <a:prstGeom prst="roundRect">
              <a:avLst/>
            </a:prstGeom>
            <a:solidFill>
              <a:srgbClr val="0D11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mc:AlternateContent xmlns:mc="http://schemas.openxmlformats.org/markup-compatibility/2006" xmlns:a14="http://schemas.microsoft.com/office/drawing/2010/main">
          <mc:Choice Requires="a14">
            <xdr:graphicFrame macro="">
              <xdr:nvGraphicFramePr>
                <xdr:cNvPr id="69" name="Region">
                  <a:extLst>
                    <a:ext uri="{FF2B5EF4-FFF2-40B4-BE49-F238E27FC236}">
                      <a16:creationId xmlns:a16="http://schemas.microsoft.com/office/drawing/2014/main" id="{3D8B54C4-354A-487F-B0F9-DAE3E87CC351}"/>
                    </a:ext>
                  </a:extLst>
                </xdr:cNvPr>
                <xdr:cNvGraphicFramePr>
                  <a:graphicFrameLocks noChangeAspect="1"/>
                </xdr:cNvGraphicFramePr>
              </xdr:nvGraphicFramePr>
              <xdr:xfrm>
                <a:off x="7512608" y="129540"/>
                <a:ext cx="1234440" cy="60960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04831" y="104638"/>
                  <a:ext cx="1398296" cy="630212"/>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3" name="Group 12">
            <a:extLst>
              <a:ext uri="{FF2B5EF4-FFF2-40B4-BE49-F238E27FC236}">
                <a16:creationId xmlns:a16="http://schemas.microsoft.com/office/drawing/2014/main" id="{A8E1CAE2-0B5D-00C4-B8E1-D3AB8679AE1B}"/>
              </a:ext>
            </a:extLst>
          </xdr:cNvPr>
          <xdr:cNvGrpSpPr/>
        </xdr:nvGrpSpPr>
        <xdr:grpSpPr>
          <a:xfrm>
            <a:off x="8695321" y="65250"/>
            <a:ext cx="1307326" cy="669600"/>
            <a:chOff x="8816340" y="91440"/>
            <a:chExt cx="1268618" cy="640080"/>
          </a:xfrm>
        </xdr:grpSpPr>
        <xdr:sp macro="" textlink="">
          <xdr:nvSpPr>
            <xdr:cNvPr id="63" name="Rectangle: Rounded Corners 62">
              <a:extLst>
                <a:ext uri="{FF2B5EF4-FFF2-40B4-BE49-F238E27FC236}">
                  <a16:creationId xmlns:a16="http://schemas.microsoft.com/office/drawing/2014/main" id="{1972E238-59EE-4125-B39A-539F43AA8EFF}"/>
                </a:ext>
              </a:extLst>
            </xdr:cNvPr>
            <xdr:cNvSpPr/>
          </xdr:nvSpPr>
          <xdr:spPr>
            <a:xfrm>
              <a:off x="8816340" y="91440"/>
              <a:ext cx="1219200" cy="640080"/>
            </a:xfrm>
            <a:prstGeom prst="roundRect">
              <a:avLst/>
            </a:prstGeom>
            <a:solidFill>
              <a:srgbClr val="0D11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mc:AlternateContent xmlns:mc="http://schemas.openxmlformats.org/markup-compatibility/2006" xmlns:a14="http://schemas.microsoft.com/office/drawing/2010/main">
          <mc:Choice Requires="a14">
            <xdr:graphicFrame macro="">
              <xdr:nvGraphicFramePr>
                <xdr:cNvPr id="70" name="Category 1">
                  <a:extLst>
                    <a:ext uri="{FF2B5EF4-FFF2-40B4-BE49-F238E27FC236}">
                      <a16:creationId xmlns:a16="http://schemas.microsoft.com/office/drawing/2014/main" id="{435D51DA-9B77-4267-BCE9-8AD81FF837E7}"/>
                    </a:ext>
                  </a:extLst>
                </xdr:cNvPr>
                <xdr:cNvGraphicFramePr/>
              </xdr:nvGraphicFramePr>
              <xdr:xfrm>
                <a:off x="8919098" y="144780"/>
                <a:ext cx="1165860" cy="58674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912449" y="121050"/>
                  <a:ext cx="1353628" cy="61380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4" name="Group 13">
            <a:extLst>
              <a:ext uri="{FF2B5EF4-FFF2-40B4-BE49-F238E27FC236}">
                <a16:creationId xmlns:a16="http://schemas.microsoft.com/office/drawing/2014/main" id="{E7EF3491-4281-8CA0-5542-CA2F2396FBD6}"/>
              </a:ext>
            </a:extLst>
          </xdr:cNvPr>
          <xdr:cNvGrpSpPr/>
        </xdr:nvGrpSpPr>
        <xdr:grpSpPr>
          <a:xfrm>
            <a:off x="10094257" y="65250"/>
            <a:ext cx="1223681" cy="669600"/>
            <a:chOff x="10096500" y="91440"/>
            <a:chExt cx="1424940" cy="640080"/>
          </a:xfrm>
        </xdr:grpSpPr>
        <xdr:sp macro="" textlink="">
          <xdr:nvSpPr>
            <xdr:cNvPr id="64" name="Rectangle: Rounded Corners 63">
              <a:extLst>
                <a:ext uri="{FF2B5EF4-FFF2-40B4-BE49-F238E27FC236}">
                  <a16:creationId xmlns:a16="http://schemas.microsoft.com/office/drawing/2014/main" id="{660370AA-0A9F-47BE-B076-0A10531134DE}"/>
                </a:ext>
              </a:extLst>
            </xdr:cNvPr>
            <xdr:cNvSpPr/>
          </xdr:nvSpPr>
          <xdr:spPr>
            <a:xfrm>
              <a:off x="10096500" y="91440"/>
              <a:ext cx="1424940" cy="640080"/>
            </a:xfrm>
            <a:prstGeom prst="roundRect">
              <a:avLst/>
            </a:prstGeom>
            <a:solidFill>
              <a:srgbClr val="0D11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mc:AlternateContent xmlns:mc="http://schemas.openxmlformats.org/markup-compatibility/2006" xmlns:a14="http://schemas.microsoft.com/office/drawing/2010/main">
          <mc:Choice Requires="a14">
            <xdr:graphicFrame macro="">
              <xdr:nvGraphicFramePr>
                <xdr:cNvPr id="71" name="Sales Person">
                  <a:extLst>
                    <a:ext uri="{FF2B5EF4-FFF2-40B4-BE49-F238E27FC236}">
                      <a16:creationId xmlns:a16="http://schemas.microsoft.com/office/drawing/2014/main" id="{B98FA062-B948-4580-8A5B-BDF676053CF7}"/>
                    </a:ext>
                  </a:extLst>
                </xdr:cNvPr>
                <xdr:cNvGraphicFramePr/>
              </xdr:nvGraphicFramePr>
              <xdr:xfrm>
                <a:off x="10206161" y="114301"/>
                <a:ext cx="1226820" cy="609599"/>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475394" y="89165"/>
                  <a:ext cx="1187005" cy="637713"/>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5" name="Group 14">
            <a:extLst>
              <a:ext uri="{FF2B5EF4-FFF2-40B4-BE49-F238E27FC236}">
                <a16:creationId xmlns:a16="http://schemas.microsoft.com/office/drawing/2014/main" id="{44D35F9A-B269-20E0-AF8A-F3B403B45F1B}"/>
              </a:ext>
            </a:extLst>
          </xdr:cNvPr>
          <xdr:cNvGrpSpPr/>
        </xdr:nvGrpSpPr>
        <xdr:grpSpPr>
          <a:xfrm>
            <a:off x="11427760" y="65250"/>
            <a:ext cx="1256400" cy="669600"/>
            <a:chOff x="11338560" y="91440"/>
            <a:chExt cx="1463040" cy="640080"/>
          </a:xfrm>
        </xdr:grpSpPr>
        <xdr:sp macro="" textlink="">
          <xdr:nvSpPr>
            <xdr:cNvPr id="65" name="Rectangle: Rounded Corners 64">
              <a:extLst>
                <a:ext uri="{FF2B5EF4-FFF2-40B4-BE49-F238E27FC236}">
                  <a16:creationId xmlns:a16="http://schemas.microsoft.com/office/drawing/2014/main" id="{3533C239-382F-417B-AFEC-8B41E6DFE6F7}"/>
                </a:ext>
              </a:extLst>
            </xdr:cNvPr>
            <xdr:cNvSpPr/>
          </xdr:nvSpPr>
          <xdr:spPr>
            <a:xfrm>
              <a:off x="11582400" y="91440"/>
              <a:ext cx="1219200" cy="640080"/>
            </a:xfrm>
            <a:prstGeom prst="roundRect">
              <a:avLst/>
            </a:prstGeom>
            <a:solidFill>
              <a:srgbClr val="0D11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mc:AlternateContent xmlns:mc="http://schemas.openxmlformats.org/markup-compatibility/2006" xmlns:a14="http://schemas.microsoft.com/office/drawing/2010/main">
          <mc:Choice Requires="a14">
            <xdr:graphicFrame macro="">
              <xdr:nvGraphicFramePr>
                <xdr:cNvPr id="72" name="Segment">
                  <a:extLst>
                    <a:ext uri="{FF2B5EF4-FFF2-40B4-BE49-F238E27FC236}">
                      <a16:creationId xmlns:a16="http://schemas.microsoft.com/office/drawing/2014/main" id="{786BD0AC-F892-4844-9465-FF70CB667FF5}"/>
                    </a:ext>
                  </a:extLst>
                </xdr:cNvPr>
                <xdr:cNvGraphicFramePr/>
              </xdr:nvGraphicFramePr>
              <xdr:xfrm>
                <a:off x="11338560" y="106681"/>
                <a:ext cx="1226820" cy="609599"/>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871721" y="81194"/>
                  <a:ext cx="1187005" cy="637713"/>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228600</xdr:colOff>
      <xdr:row>11</xdr:row>
      <xdr:rowOff>94500</xdr:rowOff>
    </xdr:from>
    <xdr:to>
      <xdr:col>23</xdr:col>
      <xdr:colOff>319800</xdr:colOff>
      <xdr:row>24</xdr:row>
      <xdr:rowOff>42660</xdr:rowOff>
    </xdr:to>
    <xdr:grpSp>
      <xdr:nvGrpSpPr>
        <xdr:cNvPr id="42" name="Group 41">
          <a:extLst>
            <a:ext uri="{FF2B5EF4-FFF2-40B4-BE49-F238E27FC236}">
              <a16:creationId xmlns:a16="http://schemas.microsoft.com/office/drawing/2014/main" id="{E762C90C-5C56-B2FF-A029-ECC69184B0E9}"/>
            </a:ext>
          </a:extLst>
        </xdr:cNvPr>
        <xdr:cNvGrpSpPr/>
      </xdr:nvGrpSpPr>
      <xdr:grpSpPr>
        <a:xfrm>
          <a:off x="228600" y="2106180"/>
          <a:ext cx="14112000" cy="2325600"/>
          <a:chOff x="228600" y="2106180"/>
          <a:chExt cx="14248320" cy="2325600"/>
        </a:xfrm>
      </xdr:grpSpPr>
      <xdr:graphicFrame macro="">
        <xdr:nvGraphicFramePr>
          <xdr:cNvPr id="59" name="Chart 58">
            <a:extLst>
              <a:ext uri="{FF2B5EF4-FFF2-40B4-BE49-F238E27FC236}">
                <a16:creationId xmlns:a16="http://schemas.microsoft.com/office/drawing/2014/main" id="{36A055B8-A884-2E3E-A6C9-61D08B4A522A}"/>
              </a:ext>
            </a:extLst>
          </xdr:cNvPr>
          <xdr:cNvGraphicFramePr>
            <a:graphicFrameLocks/>
          </xdr:cNvGraphicFramePr>
        </xdr:nvGraphicFramePr>
        <xdr:xfrm>
          <a:off x="9951720" y="2106180"/>
          <a:ext cx="4525200" cy="23256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74" name="Chart 73">
            <a:extLst>
              <a:ext uri="{FF2B5EF4-FFF2-40B4-BE49-F238E27FC236}">
                <a16:creationId xmlns:a16="http://schemas.microsoft.com/office/drawing/2014/main" id="{E59E13AB-EE56-45B4-8034-026855B66107}"/>
              </a:ext>
            </a:extLst>
          </xdr:cNvPr>
          <xdr:cNvGraphicFramePr>
            <a:graphicFrameLocks/>
          </xdr:cNvGraphicFramePr>
        </xdr:nvGraphicFramePr>
        <xdr:xfrm>
          <a:off x="5090700" y="2106180"/>
          <a:ext cx="4525200" cy="232560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75" name="Chart 74">
            <a:extLst>
              <a:ext uri="{FF2B5EF4-FFF2-40B4-BE49-F238E27FC236}">
                <a16:creationId xmlns:a16="http://schemas.microsoft.com/office/drawing/2014/main" id="{AA17ADC1-2F11-4F3B-BF08-4427849070B8}"/>
              </a:ext>
            </a:extLst>
          </xdr:cNvPr>
          <xdr:cNvGraphicFramePr>
            <a:graphicFrameLocks/>
          </xdr:cNvGraphicFramePr>
        </xdr:nvGraphicFramePr>
        <xdr:xfrm>
          <a:off x="228600" y="2106930"/>
          <a:ext cx="4526280" cy="232410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11</xdr:col>
      <xdr:colOff>589381</xdr:colOff>
      <xdr:row>5</xdr:row>
      <xdr:rowOff>34920</xdr:rowOff>
    </xdr:from>
    <xdr:to>
      <xdr:col>15</xdr:col>
      <xdr:colOff>382981</xdr:colOff>
      <xdr:row>10</xdr:row>
      <xdr:rowOff>56520</xdr:rowOff>
    </xdr:to>
    <xdr:sp macro="" textlink="">
      <xdr:nvSpPr>
        <xdr:cNvPr id="16" name="Rectangle: Rounded Corners 15">
          <a:extLst>
            <a:ext uri="{FF2B5EF4-FFF2-40B4-BE49-F238E27FC236}">
              <a16:creationId xmlns:a16="http://schemas.microsoft.com/office/drawing/2014/main" id="{1FEEE0C8-E9F7-4EC5-A98C-07885D2C141D}"/>
            </a:ext>
          </a:extLst>
        </xdr:cNvPr>
        <xdr:cNvSpPr/>
      </xdr:nvSpPr>
      <xdr:spPr>
        <a:xfrm>
          <a:off x="7294981" y="949320"/>
          <a:ext cx="2232000" cy="936000"/>
        </a:xfrm>
        <a:prstGeom prst="roundRect">
          <a:avLst/>
        </a:prstGeom>
        <a:solidFill>
          <a:srgbClr val="1F2937"/>
        </a:solidFill>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100" b="1">
              <a:solidFill>
                <a:srgbClr val="B026FF"/>
              </a:solidFill>
              <a:latin typeface="Segoe UI" panose="020B0502040204020203" pitchFamily="34" charset="0"/>
              <a:cs typeface="Segoe UI" panose="020B0502040204020203" pitchFamily="34" charset="0"/>
            </a:rPr>
            <a:t>TOTAL QUANTITY</a:t>
          </a:r>
          <a:endParaRPr lang="en-AS" sz="1100" b="1">
            <a:solidFill>
              <a:srgbClr val="B026FF"/>
            </a:solidFill>
            <a:latin typeface="Segoe UI" panose="020B0502040204020203" pitchFamily="34" charset="0"/>
            <a:cs typeface="Segoe UI" panose="020B0502040204020203" pitchFamily="34" charset="0"/>
          </a:endParaRPr>
        </a:p>
      </xdr:txBody>
    </xdr:sp>
    <xdr:clientData/>
  </xdr:twoCellAnchor>
  <xdr:twoCellAnchor>
    <xdr:from>
      <xdr:col>13</xdr:col>
      <xdr:colOff>365760</xdr:colOff>
      <xdr:row>7</xdr:row>
      <xdr:rowOff>29850</xdr:rowOff>
    </xdr:from>
    <xdr:to>
      <xdr:col>15</xdr:col>
      <xdr:colOff>259080</xdr:colOff>
      <xdr:row>9</xdr:row>
      <xdr:rowOff>67951</xdr:rowOff>
    </xdr:to>
    <xdr:sp macro="" textlink="KPI!$F$8">
      <xdr:nvSpPr>
        <xdr:cNvPr id="32" name="TextBox 31">
          <a:extLst>
            <a:ext uri="{FF2B5EF4-FFF2-40B4-BE49-F238E27FC236}">
              <a16:creationId xmlns:a16="http://schemas.microsoft.com/office/drawing/2014/main" id="{E9F1AA0A-45A6-89CC-EA66-23CF9295ABB1}"/>
            </a:ext>
          </a:extLst>
        </xdr:cNvPr>
        <xdr:cNvSpPr txBox="1"/>
      </xdr:nvSpPr>
      <xdr:spPr>
        <a:xfrm>
          <a:off x="8290560" y="1310010"/>
          <a:ext cx="1112520" cy="403861"/>
        </a:xfrm>
        <a:prstGeom prst="rect">
          <a:avLst/>
        </a:prstGeom>
        <a:solidFill>
          <a:srgbClr val="1F293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0A00BE-4B86-48F1-A069-B6A81732254D}" type="TxLink">
            <a:rPr lang="en-US" sz="2800" b="1" i="0" u="none" strike="noStrike">
              <a:solidFill>
                <a:schemeClr val="bg1"/>
              </a:solidFill>
              <a:effectLst/>
              <a:latin typeface="Segoe UI" panose="020B0502040204020203" pitchFamily="34" charset="0"/>
              <a:ea typeface="Calibri"/>
              <a:cs typeface="Segoe UI" panose="020B0502040204020203" pitchFamily="34" charset="0"/>
            </a:rPr>
            <a:pPr algn="ctr"/>
            <a:t>5541</a:t>
          </a:fld>
          <a:endParaRPr lang="en-AS" sz="60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12</xdr:col>
      <xdr:colOff>6326</xdr:colOff>
      <xdr:row>5</xdr:row>
      <xdr:rowOff>81776</xdr:rowOff>
    </xdr:from>
    <xdr:to>
      <xdr:col>13</xdr:col>
      <xdr:colOff>229541</xdr:colOff>
      <xdr:row>9</xdr:row>
      <xdr:rowOff>153185</xdr:rowOff>
    </xdr:to>
    <xdr:pic>
      <xdr:nvPicPr>
        <xdr:cNvPr id="44" name="Graphic 43" descr="Database with solid fill">
          <a:extLst>
            <a:ext uri="{FF2B5EF4-FFF2-40B4-BE49-F238E27FC236}">
              <a16:creationId xmlns:a16="http://schemas.microsoft.com/office/drawing/2014/main" id="{82F50BCA-2F83-4D39-D6C6-87E94FDB924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321526" y="996176"/>
          <a:ext cx="832815" cy="8029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Nadda" refreshedDate="46228.538768865743" createdVersion="8" refreshedVersion="8" minRefreshableVersion="3" recordCount="1000" xr:uid="{522C4C09-264C-4186-A6F6-9AD4D4A3248A}">
  <cacheSource type="worksheet">
    <worksheetSource name="Table1"/>
  </cacheSource>
  <cacheFields count="22">
    <cacheField name="Order ID" numFmtId="0">
      <sharedItems/>
    </cacheField>
    <cacheField name="Order Date" numFmtId="14">
      <sharedItems containsSemiMixedTypes="0" containsNonDate="0" containsDate="1" containsString="0" minDate="2024-01-01T00:00:00" maxDate="2026-01-01T00:00:00"/>
    </cacheField>
    <cacheField name="Customer Name" numFmtId="0">
      <sharedItems/>
    </cacheField>
    <cacheField name="Region" numFmtId="0">
      <sharedItems count="4">
        <s v="South"/>
        <s v="West"/>
        <s v="North"/>
        <s v="East"/>
      </sharedItems>
    </cacheField>
    <cacheField name="State" numFmtId="0">
      <sharedItems/>
    </cacheField>
    <cacheField name="Category" numFmtId="0">
      <sharedItems count="3">
        <s v="Office Supplies"/>
        <s v="Furniture"/>
        <s v="Technology"/>
      </sharedItems>
    </cacheField>
    <cacheField name="Sub Category" numFmtId="0">
      <sharedItems/>
    </cacheField>
    <cacheField name="Product Name" numFmtId="0">
      <sharedItems count="27">
        <s v="Document Case"/>
        <s v="Highlighter"/>
        <s v="Notebook"/>
        <s v="Pen Pack"/>
        <s v="Gaming Chair"/>
        <s v="Visitor Chair"/>
        <s v="Laptop"/>
        <s v="Cabinet"/>
        <s v="Smartphone"/>
        <s v="Coffee Table"/>
        <s v="Desktop"/>
        <s v="A4 Paper"/>
        <s v="Keyboard"/>
        <s v="Headset"/>
        <s v="Office Chair"/>
        <s v="Drawer Unit"/>
        <s v="Study Table"/>
        <s v="Conference Table"/>
        <s v="Mouse"/>
        <s v="Marker Set"/>
        <s v="Webcam"/>
        <s v="Sticky Notes"/>
        <s v="Ring Binder"/>
        <s v="Desk Phone"/>
        <s v="Bookshelf"/>
        <s v="File Folder"/>
        <s v="Mini PC"/>
      </sharedItems>
    </cacheField>
    <cacheField name="Sales" numFmtId="0">
      <sharedItems containsSemiMixedTypes="0" containsString="0" containsNumber="1" minValue="34.42" maxValue="11977.1"/>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3"/>
    </cacheField>
    <cacheField name="Profit" numFmtId="0">
      <sharedItems containsSemiMixedTypes="0" containsString="0" containsNumber="1" minValue="-2535.5500000000002" maxValue="3932.76"/>
    </cacheField>
    <cacheField name="Sales Person" numFmtId="0">
      <sharedItems count="10">
        <s v="Amit"/>
        <s v="Vikram"/>
        <s v="Priya"/>
        <s v="Pooja"/>
        <s v="Karan"/>
        <s v="Rahul"/>
        <s v="Rohit"/>
        <s v="Anjali"/>
        <s v="Neha"/>
        <s v="Sneha"/>
      </sharedItems>
    </cacheField>
    <cacheField name="Segment" numFmtId="0">
      <sharedItems count="4">
        <s v="Home Office"/>
        <s v="Consumer"/>
        <s v="Small Business"/>
        <s v="Corporate"/>
      </sharedItems>
    </cacheField>
    <cacheField name="salesman rank" numFmtId="0">
      <sharedItems/>
    </cacheField>
    <cacheField name="Unit price" numFmtId="0">
      <sharedItems containsSemiMixedTypes="0" containsString="0" containsNumber="1" minValue="15.6" maxValue="1199.71"/>
    </cacheField>
    <cacheField name="Order_Date_New" numFmtId="0">
      <sharedItems containsSemiMixedTypes="0" containsString="0" containsNumber="1" containsInteger="1" minValue="45292" maxValue="46022"/>
    </cacheField>
    <cacheField name="Year" numFmtId="0">
      <sharedItems containsSemiMixedTypes="0" containsString="0" containsNumber="1" containsInteger="1" minValue="2024" maxValue="2025" count="2">
        <n v="2025"/>
        <n v="2024"/>
      </sharedItems>
    </cacheField>
    <cacheField name="Month_num" numFmtId="0">
      <sharedItems containsSemiMixedTypes="0" containsString="0" containsNumber="1" containsInteger="1" minValue="1" maxValue="12"/>
    </cacheField>
    <cacheField name="Month_name" numFmtId="0">
      <sharedItems count="12">
        <s v="January"/>
        <s v="February"/>
        <s v="October"/>
        <s v="March"/>
        <s v="December"/>
        <s v="September"/>
        <s v="July"/>
        <s v="May"/>
        <s v="April"/>
        <s v="June"/>
        <s v="November"/>
        <s v="August"/>
      </sharedItems>
    </cacheField>
    <cacheField name="profit_margin" numFmtId="0">
      <sharedItems containsSemiMixedTypes="0" containsString="0" containsNumber="1" minValue="-0.24925303764690257" maxValue="0.44844922082186245"/>
    </cacheField>
    <cacheField name="Discount_Bucket" numFmtId="0">
      <sharedItems/>
    </cacheField>
  </cacheFields>
  <extLst>
    <ext xmlns:x14="http://schemas.microsoft.com/office/spreadsheetml/2009/9/main" uri="{725AE2AE-9491-48be-B2B4-4EB974FC3084}">
      <x14:pivotCacheDefinition pivotCacheId="4944586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2"/>
    <d v="2025-01-31T00:00:00"/>
    <s v="Customer 87"/>
    <x v="0"/>
    <s v="Karnataka"/>
    <x v="0"/>
    <s v="Binders"/>
    <x v="0"/>
    <n v="5565.9"/>
    <n v="10"/>
    <n v="0"/>
    <n v="421.59"/>
    <x v="0"/>
    <x v="0"/>
    <s v="Good"/>
    <n v="556.58999999999992"/>
    <n v="45688"/>
    <x v="0"/>
    <n v="1"/>
    <x v="0"/>
    <n v="7.5745162507411201E-2"/>
    <s v="No Discount"/>
  </r>
  <r>
    <s v="ORD100003"/>
    <d v="2025-02-08T00:00:00"/>
    <s v="Customer 64"/>
    <x v="1"/>
    <s v="Gujarat"/>
    <x v="0"/>
    <s v="Writing"/>
    <x v="1"/>
    <n v="997.04"/>
    <n v="4"/>
    <n v="0.25"/>
    <n v="-161.72"/>
    <x v="1"/>
    <x v="1"/>
    <s v="Bad"/>
    <n v="249.26"/>
    <n v="45696"/>
    <x v="0"/>
    <n v="2"/>
    <x v="1"/>
    <n v="-0.16220011233250423"/>
    <s v="high"/>
  </r>
  <r>
    <s v="ORD100004"/>
    <d v="2025-10-31T00:00:00"/>
    <s v="Customer 49"/>
    <x v="1"/>
    <s v="Gujarat"/>
    <x v="0"/>
    <s v="Paper"/>
    <x v="2"/>
    <n v="1711.71"/>
    <n v="7"/>
    <n v="0"/>
    <n v="356.91"/>
    <x v="2"/>
    <x v="2"/>
    <s v="Bad"/>
    <n v="244.53"/>
    <n v="45961"/>
    <x v="0"/>
    <n v="10"/>
    <x v="2"/>
    <n v="0.20851078745815588"/>
    <s v="No Discount"/>
  </r>
  <r>
    <s v="ORD100005"/>
    <d v="2025-03-26T00:00:00"/>
    <s v="Customer 75"/>
    <x v="1"/>
    <s v="Rajasthan"/>
    <x v="0"/>
    <s v="Paper"/>
    <x v="2"/>
    <n v="1435.1"/>
    <n v="5"/>
    <n v="0.3"/>
    <n v="-122.01"/>
    <x v="3"/>
    <x v="1"/>
    <s v="Bad"/>
    <n v="287.02"/>
    <n v="45742"/>
    <x v="0"/>
    <n v="3"/>
    <x v="3"/>
    <n v="-8.5018465612152469E-2"/>
    <s v="high"/>
  </r>
  <r>
    <s v="ORD100006"/>
    <d v="2025-02-10T00:00:00"/>
    <s v="Customer 191"/>
    <x v="2"/>
    <s v="Punjab"/>
    <x v="0"/>
    <s v="Writing"/>
    <x v="3"/>
    <n v="1413.08"/>
    <n v="2"/>
    <n v="0.1"/>
    <n v="416.9"/>
    <x v="1"/>
    <x v="0"/>
    <s v="Bad"/>
    <n v="706.54"/>
    <n v="45698"/>
    <x v="0"/>
    <n v="2"/>
    <x v="1"/>
    <n v="0.29502929770430547"/>
    <s v="Low"/>
  </r>
  <r>
    <s v="ORD100007"/>
    <d v="2024-12-03T00:00:00"/>
    <s v="Customer 166"/>
    <x v="0"/>
    <s v="Tamil Nadu"/>
    <x v="1"/>
    <s v="Chairs"/>
    <x v="4"/>
    <n v="6869.16"/>
    <n v="9"/>
    <n v="0"/>
    <n v="721.16"/>
    <x v="3"/>
    <x v="0"/>
    <s v="Good"/>
    <n v="763.24"/>
    <n v="45629"/>
    <x v="1"/>
    <n v="12"/>
    <x v="4"/>
    <n v="0.10498518013847399"/>
    <s v="No Discount"/>
  </r>
  <r>
    <s v="ORD100008"/>
    <d v="2024-10-15T00:00:00"/>
    <s v="Customer 167"/>
    <x v="1"/>
    <s v="Maharashtra"/>
    <x v="1"/>
    <s v="Chairs"/>
    <x v="5"/>
    <n v="5509.7"/>
    <n v="10"/>
    <n v="0.2"/>
    <n v="-457.71"/>
    <x v="4"/>
    <x v="0"/>
    <s v="Good"/>
    <n v="550.97"/>
    <n v="45580"/>
    <x v="1"/>
    <n v="10"/>
    <x v="2"/>
    <n v="-8.3073488574695542E-2"/>
    <s v="medium"/>
  </r>
  <r>
    <s v="ORD100009"/>
    <d v="2025-09-03T00:00:00"/>
    <s v="Customer 94"/>
    <x v="1"/>
    <s v="Gujarat"/>
    <x v="2"/>
    <s v="Computers"/>
    <x v="6"/>
    <n v="4643.04"/>
    <n v="6"/>
    <n v="0.25"/>
    <n v="-634.04"/>
    <x v="4"/>
    <x v="1"/>
    <s v="Bad"/>
    <n v="773.84"/>
    <n v="45903"/>
    <x v="0"/>
    <n v="9"/>
    <x v="5"/>
    <n v="-0.13655708329025809"/>
    <s v="high"/>
  </r>
  <r>
    <s v="ORD100010"/>
    <d v="2024-10-02T00:00:00"/>
    <s v="Customer 39"/>
    <x v="2"/>
    <s v="Uttarakhand"/>
    <x v="1"/>
    <s v="Storage"/>
    <x v="7"/>
    <n v="101.16"/>
    <n v="6"/>
    <n v="0.3"/>
    <n v="-23.27"/>
    <x v="1"/>
    <x v="3"/>
    <s v="Bad"/>
    <n v="16.86"/>
    <n v="45567"/>
    <x v="1"/>
    <n v="10"/>
    <x v="2"/>
    <n v="-0.23003163305654409"/>
    <s v="high"/>
  </r>
  <r>
    <s v="ORD100011"/>
    <d v="2024-07-11T00:00:00"/>
    <s v="Customer 196"/>
    <x v="0"/>
    <s v="Telangana"/>
    <x v="2"/>
    <s v="Computers"/>
    <x v="6"/>
    <n v="2687.4"/>
    <n v="10"/>
    <n v="0.15"/>
    <n v="145.56"/>
    <x v="2"/>
    <x v="1"/>
    <s v="Bad"/>
    <n v="268.74"/>
    <n v="45484"/>
    <x v="1"/>
    <n v="7"/>
    <x v="6"/>
    <n v="5.4163875865148467E-2"/>
    <s v="medium"/>
  </r>
  <r>
    <s v="ORD100012"/>
    <d v="2024-03-17T00:00:00"/>
    <s v="Customer 26"/>
    <x v="2"/>
    <s v="Haryana"/>
    <x v="2"/>
    <s v="Phones"/>
    <x v="8"/>
    <n v="1715.22"/>
    <n v="3"/>
    <n v="0.15"/>
    <n v="175.1"/>
    <x v="5"/>
    <x v="3"/>
    <s v="Bad"/>
    <n v="571.74"/>
    <n v="45368"/>
    <x v="1"/>
    <n v="3"/>
    <x v="3"/>
    <n v="0.10208602978043632"/>
    <s v="medium"/>
  </r>
  <r>
    <s v="ORD100013"/>
    <d v="2024-05-16T00:00:00"/>
    <s v="Customer 100"/>
    <x v="1"/>
    <s v="Gujarat"/>
    <x v="0"/>
    <s v="Paper"/>
    <x v="2"/>
    <n v="572.04"/>
    <n v="1"/>
    <n v="0.15"/>
    <n v="117.9"/>
    <x v="3"/>
    <x v="0"/>
    <s v="Bad"/>
    <n v="572.04"/>
    <n v="45428"/>
    <x v="1"/>
    <n v="5"/>
    <x v="7"/>
    <n v="0.20610446821900569"/>
    <s v="medium"/>
  </r>
  <r>
    <s v="ORD100014"/>
    <d v="2025-05-20T00:00:00"/>
    <s v="Customer 16"/>
    <x v="2"/>
    <s v="Haryana"/>
    <x v="2"/>
    <s v="Phones"/>
    <x v="8"/>
    <n v="4129.79"/>
    <n v="7"/>
    <n v="0.05"/>
    <n v="1549.7"/>
    <x v="3"/>
    <x v="0"/>
    <s v="Bad"/>
    <n v="589.97"/>
    <n v="45797"/>
    <x v="0"/>
    <n v="5"/>
    <x v="7"/>
    <n v="0.37524910467602468"/>
    <s v="Low"/>
  </r>
  <r>
    <s v="ORD100015"/>
    <d v="2025-03-23T00:00:00"/>
    <s v="Customer 8"/>
    <x v="0"/>
    <s v="Kerala"/>
    <x v="1"/>
    <s v="Tables"/>
    <x v="9"/>
    <n v="3401.7"/>
    <n v="10"/>
    <n v="0.3"/>
    <n v="-758.03"/>
    <x v="2"/>
    <x v="2"/>
    <s v="Bad"/>
    <n v="340.16999999999996"/>
    <n v="45739"/>
    <x v="0"/>
    <n v="3"/>
    <x v="3"/>
    <n v="-0.22283858070964518"/>
    <s v="high"/>
  </r>
  <r>
    <s v="ORD100016"/>
    <d v="2025-03-31T00:00:00"/>
    <s v="Customer 109"/>
    <x v="2"/>
    <s v="Punjab"/>
    <x v="2"/>
    <s v="Computers"/>
    <x v="10"/>
    <n v="4558.92"/>
    <n v="4"/>
    <n v="0"/>
    <n v="1562.19"/>
    <x v="0"/>
    <x v="2"/>
    <s v="Bad"/>
    <n v="1139.73"/>
    <n v="45747"/>
    <x v="0"/>
    <n v="3"/>
    <x v="3"/>
    <n v="0.34266668421468244"/>
    <s v="No Discount"/>
  </r>
  <r>
    <s v="ORD100017"/>
    <d v="2025-03-27T00:00:00"/>
    <s v="Customer 44"/>
    <x v="2"/>
    <s v="Uttarakhand"/>
    <x v="0"/>
    <s v="Writing"/>
    <x v="1"/>
    <n v="10284.39"/>
    <n v="9"/>
    <n v="0.3"/>
    <n v="-1904.11"/>
    <x v="6"/>
    <x v="0"/>
    <s v="Good"/>
    <n v="1142.71"/>
    <n v="45743"/>
    <x v="0"/>
    <n v="3"/>
    <x v="3"/>
    <n v="-0.18514564305709916"/>
    <s v="high"/>
  </r>
  <r>
    <s v="ORD100018"/>
    <d v="2025-05-08T00:00:00"/>
    <s v="Customer 16"/>
    <x v="2"/>
    <s v="Delhi"/>
    <x v="0"/>
    <s v="Paper"/>
    <x v="11"/>
    <n v="3409.8"/>
    <n v="3"/>
    <n v="0.3"/>
    <n v="-816.01"/>
    <x v="0"/>
    <x v="3"/>
    <s v="Bad"/>
    <n v="1136.6000000000001"/>
    <n v="45785"/>
    <x v="0"/>
    <n v="5"/>
    <x v="7"/>
    <n v="-0.23931315619684437"/>
    <s v="high"/>
  </r>
  <r>
    <s v="ORD100019"/>
    <d v="2024-01-26T00:00:00"/>
    <s v="Customer 106"/>
    <x v="0"/>
    <s v="Kerala"/>
    <x v="2"/>
    <s v="Accessories"/>
    <x v="12"/>
    <n v="2092.9499999999998"/>
    <n v="5"/>
    <n v="0.2"/>
    <n v="206.77"/>
    <x v="7"/>
    <x v="3"/>
    <s v="Bad"/>
    <n v="418.59"/>
    <n v="45317"/>
    <x v="1"/>
    <n v="1"/>
    <x v="0"/>
    <n v="9.8793568886022129E-2"/>
    <s v="medium"/>
  </r>
  <r>
    <s v="ORD100020"/>
    <d v="2025-12-31T00:00:00"/>
    <s v="Customer 190"/>
    <x v="1"/>
    <s v="Gujarat"/>
    <x v="0"/>
    <s v="Binders"/>
    <x v="0"/>
    <n v="4459.5"/>
    <n v="9"/>
    <n v="0.1"/>
    <n v="404.54"/>
    <x v="0"/>
    <x v="2"/>
    <s v="Bad"/>
    <n v="495.5"/>
    <n v="46022"/>
    <x v="0"/>
    <n v="12"/>
    <x v="4"/>
    <n v="9.0714205628433686E-2"/>
    <s v="Low"/>
  </r>
  <r>
    <s v="ORD100021"/>
    <d v="2025-07-16T00:00:00"/>
    <s v="Customer 153"/>
    <x v="1"/>
    <s v="Goa"/>
    <x v="2"/>
    <s v="Phones"/>
    <x v="13"/>
    <n v="1628.37"/>
    <n v="3"/>
    <n v="0.3"/>
    <n v="-315.85000000000002"/>
    <x v="4"/>
    <x v="3"/>
    <s v="Bad"/>
    <n v="542.79"/>
    <n v="45854"/>
    <x v="0"/>
    <n v="7"/>
    <x v="6"/>
    <n v="-0.19396697310807742"/>
    <s v="high"/>
  </r>
  <r>
    <s v="ORD100022"/>
    <d v="2024-12-20T00:00:00"/>
    <s v="Customer 61"/>
    <x v="0"/>
    <s v="Kerala"/>
    <x v="1"/>
    <s v="Chairs"/>
    <x v="14"/>
    <n v="9072.99"/>
    <n v="9"/>
    <n v="0.2"/>
    <n v="1494.8"/>
    <x v="3"/>
    <x v="3"/>
    <s v="Good"/>
    <n v="1008.11"/>
    <n v="45646"/>
    <x v="1"/>
    <n v="12"/>
    <x v="4"/>
    <n v="0.16475274413396246"/>
    <s v="medium"/>
  </r>
  <r>
    <s v="ORD100023"/>
    <d v="2024-01-14T00:00:00"/>
    <s v="Customer 115"/>
    <x v="2"/>
    <s v="Uttarakhand"/>
    <x v="1"/>
    <s v="Storage"/>
    <x v="15"/>
    <n v="1321.02"/>
    <n v="2"/>
    <n v="0.3"/>
    <n v="66.61"/>
    <x v="3"/>
    <x v="1"/>
    <s v="Bad"/>
    <n v="660.51"/>
    <n v="45305"/>
    <x v="1"/>
    <n v="1"/>
    <x v="0"/>
    <n v="5.0423157862863548E-2"/>
    <s v="high"/>
  </r>
  <r>
    <s v="ORD100024"/>
    <d v="2025-07-24T00:00:00"/>
    <s v="Customer 76"/>
    <x v="3"/>
    <s v="Odisha"/>
    <x v="1"/>
    <s v="Chairs"/>
    <x v="14"/>
    <n v="191.35"/>
    <n v="1"/>
    <n v="0.25"/>
    <n v="-35.39"/>
    <x v="7"/>
    <x v="2"/>
    <s v="Bad"/>
    <n v="191.35"/>
    <n v="45862"/>
    <x v="0"/>
    <n v="7"/>
    <x v="6"/>
    <n v="-0.18494904625032663"/>
    <s v="high"/>
  </r>
  <r>
    <s v="ORD100025"/>
    <d v="2024-05-18T00:00:00"/>
    <s v="Customer 160"/>
    <x v="3"/>
    <s v="West Bengal"/>
    <x v="2"/>
    <s v="Phones"/>
    <x v="8"/>
    <n v="6352.3"/>
    <n v="10"/>
    <n v="0"/>
    <n v="1494.43"/>
    <x v="8"/>
    <x v="0"/>
    <s v="Good"/>
    <n v="635.23"/>
    <n v="45430"/>
    <x v="1"/>
    <n v="5"/>
    <x v="7"/>
    <n v="0.23525809549297105"/>
    <s v="No Discount"/>
  </r>
  <r>
    <s v="ORD100026"/>
    <d v="2024-12-22T00:00:00"/>
    <s v="Customer 23"/>
    <x v="1"/>
    <s v="Rajasthan"/>
    <x v="1"/>
    <s v="Chairs"/>
    <x v="4"/>
    <n v="10778.04"/>
    <n v="9"/>
    <n v="0.15"/>
    <n v="156.16"/>
    <x v="3"/>
    <x v="0"/>
    <s v="Good"/>
    <n v="1197.5600000000002"/>
    <n v="45648"/>
    <x v="1"/>
    <n v="12"/>
    <x v="4"/>
    <n v="1.4488719655892907E-2"/>
    <s v="medium"/>
  </r>
  <r>
    <s v="ORD100027"/>
    <d v="2025-09-02T00:00:00"/>
    <s v="Customer 15"/>
    <x v="0"/>
    <s v="Kerala"/>
    <x v="1"/>
    <s v="Tables"/>
    <x v="16"/>
    <n v="2001.92"/>
    <n v="8"/>
    <n v="0.05"/>
    <n v="505.07"/>
    <x v="6"/>
    <x v="0"/>
    <s v="Bad"/>
    <n v="250.24"/>
    <n v="45902"/>
    <x v="0"/>
    <n v="9"/>
    <x v="5"/>
    <n v="0.25229279891304346"/>
    <s v="Low"/>
  </r>
  <r>
    <s v="ORD100028"/>
    <d v="2024-07-30T00:00:00"/>
    <s v="Customer 164"/>
    <x v="3"/>
    <s v="West Bengal"/>
    <x v="1"/>
    <s v="Tables"/>
    <x v="17"/>
    <n v="2181.9499999999998"/>
    <n v="5"/>
    <n v="0.3"/>
    <n v="260.37"/>
    <x v="6"/>
    <x v="0"/>
    <s v="Bad"/>
    <n v="436.39"/>
    <n v="45503"/>
    <x v="1"/>
    <n v="7"/>
    <x v="6"/>
    <n v="0.11932904053713422"/>
    <s v="high"/>
  </r>
  <r>
    <s v="ORD100029"/>
    <d v="2024-01-04T00:00:00"/>
    <s v="Customer 38"/>
    <x v="2"/>
    <s v="Delhi"/>
    <x v="2"/>
    <s v="Accessories"/>
    <x v="12"/>
    <n v="2112.54"/>
    <n v="6"/>
    <n v="0.05"/>
    <n v="242.56"/>
    <x v="3"/>
    <x v="1"/>
    <s v="Bad"/>
    <n v="352.09"/>
    <n v="45295"/>
    <x v="1"/>
    <n v="1"/>
    <x v="0"/>
    <n v="0.11481912768515626"/>
    <s v="Low"/>
  </r>
  <r>
    <s v="ORD100030"/>
    <d v="2024-10-15T00:00:00"/>
    <s v="Customer 59"/>
    <x v="3"/>
    <s v="Bihar"/>
    <x v="1"/>
    <s v="Chairs"/>
    <x v="14"/>
    <n v="2720.6"/>
    <n v="5"/>
    <n v="0.05"/>
    <n v="240.81"/>
    <x v="6"/>
    <x v="2"/>
    <s v="Bad"/>
    <n v="544.12"/>
    <n v="45580"/>
    <x v="1"/>
    <n v="10"/>
    <x v="2"/>
    <n v="8.8513563184591637E-2"/>
    <s v="Low"/>
  </r>
  <r>
    <s v="ORD100031"/>
    <d v="2025-01-19T00:00:00"/>
    <s v="Customer 54"/>
    <x v="2"/>
    <s v="Delhi"/>
    <x v="2"/>
    <s v="Computers"/>
    <x v="10"/>
    <n v="6996.29"/>
    <n v="7"/>
    <n v="0.3"/>
    <n v="320.13"/>
    <x v="5"/>
    <x v="1"/>
    <s v="Bad"/>
    <n v="999.47"/>
    <n v="45676"/>
    <x v="0"/>
    <n v="1"/>
    <x v="0"/>
    <n v="4.5757108410314606E-2"/>
    <s v="high"/>
  </r>
  <r>
    <s v="ORD100032"/>
    <d v="2025-01-06T00:00:00"/>
    <s v="Customer 159"/>
    <x v="1"/>
    <s v="Rajasthan"/>
    <x v="0"/>
    <s v="Binders"/>
    <x v="0"/>
    <n v="9500.58"/>
    <n v="9"/>
    <n v="0.3"/>
    <n v="-133.25"/>
    <x v="3"/>
    <x v="1"/>
    <s v="Good"/>
    <n v="1055.6199999999999"/>
    <n v="45663"/>
    <x v="0"/>
    <n v="1"/>
    <x v="0"/>
    <n v="-1.4025459498262212E-2"/>
    <s v="high"/>
  </r>
  <r>
    <s v="ORD100033"/>
    <d v="2025-04-22T00:00:00"/>
    <s v="Customer 120"/>
    <x v="3"/>
    <s v="West Bengal"/>
    <x v="0"/>
    <s v="Binders"/>
    <x v="0"/>
    <n v="9145.17"/>
    <n v="9"/>
    <n v="0.2"/>
    <n v="-374.38"/>
    <x v="6"/>
    <x v="2"/>
    <s v="Good"/>
    <n v="1016.13"/>
    <n v="45769"/>
    <x v="0"/>
    <n v="4"/>
    <x v="8"/>
    <n v="-4.0937456602775014E-2"/>
    <s v="medium"/>
  </r>
  <r>
    <s v="ORD100034"/>
    <d v="2024-07-10T00:00:00"/>
    <s v="Customer 132"/>
    <x v="0"/>
    <s v="Tamil Nadu"/>
    <x v="1"/>
    <s v="Tables"/>
    <x v="9"/>
    <n v="367.5"/>
    <n v="10"/>
    <n v="0.05"/>
    <n v="143.15"/>
    <x v="1"/>
    <x v="1"/>
    <s v="Bad"/>
    <n v="36.75"/>
    <n v="45483"/>
    <x v="1"/>
    <n v="7"/>
    <x v="6"/>
    <n v="0.38952380952380955"/>
    <s v="Low"/>
  </r>
  <r>
    <s v="ORD100035"/>
    <d v="2024-06-21T00:00:00"/>
    <s v="Customer 161"/>
    <x v="3"/>
    <s v="Odisha"/>
    <x v="2"/>
    <s v="Phones"/>
    <x v="8"/>
    <n v="1061.6600000000001"/>
    <n v="1"/>
    <n v="0"/>
    <n v="422.8"/>
    <x v="8"/>
    <x v="3"/>
    <s v="Bad"/>
    <n v="1061.6600000000001"/>
    <n v="45464"/>
    <x v="1"/>
    <n v="6"/>
    <x v="9"/>
    <n v="0.39824425899063726"/>
    <s v="No Discount"/>
  </r>
  <r>
    <s v="ORD100036"/>
    <d v="2025-03-14T00:00:00"/>
    <s v="Customer 153"/>
    <x v="1"/>
    <s v="Maharashtra"/>
    <x v="2"/>
    <s v="Accessories"/>
    <x v="18"/>
    <n v="1527.6"/>
    <n v="8"/>
    <n v="0"/>
    <n v="419.74"/>
    <x v="0"/>
    <x v="2"/>
    <s v="Bad"/>
    <n v="190.95"/>
    <n v="45730"/>
    <x v="0"/>
    <n v="3"/>
    <x v="3"/>
    <n v="0.27477088242995551"/>
    <s v="No Discount"/>
  </r>
  <r>
    <s v="ORD100037"/>
    <d v="2024-07-03T00:00:00"/>
    <s v="Customer 167"/>
    <x v="0"/>
    <s v="Kerala"/>
    <x v="2"/>
    <s v="Computers"/>
    <x v="6"/>
    <n v="1241.5"/>
    <n v="2"/>
    <n v="0.25"/>
    <n v="151.36000000000001"/>
    <x v="4"/>
    <x v="2"/>
    <s v="Bad"/>
    <n v="620.75"/>
    <n v="45476"/>
    <x v="1"/>
    <n v="7"/>
    <x v="6"/>
    <n v="0.12191703584373742"/>
    <s v="high"/>
  </r>
  <r>
    <s v="ORD100038"/>
    <d v="2024-12-15T00:00:00"/>
    <s v="Customer 72"/>
    <x v="0"/>
    <s v="Telangana"/>
    <x v="2"/>
    <s v="Phones"/>
    <x v="8"/>
    <n v="1378.65"/>
    <n v="7"/>
    <n v="0.05"/>
    <n v="74.28"/>
    <x v="1"/>
    <x v="1"/>
    <s v="Bad"/>
    <n v="196.95000000000002"/>
    <n v="45641"/>
    <x v="1"/>
    <n v="12"/>
    <x v="4"/>
    <n v="5.3878794472853875E-2"/>
    <s v="Low"/>
  </r>
  <r>
    <s v="ORD100039"/>
    <d v="2025-09-27T00:00:00"/>
    <s v="Customer 154"/>
    <x v="2"/>
    <s v="Haryana"/>
    <x v="2"/>
    <s v="Phones"/>
    <x v="13"/>
    <n v="1707.48"/>
    <n v="3"/>
    <n v="0.2"/>
    <n v="123.67"/>
    <x v="1"/>
    <x v="3"/>
    <s v="Bad"/>
    <n v="569.16"/>
    <n v="45927"/>
    <x v="0"/>
    <n v="9"/>
    <x v="5"/>
    <n v="7.2428373978026095E-2"/>
    <s v="medium"/>
  </r>
  <r>
    <s v="ORD100040"/>
    <d v="2025-06-28T00:00:00"/>
    <s v="Customer 30"/>
    <x v="1"/>
    <s v="Goa"/>
    <x v="2"/>
    <s v="Accessories"/>
    <x v="12"/>
    <n v="3156.15"/>
    <n v="5"/>
    <n v="0.25"/>
    <n v="-557.66999999999996"/>
    <x v="7"/>
    <x v="0"/>
    <s v="Bad"/>
    <n v="631.23"/>
    <n v="45836"/>
    <x v="0"/>
    <n v="6"/>
    <x v="9"/>
    <n v="-0.1766931229504301"/>
    <s v="high"/>
  </r>
  <r>
    <s v="ORD100041"/>
    <d v="2025-09-17T00:00:00"/>
    <s v="Customer 194"/>
    <x v="3"/>
    <s v="West Bengal"/>
    <x v="2"/>
    <s v="Accessories"/>
    <x v="18"/>
    <n v="5676.9"/>
    <n v="10"/>
    <n v="0"/>
    <n v="897.82"/>
    <x v="6"/>
    <x v="0"/>
    <s v="Good"/>
    <n v="567.68999999999994"/>
    <n v="45917"/>
    <x v="0"/>
    <n v="9"/>
    <x v="5"/>
    <n v="0.1581532174250031"/>
    <s v="No Discount"/>
  </r>
  <r>
    <s v="ORD100042"/>
    <d v="2025-05-20T00:00:00"/>
    <s v="Customer 199"/>
    <x v="2"/>
    <s v="Delhi"/>
    <x v="1"/>
    <s v="Chairs"/>
    <x v="14"/>
    <n v="8876.4"/>
    <n v="10"/>
    <n v="0.3"/>
    <n v="26.45"/>
    <x v="9"/>
    <x v="3"/>
    <s v="Good"/>
    <n v="887.64"/>
    <n v="45797"/>
    <x v="0"/>
    <n v="5"/>
    <x v="7"/>
    <n v="2.9798116353476635E-3"/>
    <s v="high"/>
  </r>
  <r>
    <s v="ORD100043"/>
    <d v="2025-12-12T00:00:00"/>
    <s v="Customer 142"/>
    <x v="2"/>
    <s v="Punjab"/>
    <x v="0"/>
    <s v="Writing"/>
    <x v="19"/>
    <n v="7931.8"/>
    <n v="10"/>
    <n v="0"/>
    <n v="3114.24"/>
    <x v="7"/>
    <x v="3"/>
    <s v="Good"/>
    <n v="793.18000000000006"/>
    <n v="46003"/>
    <x v="0"/>
    <n v="12"/>
    <x v="4"/>
    <n v="0.39262714642325824"/>
    <s v="No Discount"/>
  </r>
  <r>
    <s v="ORD100044"/>
    <d v="2024-10-03T00:00:00"/>
    <s v="Customer 93"/>
    <x v="2"/>
    <s v="Punjab"/>
    <x v="1"/>
    <s v="Tables"/>
    <x v="16"/>
    <n v="420.83"/>
    <n v="1"/>
    <n v="0.15"/>
    <n v="77.02"/>
    <x v="8"/>
    <x v="1"/>
    <s v="Bad"/>
    <n v="420.83"/>
    <n v="45568"/>
    <x v="1"/>
    <n v="10"/>
    <x v="2"/>
    <n v="0.18301927143977378"/>
    <s v="medium"/>
  </r>
  <r>
    <s v="ORD100045"/>
    <d v="2025-11-18T00:00:00"/>
    <s v="Customer 103"/>
    <x v="3"/>
    <s v="Odisha"/>
    <x v="1"/>
    <s v="Storage"/>
    <x v="15"/>
    <n v="1287.3"/>
    <n v="2"/>
    <n v="0.25"/>
    <n v="128.31"/>
    <x v="9"/>
    <x v="1"/>
    <s v="Bad"/>
    <n v="643.65"/>
    <n v="45979"/>
    <x v="0"/>
    <n v="11"/>
    <x v="10"/>
    <n v="9.9673735725938017E-2"/>
    <s v="high"/>
  </r>
  <r>
    <s v="ORD100046"/>
    <d v="2024-06-25T00:00:00"/>
    <s v="Customer 111"/>
    <x v="2"/>
    <s v="Punjab"/>
    <x v="2"/>
    <s v="Accessories"/>
    <x v="12"/>
    <n v="34.42"/>
    <n v="1"/>
    <n v="0"/>
    <n v="2.4300000000000002"/>
    <x v="9"/>
    <x v="3"/>
    <s v="Bad"/>
    <n v="34.42"/>
    <n v="45468"/>
    <x v="1"/>
    <n v="6"/>
    <x v="9"/>
    <n v="7.0598489250435797E-2"/>
    <s v="No Discount"/>
  </r>
  <r>
    <s v="ORD100047"/>
    <d v="2024-03-04T00:00:00"/>
    <s v="Customer 137"/>
    <x v="1"/>
    <s v="Gujarat"/>
    <x v="2"/>
    <s v="Accessories"/>
    <x v="20"/>
    <n v="4291.29"/>
    <n v="9"/>
    <n v="0.3"/>
    <n v="231.34"/>
    <x v="7"/>
    <x v="0"/>
    <s v="Bad"/>
    <n v="476.81"/>
    <n v="45355"/>
    <x v="1"/>
    <n v="3"/>
    <x v="3"/>
    <n v="5.3909197467428213E-2"/>
    <s v="high"/>
  </r>
  <r>
    <s v="ORD100048"/>
    <d v="2025-11-26T00:00:00"/>
    <s v="Customer 151"/>
    <x v="2"/>
    <s v="Punjab"/>
    <x v="2"/>
    <s v="Phones"/>
    <x v="8"/>
    <n v="9832.6"/>
    <n v="10"/>
    <n v="0.1"/>
    <n v="-287.81"/>
    <x v="4"/>
    <x v="3"/>
    <s v="Good"/>
    <n v="983.26"/>
    <n v="45987"/>
    <x v="0"/>
    <n v="11"/>
    <x v="10"/>
    <n v="-2.9270996481093506E-2"/>
    <s v="Low"/>
  </r>
  <r>
    <s v="ORD100049"/>
    <d v="2025-08-17T00:00:00"/>
    <s v="Customer 17"/>
    <x v="3"/>
    <s v="Odisha"/>
    <x v="1"/>
    <s v="Storage"/>
    <x v="7"/>
    <n v="1748.01"/>
    <n v="3"/>
    <n v="0"/>
    <n v="437.68"/>
    <x v="1"/>
    <x v="2"/>
    <s v="Bad"/>
    <n v="582.66999999999996"/>
    <n v="45886"/>
    <x v="0"/>
    <n v="8"/>
    <x v="11"/>
    <n v="0.25038758359505953"/>
    <s v="No Discount"/>
  </r>
  <r>
    <s v="ORD100050"/>
    <d v="2024-11-19T00:00:00"/>
    <s v="Customer 133"/>
    <x v="2"/>
    <s v="Uttarakhand"/>
    <x v="0"/>
    <s v="Paper"/>
    <x v="21"/>
    <n v="3379.23"/>
    <n v="3"/>
    <n v="0.15"/>
    <n v="254.75"/>
    <x v="8"/>
    <x v="2"/>
    <s v="Bad"/>
    <n v="1126.4100000000001"/>
    <n v="45615"/>
    <x v="1"/>
    <n v="11"/>
    <x v="10"/>
    <n v="7.5386996445935911E-2"/>
    <s v="medium"/>
  </r>
  <r>
    <s v="ORD100051"/>
    <d v="2025-05-14T00:00:00"/>
    <s v="Customer 104"/>
    <x v="3"/>
    <s v="Bihar"/>
    <x v="1"/>
    <s v="Tables"/>
    <x v="9"/>
    <n v="144.11000000000001"/>
    <n v="1"/>
    <n v="0.15"/>
    <n v="12.24"/>
    <x v="8"/>
    <x v="3"/>
    <s v="Bad"/>
    <n v="144.11000000000001"/>
    <n v="45791"/>
    <x v="0"/>
    <n v="5"/>
    <x v="7"/>
    <n v="8.4935119006314619E-2"/>
    <s v="medium"/>
  </r>
  <r>
    <s v="ORD100052"/>
    <d v="2025-11-02T00:00:00"/>
    <s v="Customer 98"/>
    <x v="2"/>
    <s v="Punjab"/>
    <x v="1"/>
    <s v="Chairs"/>
    <x v="4"/>
    <n v="211.6"/>
    <n v="4"/>
    <n v="0.25"/>
    <n v="21.45"/>
    <x v="7"/>
    <x v="2"/>
    <s v="Bad"/>
    <n v="52.9"/>
    <n v="45963"/>
    <x v="0"/>
    <n v="11"/>
    <x v="10"/>
    <n v="0.10137051039697542"/>
    <s v="high"/>
  </r>
  <r>
    <s v="ORD100053"/>
    <d v="2025-03-28T00:00:00"/>
    <s v="Customer 161"/>
    <x v="2"/>
    <s v="Haryana"/>
    <x v="0"/>
    <s v="Paper"/>
    <x v="2"/>
    <n v="2255.5"/>
    <n v="2"/>
    <n v="0.25"/>
    <n v="161.21"/>
    <x v="2"/>
    <x v="0"/>
    <s v="Bad"/>
    <n v="1127.75"/>
    <n v="45744"/>
    <x v="0"/>
    <n v="3"/>
    <x v="3"/>
    <n v="7.1474174240744856E-2"/>
    <s v="high"/>
  </r>
  <r>
    <s v="ORD100054"/>
    <d v="2024-09-05T00:00:00"/>
    <s v="Customer 199"/>
    <x v="0"/>
    <s v="Telangana"/>
    <x v="1"/>
    <s v="Tables"/>
    <x v="17"/>
    <n v="6092.17"/>
    <n v="7"/>
    <n v="0.2"/>
    <n v="-501.55"/>
    <x v="8"/>
    <x v="2"/>
    <s v="Bad"/>
    <n v="870.31000000000006"/>
    <n v="45540"/>
    <x v="1"/>
    <n v="9"/>
    <x v="5"/>
    <n v="-8.2326986935689586E-2"/>
    <s v="medium"/>
  </r>
  <r>
    <s v="ORD100055"/>
    <d v="2025-03-02T00:00:00"/>
    <s v="Customer 186"/>
    <x v="0"/>
    <s v="Tamil Nadu"/>
    <x v="1"/>
    <s v="Storage"/>
    <x v="7"/>
    <n v="6303.06"/>
    <n v="9"/>
    <n v="0.15"/>
    <n v="-535.28"/>
    <x v="2"/>
    <x v="2"/>
    <s v="Good"/>
    <n v="700.34"/>
    <n v="45718"/>
    <x v="0"/>
    <n v="3"/>
    <x v="3"/>
    <n v="-8.4923830647336357E-2"/>
    <s v="medium"/>
  </r>
  <r>
    <s v="ORD100056"/>
    <d v="2025-04-14T00:00:00"/>
    <s v="Customer 144"/>
    <x v="1"/>
    <s v="Goa"/>
    <x v="0"/>
    <s v="Binders"/>
    <x v="22"/>
    <n v="4241.28"/>
    <n v="4"/>
    <n v="0.1"/>
    <n v="-99.53"/>
    <x v="0"/>
    <x v="1"/>
    <s v="Bad"/>
    <n v="1060.32"/>
    <n v="45761"/>
    <x v="0"/>
    <n v="4"/>
    <x v="8"/>
    <n v="-2.3466972234797046E-2"/>
    <s v="Low"/>
  </r>
  <r>
    <s v="ORD100057"/>
    <d v="2025-07-21T00:00:00"/>
    <s v="Customer 26"/>
    <x v="3"/>
    <s v="Assam"/>
    <x v="1"/>
    <s v="Chairs"/>
    <x v="14"/>
    <n v="4413.8999999999996"/>
    <n v="5"/>
    <n v="0.1"/>
    <n v="1054.78"/>
    <x v="5"/>
    <x v="1"/>
    <s v="Bad"/>
    <n v="882.78"/>
    <n v="45859"/>
    <x v="0"/>
    <n v="7"/>
    <x v="6"/>
    <n v="0.23896780624844244"/>
    <s v="Low"/>
  </r>
  <r>
    <s v="ORD100058"/>
    <d v="2025-03-25T00:00:00"/>
    <s v="Customer 109"/>
    <x v="2"/>
    <s v="Haryana"/>
    <x v="0"/>
    <s v="Paper"/>
    <x v="11"/>
    <n v="631.05999999999995"/>
    <n v="2"/>
    <n v="0.2"/>
    <n v="33.47"/>
    <x v="7"/>
    <x v="1"/>
    <s v="Bad"/>
    <n v="315.52999999999997"/>
    <n v="45741"/>
    <x v="0"/>
    <n v="3"/>
    <x v="3"/>
    <n v="5.3037746014642034E-2"/>
    <s v="medium"/>
  </r>
  <r>
    <s v="ORD100059"/>
    <d v="2025-08-21T00:00:00"/>
    <s v="Customer 44"/>
    <x v="1"/>
    <s v="Gujarat"/>
    <x v="1"/>
    <s v="Tables"/>
    <x v="16"/>
    <n v="3151.8"/>
    <n v="3"/>
    <n v="0.15"/>
    <n v="-313.58999999999997"/>
    <x v="2"/>
    <x v="2"/>
    <s v="Bad"/>
    <n v="1050.6000000000001"/>
    <n v="45890"/>
    <x v="0"/>
    <n v="8"/>
    <x v="11"/>
    <n v="-9.9495526365886142E-2"/>
    <s v="medium"/>
  </r>
  <r>
    <s v="ORD100060"/>
    <d v="2025-05-29T00:00:00"/>
    <s v="Customer 27"/>
    <x v="3"/>
    <s v="West Bengal"/>
    <x v="1"/>
    <s v="Tables"/>
    <x v="17"/>
    <n v="481.87"/>
    <n v="1"/>
    <n v="0"/>
    <n v="68.03"/>
    <x v="4"/>
    <x v="0"/>
    <s v="Bad"/>
    <n v="481.87"/>
    <n v="45806"/>
    <x v="0"/>
    <n v="5"/>
    <x v="7"/>
    <n v="0.14117915620395544"/>
    <s v="No Discount"/>
  </r>
  <r>
    <s v="ORD100061"/>
    <d v="2024-04-06T00:00:00"/>
    <s v="Customer 43"/>
    <x v="1"/>
    <s v="Maharashtra"/>
    <x v="2"/>
    <s v="Phones"/>
    <x v="23"/>
    <n v="227.48"/>
    <n v="4"/>
    <n v="0"/>
    <n v="26.5"/>
    <x v="0"/>
    <x v="1"/>
    <s v="Bad"/>
    <n v="56.87"/>
    <n v="45388"/>
    <x v="1"/>
    <n v="4"/>
    <x v="8"/>
    <n v="0.11649375769298401"/>
    <s v="No Discount"/>
  </r>
  <r>
    <s v="ORD100062"/>
    <d v="2024-04-29T00:00:00"/>
    <s v="Customer 92"/>
    <x v="2"/>
    <s v="Uttarakhand"/>
    <x v="0"/>
    <s v="Paper"/>
    <x v="2"/>
    <n v="393.15"/>
    <n v="1"/>
    <n v="0.25"/>
    <n v="65.510000000000005"/>
    <x v="6"/>
    <x v="1"/>
    <s v="Bad"/>
    <n v="393.15"/>
    <n v="45411"/>
    <x v="1"/>
    <n v="4"/>
    <x v="8"/>
    <n v="0.16662851329009287"/>
    <s v="high"/>
  </r>
  <r>
    <s v="ORD100063"/>
    <d v="2024-09-11T00:00:00"/>
    <s v="Customer 42"/>
    <x v="2"/>
    <s v="Uttarakhand"/>
    <x v="0"/>
    <s v="Paper"/>
    <x v="2"/>
    <n v="6072.3"/>
    <n v="6"/>
    <n v="0.05"/>
    <n v="1513.48"/>
    <x v="8"/>
    <x v="3"/>
    <s v="Bad"/>
    <n v="1012.0500000000001"/>
    <n v="45546"/>
    <x v="1"/>
    <n v="9"/>
    <x v="5"/>
    <n v="0.24924328508143537"/>
    <s v="Low"/>
  </r>
  <r>
    <s v="ORD100064"/>
    <d v="2024-02-15T00:00:00"/>
    <s v="Customer 10"/>
    <x v="0"/>
    <s v="Telangana"/>
    <x v="2"/>
    <s v="Phones"/>
    <x v="23"/>
    <n v="4085.88"/>
    <n v="4"/>
    <n v="0.25"/>
    <n v="-435.9"/>
    <x v="0"/>
    <x v="3"/>
    <s v="Bad"/>
    <n v="1021.47"/>
    <n v="45337"/>
    <x v="1"/>
    <n v="2"/>
    <x v="1"/>
    <n v="-0.10668448412581867"/>
    <s v="high"/>
  </r>
  <r>
    <s v="ORD100065"/>
    <d v="2025-02-06T00:00:00"/>
    <s v="Customer 176"/>
    <x v="3"/>
    <s v="Assam"/>
    <x v="1"/>
    <s v="Tables"/>
    <x v="9"/>
    <n v="1820.8"/>
    <n v="2"/>
    <n v="0.05"/>
    <n v="538.82000000000005"/>
    <x v="2"/>
    <x v="1"/>
    <s v="Bad"/>
    <n v="910.4"/>
    <n v="45694"/>
    <x v="0"/>
    <n v="2"/>
    <x v="1"/>
    <n v="0.29592486818980673"/>
    <s v="Low"/>
  </r>
  <r>
    <s v="ORD100066"/>
    <d v="2024-10-04T00:00:00"/>
    <s v="Customer 125"/>
    <x v="3"/>
    <s v="Bihar"/>
    <x v="1"/>
    <s v="Chairs"/>
    <x v="4"/>
    <n v="200.08"/>
    <n v="1"/>
    <n v="0.05"/>
    <n v="36.46"/>
    <x v="6"/>
    <x v="2"/>
    <s v="Bad"/>
    <n v="200.08"/>
    <n v="45569"/>
    <x v="1"/>
    <n v="10"/>
    <x v="2"/>
    <n v="0.18222710915633747"/>
    <s v="Low"/>
  </r>
  <r>
    <s v="ORD100067"/>
    <d v="2025-02-18T00:00:00"/>
    <s v="Customer 47"/>
    <x v="3"/>
    <s v="West Bengal"/>
    <x v="1"/>
    <s v="Storage"/>
    <x v="24"/>
    <n v="1923.48"/>
    <n v="6"/>
    <n v="0"/>
    <n v="725.05"/>
    <x v="1"/>
    <x v="2"/>
    <s v="Bad"/>
    <n v="320.58"/>
    <n v="45706"/>
    <x v="0"/>
    <n v="2"/>
    <x v="1"/>
    <n v="0.37694699191049552"/>
    <s v="No Discount"/>
  </r>
  <r>
    <s v="ORD100068"/>
    <d v="2024-11-09T00:00:00"/>
    <s v="Customer 183"/>
    <x v="2"/>
    <s v="Punjab"/>
    <x v="2"/>
    <s v="Computers"/>
    <x v="10"/>
    <n v="1025.8800000000001"/>
    <n v="1"/>
    <n v="0.1"/>
    <n v="231.44"/>
    <x v="8"/>
    <x v="1"/>
    <s v="Bad"/>
    <n v="1025.8800000000001"/>
    <n v="45605"/>
    <x v="1"/>
    <n v="11"/>
    <x v="10"/>
    <n v="0.22560143486567627"/>
    <s v="Low"/>
  </r>
  <r>
    <s v="ORD100069"/>
    <d v="2025-12-30T00:00:00"/>
    <s v="Customer 28"/>
    <x v="3"/>
    <s v="Odisha"/>
    <x v="1"/>
    <s v="Storage"/>
    <x v="15"/>
    <n v="650.30999999999995"/>
    <n v="3"/>
    <n v="0"/>
    <n v="44.81"/>
    <x v="0"/>
    <x v="0"/>
    <s v="Bad"/>
    <n v="216.76999999999998"/>
    <n v="46021"/>
    <x v="0"/>
    <n v="12"/>
    <x v="4"/>
    <n v="6.8905598868232082E-2"/>
    <s v="No Discount"/>
  </r>
  <r>
    <s v="ORD100070"/>
    <d v="2024-05-25T00:00:00"/>
    <s v="Customer 24"/>
    <x v="2"/>
    <s v="Haryana"/>
    <x v="0"/>
    <s v="Writing"/>
    <x v="1"/>
    <n v="5336.1"/>
    <n v="7"/>
    <n v="0.3"/>
    <n v="-195.73"/>
    <x v="1"/>
    <x v="3"/>
    <s v="Bad"/>
    <n v="762.30000000000007"/>
    <n v="45437"/>
    <x v="1"/>
    <n v="5"/>
    <x v="7"/>
    <n v="-3.6680347069957459E-2"/>
    <s v="high"/>
  </r>
  <r>
    <s v="ORD100071"/>
    <d v="2025-08-08T00:00:00"/>
    <s v="Customer 176"/>
    <x v="2"/>
    <s v="Punjab"/>
    <x v="2"/>
    <s v="Computers"/>
    <x v="10"/>
    <n v="1407.5"/>
    <n v="10"/>
    <n v="0.15"/>
    <n v="-29.92"/>
    <x v="2"/>
    <x v="0"/>
    <s v="Bad"/>
    <n v="140.75"/>
    <n v="45877"/>
    <x v="0"/>
    <n v="8"/>
    <x v="11"/>
    <n v="-2.1257548845470695E-2"/>
    <s v="medium"/>
  </r>
  <r>
    <s v="ORD100072"/>
    <d v="2025-09-12T00:00:00"/>
    <s v="Customer 121"/>
    <x v="0"/>
    <s v="Karnataka"/>
    <x v="1"/>
    <s v="Tables"/>
    <x v="17"/>
    <n v="7536.51"/>
    <n v="9"/>
    <n v="0.05"/>
    <n v="544.58000000000004"/>
    <x v="6"/>
    <x v="3"/>
    <s v="Good"/>
    <n v="837.39"/>
    <n v="45912"/>
    <x v="0"/>
    <n v="9"/>
    <x v="5"/>
    <n v="7.2258910291368286E-2"/>
    <s v="Low"/>
  </r>
  <r>
    <s v="ORD100073"/>
    <d v="2024-11-18T00:00:00"/>
    <s v="Customer 123"/>
    <x v="3"/>
    <s v="West Bengal"/>
    <x v="2"/>
    <s v="Accessories"/>
    <x v="12"/>
    <n v="2154.48"/>
    <n v="6"/>
    <n v="0"/>
    <n v="274.94"/>
    <x v="5"/>
    <x v="1"/>
    <s v="Bad"/>
    <n v="359.08"/>
    <n v="45614"/>
    <x v="1"/>
    <n v="11"/>
    <x v="10"/>
    <n v="0.12761315955590211"/>
    <s v="No Discount"/>
  </r>
  <r>
    <s v="ORD100074"/>
    <d v="2024-12-19T00:00:00"/>
    <s v="Customer 3"/>
    <x v="0"/>
    <s v="Kerala"/>
    <x v="2"/>
    <s v="Computers"/>
    <x v="10"/>
    <n v="561.29999999999995"/>
    <n v="6"/>
    <n v="0.25"/>
    <n v="29.51"/>
    <x v="3"/>
    <x v="1"/>
    <s v="Bad"/>
    <n v="93.55"/>
    <n v="45645"/>
    <x v="1"/>
    <n v="12"/>
    <x v="4"/>
    <n v="5.2574380901478715E-2"/>
    <s v="high"/>
  </r>
  <r>
    <s v="ORD100075"/>
    <d v="2024-12-20T00:00:00"/>
    <s v="Customer 41"/>
    <x v="3"/>
    <s v="West Bengal"/>
    <x v="1"/>
    <s v="Storage"/>
    <x v="15"/>
    <n v="768.74"/>
    <n v="2"/>
    <n v="0"/>
    <n v="100.64"/>
    <x v="3"/>
    <x v="1"/>
    <s v="Bad"/>
    <n v="384.37"/>
    <n v="45646"/>
    <x v="1"/>
    <n v="12"/>
    <x v="4"/>
    <n v="0.13091552410437859"/>
    <s v="No Discount"/>
  </r>
  <r>
    <s v="ORD100076"/>
    <d v="2025-01-03T00:00:00"/>
    <s v="Customer 21"/>
    <x v="3"/>
    <s v="Bihar"/>
    <x v="2"/>
    <s v="Accessories"/>
    <x v="12"/>
    <n v="1871.22"/>
    <n v="2"/>
    <n v="0.2"/>
    <n v="-72.510000000000005"/>
    <x v="3"/>
    <x v="1"/>
    <s v="Bad"/>
    <n v="935.61"/>
    <n v="45660"/>
    <x v="0"/>
    <n v="1"/>
    <x v="0"/>
    <n v="-3.8750120242408696E-2"/>
    <s v="medium"/>
  </r>
  <r>
    <s v="ORD100077"/>
    <d v="2024-04-27T00:00:00"/>
    <s v="Customer 30"/>
    <x v="2"/>
    <s v="Uttarakhand"/>
    <x v="0"/>
    <s v="Binders"/>
    <x v="22"/>
    <n v="3532.72"/>
    <n v="8"/>
    <n v="0.3"/>
    <n v="225.66"/>
    <x v="3"/>
    <x v="2"/>
    <s v="Bad"/>
    <n v="441.59"/>
    <n v="45409"/>
    <x v="1"/>
    <n v="4"/>
    <x v="8"/>
    <n v="6.3877125840711979E-2"/>
    <s v="high"/>
  </r>
  <r>
    <s v="ORD100078"/>
    <d v="2025-06-18T00:00:00"/>
    <s v="Customer 200"/>
    <x v="3"/>
    <s v="Bihar"/>
    <x v="0"/>
    <s v="Writing"/>
    <x v="3"/>
    <n v="76.25"/>
    <n v="1"/>
    <n v="0.25"/>
    <n v="-11.86"/>
    <x v="8"/>
    <x v="1"/>
    <s v="Bad"/>
    <n v="76.25"/>
    <n v="45826"/>
    <x v="0"/>
    <n v="6"/>
    <x v="9"/>
    <n v="-0.15554098360655738"/>
    <s v="high"/>
  </r>
  <r>
    <s v="ORD100079"/>
    <d v="2024-01-11T00:00:00"/>
    <s v="Customer 185"/>
    <x v="0"/>
    <s v="Kerala"/>
    <x v="2"/>
    <s v="Computers"/>
    <x v="6"/>
    <n v="1343.16"/>
    <n v="4"/>
    <n v="0.2"/>
    <n v="25.32"/>
    <x v="1"/>
    <x v="1"/>
    <s v="Bad"/>
    <n v="335.79"/>
    <n v="45302"/>
    <x v="1"/>
    <n v="1"/>
    <x v="0"/>
    <n v="1.8851067631555436E-2"/>
    <s v="medium"/>
  </r>
  <r>
    <s v="ORD100080"/>
    <d v="2025-04-30T00:00:00"/>
    <s v="Customer 139"/>
    <x v="0"/>
    <s v="Tamil Nadu"/>
    <x v="0"/>
    <s v="Writing"/>
    <x v="19"/>
    <n v="6681.51"/>
    <n v="9"/>
    <n v="0.05"/>
    <n v="865.64"/>
    <x v="1"/>
    <x v="0"/>
    <s v="Good"/>
    <n v="742.39"/>
    <n v="45777"/>
    <x v="0"/>
    <n v="4"/>
    <x v="8"/>
    <n v="0.12955754013688522"/>
    <s v="Low"/>
  </r>
  <r>
    <s v="ORD100081"/>
    <d v="2025-09-07T00:00:00"/>
    <s v="Customer 105"/>
    <x v="0"/>
    <s v="Karnataka"/>
    <x v="0"/>
    <s v="Paper"/>
    <x v="2"/>
    <n v="3095.55"/>
    <n v="3"/>
    <n v="0"/>
    <n v="593.66999999999996"/>
    <x v="9"/>
    <x v="2"/>
    <s v="Bad"/>
    <n v="1031.8500000000001"/>
    <n v="45907"/>
    <x v="0"/>
    <n v="9"/>
    <x v="5"/>
    <n v="0.19178175122353053"/>
    <s v="No Discount"/>
  </r>
  <r>
    <s v="ORD100082"/>
    <d v="2025-04-21T00:00:00"/>
    <s v="Customer 164"/>
    <x v="1"/>
    <s v="Rajasthan"/>
    <x v="0"/>
    <s v="Writing"/>
    <x v="1"/>
    <n v="2925.52"/>
    <n v="4"/>
    <n v="0.2"/>
    <n v="70.739999999999995"/>
    <x v="3"/>
    <x v="0"/>
    <s v="Bad"/>
    <n v="731.38"/>
    <n v="45768"/>
    <x v="0"/>
    <n v="4"/>
    <x v="8"/>
    <n v="2.4180316661653312E-2"/>
    <s v="medium"/>
  </r>
  <r>
    <s v="ORD100083"/>
    <d v="2024-09-16T00:00:00"/>
    <s v="Customer 138"/>
    <x v="0"/>
    <s v="Kerala"/>
    <x v="1"/>
    <s v="Tables"/>
    <x v="17"/>
    <n v="2395.2600000000002"/>
    <n v="9"/>
    <n v="0.05"/>
    <n v="877.36"/>
    <x v="8"/>
    <x v="1"/>
    <s v="Bad"/>
    <n v="266.14000000000004"/>
    <n v="45551"/>
    <x v="1"/>
    <n v="9"/>
    <x v="5"/>
    <n v="0.36629008959361403"/>
    <s v="Low"/>
  </r>
  <r>
    <s v="ORD100084"/>
    <d v="2025-10-01T00:00:00"/>
    <s v="Customer 143"/>
    <x v="1"/>
    <s v="Gujarat"/>
    <x v="1"/>
    <s v="Storage"/>
    <x v="7"/>
    <n v="5777.76"/>
    <n v="6"/>
    <n v="0.1"/>
    <n v="1798.58"/>
    <x v="9"/>
    <x v="1"/>
    <s v="Bad"/>
    <n v="962.96"/>
    <n v="45931"/>
    <x v="0"/>
    <n v="10"/>
    <x v="2"/>
    <n v="0.3112936501343081"/>
    <s v="Low"/>
  </r>
  <r>
    <s v="ORD100085"/>
    <d v="2024-08-08T00:00:00"/>
    <s v="Customer 72"/>
    <x v="2"/>
    <s v="Delhi"/>
    <x v="0"/>
    <s v="Paper"/>
    <x v="2"/>
    <n v="5832.99"/>
    <n v="9"/>
    <n v="0.05"/>
    <n v="2061.41"/>
    <x v="8"/>
    <x v="0"/>
    <s v="Good"/>
    <n v="648.11"/>
    <n v="45512"/>
    <x v="1"/>
    <n v="8"/>
    <x v="11"/>
    <n v="0.35340537185902943"/>
    <s v="Low"/>
  </r>
  <r>
    <s v="ORD100086"/>
    <d v="2025-11-15T00:00:00"/>
    <s v="Customer 14"/>
    <x v="1"/>
    <s v="Goa"/>
    <x v="1"/>
    <s v="Tables"/>
    <x v="9"/>
    <n v="8823.2000000000007"/>
    <n v="10"/>
    <n v="0.3"/>
    <n v="582.89"/>
    <x v="2"/>
    <x v="1"/>
    <s v="Good"/>
    <n v="882.32"/>
    <n v="45976"/>
    <x v="0"/>
    <n v="11"/>
    <x v="10"/>
    <n v="6.6063333031099819E-2"/>
    <s v="high"/>
  </r>
  <r>
    <s v="ORD100087"/>
    <d v="2024-05-15T00:00:00"/>
    <s v="Customer 53"/>
    <x v="1"/>
    <s v="Rajasthan"/>
    <x v="1"/>
    <s v="Storage"/>
    <x v="15"/>
    <n v="1629.2"/>
    <n v="10"/>
    <n v="0.3"/>
    <n v="-122.43"/>
    <x v="3"/>
    <x v="2"/>
    <s v="Bad"/>
    <n v="162.92000000000002"/>
    <n v="45427"/>
    <x v="1"/>
    <n v="5"/>
    <x v="7"/>
    <n v="-7.5147311563957778E-2"/>
    <s v="high"/>
  </r>
  <r>
    <s v="ORD100088"/>
    <d v="2024-12-31T00:00:00"/>
    <s v="Customer 166"/>
    <x v="0"/>
    <s v="Tamil Nadu"/>
    <x v="2"/>
    <s v="Accessories"/>
    <x v="12"/>
    <n v="5188.9799999999996"/>
    <n v="6"/>
    <n v="0.2"/>
    <n v="-777.88"/>
    <x v="0"/>
    <x v="2"/>
    <s v="Bad"/>
    <n v="864.82999999999993"/>
    <n v="45657"/>
    <x v="1"/>
    <n v="12"/>
    <x v="4"/>
    <n v="-0.14991000158027204"/>
    <s v="medium"/>
  </r>
  <r>
    <s v="ORD100089"/>
    <d v="2025-06-20T00:00:00"/>
    <s v="Customer 52"/>
    <x v="3"/>
    <s v="Odisha"/>
    <x v="1"/>
    <s v="Tables"/>
    <x v="9"/>
    <n v="2389.2600000000002"/>
    <n v="6"/>
    <n v="0.1"/>
    <n v="472.22"/>
    <x v="4"/>
    <x v="1"/>
    <s v="Bad"/>
    <n v="398.21000000000004"/>
    <n v="45828"/>
    <x v="0"/>
    <n v="6"/>
    <x v="9"/>
    <n v="0.19764278479529226"/>
    <s v="Low"/>
  </r>
  <r>
    <s v="ORD100090"/>
    <d v="2025-02-27T00:00:00"/>
    <s v="Customer 131"/>
    <x v="3"/>
    <s v="Odisha"/>
    <x v="0"/>
    <s v="Binders"/>
    <x v="22"/>
    <n v="5299"/>
    <n v="10"/>
    <n v="0.15"/>
    <n v="69.31"/>
    <x v="8"/>
    <x v="2"/>
    <s v="Good"/>
    <n v="529.9"/>
    <n v="45715"/>
    <x v="0"/>
    <n v="2"/>
    <x v="1"/>
    <n v="1.307982638233629E-2"/>
    <s v="medium"/>
  </r>
  <r>
    <s v="ORD100091"/>
    <d v="2025-12-14T00:00:00"/>
    <s v="Customer 191"/>
    <x v="0"/>
    <s v="Tamil Nadu"/>
    <x v="2"/>
    <s v="Computers"/>
    <x v="10"/>
    <n v="3124.14"/>
    <n v="6"/>
    <n v="0"/>
    <n v="372.2"/>
    <x v="4"/>
    <x v="0"/>
    <s v="Bad"/>
    <n v="520.68999999999994"/>
    <n v="46005"/>
    <x v="0"/>
    <n v="12"/>
    <x v="4"/>
    <n v="0.11913678644362929"/>
    <s v="No Discount"/>
  </r>
  <r>
    <s v="ORD100092"/>
    <d v="2025-09-04T00:00:00"/>
    <s v="Customer 11"/>
    <x v="1"/>
    <s v="Maharashtra"/>
    <x v="0"/>
    <s v="Binders"/>
    <x v="22"/>
    <n v="1693.2"/>
    <n v="6"/>
    <n v="0.2"/>
    <n v="-136.4"/>
    <x v="2"/>
    <x v="3"/>
    <s v="Bad"/>
    <n v="282.2"/>
    <n v="45904"/>
    <x v="0"/>
    <n v="9"/>
    <x v="5"/>
    <n v="-8.0557524214505086E-2"/>
    <s v="medium"/>
  </r>
  <r>
    <s v="ORD100093"/>
    <d v="2025-08-16T00:00:00"/>
    <s v="Customer 95"/>
    <x v="3"/>
    <s v="Bihar"/>
    <x v="1"/>
    <s v="Tables"/>
    <x v="9"/>
    <n v="708.04"/>
    <n v="4"/>
    <n v="0.1"/>
    <n v="118.14"/>
    <x v="4"/>
    <x v="2"/>
    <s v="Bad"/>
    <n v="177.01"/>
    <n v="45885"/>
    <x v="0"/>
    <n v="8"/>
    <x v="11"/>
    <n v="0.16685497994463591"/>
    <s v="Low"/>
  </r>
  <r>
    <s v="ORD100094"/>
    <d v="2024-12-30T00:00:00"/>
    <s v="Customer 48"/>
    <x v="3"/>
    <s v="Odisha"/>
    <x v="0"/>
    <s v="Binders"/>
    <x v="25"/>
    <n v="374.34"/>
    <n v="3"/>
    <n v="0.2"/>
    <n v="31.54"/>
    <x v="8"/>
    <x v="2"/>
    <s v="Bad"/>
    <n v="124.77999999999999"/>
    <n v="45656"/>
    <x v="1"/>
    <n v="12"/>
    <x v="4"/>
    <n v="8.425495538814981E-2"/>
    <s v="medium"/>
  </r>
  <r>
    <s v="ORD100095"/>
    <d v="2024-12-16T00:00:00"/>
    <s v="Customer 108"/>
    <x v="3"/>
    <s v="Odisha"/>
    <x v="0"/>
    <s v="Binders"/>
    <x v="22"/>
    <n v="607.28"/>
    <n v="2"/>
    <n v="0.25"/>
    <n v="-89.79"/>
    <x v="1"/>
    <x v="3"/>
    <s v="Bad"/>
    <n v="303.64"/>
    <n v="45642"/>
    <x v="1"/>
    <n v="12"/>
    <x v="4"/>
    <n v="-0.14785601370043475"/>
    <s v="high"/>
  </r>
  <r>
    <s v="ORD100096"/>
    <d v="2025-12-15T00:00:00"/>
    <s v="Customer 38"/>
    <x v="0"/>
    <s v="Karnataka"/>
    <x v="2"/>
    <s v="Computers"/>
    <x v="6"/>
    <n v="682.04"/>
    <n v="4"/>
    <n v="0.3"/>
    <n v="67.489999999999995"/>
    <x v="8"/>
    <x v="3"/>
    <s v="Bad"/>
    <n v="170.51"/>
    <n v="46006"/>
    <x v="0"/>
    <n v="12"/>
    <x v="4"/>
    <n v="9.8953140578265208E-2"/>
    <s v="high"/>
  </r>
  <r>
    <s v="ORD100097"/>
    <d v="2024-06-03T00:00:00"/>
    <s v="Customer 69"/>
    <x v="1"/>
    <s v="Maharashtra"/>
    <x v="0"/>
    <s v="Writing"/>
    <x v="1"/>
    <n v="4500.5"/>
    <n v="5"/>
    <n v="0.3"/>
    <n v="331.97"/>
    <x v="2"/>
    <x v="1"/>
    <s v="Bad"/>
    <n v="900.1"/>
    <n v="45446"/>
    <x v="1"/>
    <n v="6"/>
    <x v="9"/>
    <n v="7.3762915231640941E-2"/>
    <s v="high"/>
  </r>
  <r>
    <s v="ORD100098"/>
    <d v="2025-11-03T00:00:00"/>
    <s v="Customer 124"/>
    <x v="2"/>
    <s v="Uttarakhand"/>
    <x v="0"/>
    <s v="Paper"/>
    <x v="21"/>
    <n v="4682"/>
    <n v="10"/>
    <n v="0.15"/>
    <n v="108.83"/>
    <x v="2"/>
    <x v="1"/>
    <s v="Bad"/>
    <n v="468.2"/>
    <n v="45964"/>
    <x v="0"/>
    <n v="11"/>
    <x v="10"/>
    <n v="2.3244340025630073E-2"/>
    <s v="medium"/>
  </r>
  <r>
    <s v="ORD100099"/>
    <d v="2025-07-05T00:00:00"/>
    <s v="Customer 190"/>
    <x v="3"/>
    <s v="West Bengal"/>
    <x v="0"/>
    <s v="Binders"/>
    <x v="0"/>
    <n v="2116.17"/>
    <n v="9"/>
    <n v="0.15"/>
    <n v="136.69999999999999"/>
    <x v="5"/>
    <x v="3"/>
    <s v="Bad"/>
    <n v="235.13"/>
    <n v="45843"/>
    <x v="0"/>
    <n v="7"/>
    <x v="6"/>
    <n v="6.4597834767528117E-2"/>
    <s v="medium"/>
  </r>
  <r>
    <s v="ORD100100"/>
    <d v="2025-02-15T00:00:00"/>
    <s v="Customer 186"/>
    <x v="2"/>
    <s v="Uttarakhand"/>
    <x v="0"/>
    <s v="Paper"/>
    <x v="11"/>
    <n v="635.54"/>
    <n v="2"/>
    <n v="0.2"/>
    <n v="112.32"/>
    <x v="7"/>
    <x v="3"/>
    <s v="Bad"/>
    <n v="317.77"/>
    <n v="45703"/>
    <x v="0"/>
    <n v="2"/>
    <x v="1"/>
    <n v="0.17673159832583316"/>
    <s v="medium"/>
  </r>
  <r>
    <s v="ORD100101"/>
    <d v="2024-02-12T00:00:00"/>
    <s v="Customer 125"/>
    <x v="0"/>
    <s v="Tamil Nadu"/>
    <x v="0"/>
    <s v="Writing"/>
    <x v="1"/>
    <n v="1950.06"/>
    <n v="3"/>
    <n v="0.05"/>
    <n v="204.4"/>
    <x v="1"/>
    <x v="3"/>
    <s v="Bad"/>
    <n v="650.02"/>
    <n v="45334"/>
    <x v="1"/>
    <n v="2"/>
    <x v="1"/>
    <n v="0.10481728767319981"/>
    <s v="Low"/>
  </r>
  <r>
    <s v="ORD100102"/>
    <d v="2024-09-21T00:00:00"/>
    <s v="Customer 12"/>
    <x v="1"/>
    <s v="Gujarat"/>
    <x v="1"/>
    <s v="Chairs"/>
    <x v="14"/>
    <n v="4904.46"/>
    <n v="6"/>
    <n v="0"/>
    <n v="2115.63"/>
    <x v="6"/>
    <x v="0"/>
    <s v="Bad"/>
    <n v="817.41"/>
    <n v="45556"/>
    <x v="1"/>
    <n v="9"/>
    <x v="5"/>
    <n v="0.43136859103754543"/>
    <s v="No Discount"/>
  </r>
  <r>
    <s v="ORD100103"/>
    <d v="2025-06-30T00:00:00"/>
    <s v="Customer 86"/>
    <x v="2"/>
    <s v="Delhi"/>
    <x v="1"/>
    <s v="Tables"/>
    <x v="16"/>
    <n v="5038.88"/>
    <n v="7"/>
    <n v="0.25"/>
    <n v="-690.95"/>
    <x v="2"/>
    <x v="1"/>
    <s v="Bad"/>
    <n v="719.84"/>
    <n v="45838"/>
    <x v="0"/>
    <n v="6"/>
    <x v="9"/>
    <n v="-0.13712372590734451"/>
    <s v="high"/>
  </r>
  <r>
    <s v="ORD100104"/>
    <d v="2024-07-28T00:00:00"/>
    <s v="Customer 132"/>
    <x v="0"/>
    <s v="Tamil Nadu"/>
    <x v="1"/>
    <s v="Tables"/>
    <x v="16"/>
    <n v="1862.9"/>
    <n v="10"/>
    <n v="0.05"/>
    <n v="164.13"/>
    <x v="4"/>
    <x v="3"/>
    <s v="Bad"/>
    <n v="186.29000000000002"/>
    <n v="45501"/>
    <x v="1"/>
    <n v="7"/>
    <x v="6"/>
    <n v="8.8104568146438342E-2"/>
    <s v="Low"/>
  </r>
  <r>
    <s v="ORD100105"/>
    <d v="2025-03-07T00:00:00"/>
    <s v="Customer 78"/>
    <x v="3"/>
    <s v="Bihar"/>
    <x v="2"/>
    <s v="Phones"/>
    <x v="13"/>
    <n v="5749.47"/>
    <n v="9"/>
    <n v="0.1"/>
    <n v="-111.31"/>
    <x v="5"/>
    <x v="1"/>
    <s v="Good"/>
    <n v="638.83000000000004"/>
    <n v="45723"/>
    <x v="0"/>
    <n v="3"/>
    <x v="3"/>
    <n v="-1.9360045360702811E-2"/>
    <s v="Low"/>
  </r>
  <r>
    <s v="ORD100106"/>
    <d v="2024-04-23T00:00:00"/>
    <s v="Customer 67"/>
    <x v="0"/>
    <s v="Kerala"/>
    <x v="1"/>
    <s v="Chairs"/>
    <x v="14"/>
    <n v="2452.08"/>
    <n v="3"/>
    <n v="0.25"/>
    <n v="286.58999999999997"/>
    <x v="2"/>
    <x v="1"/>
    <s v="Bad"/>
    <n v="817.36"/>
    <n v="45405"/>
    <x v="1"/>
    <n v="4"/>
    <x v="8"/>
    <n v="0.11687628462366643"/>
    <s v="high"/>
  </r>
  <r>
    <s v="ORD100107"/>
    <d v="2025-11-12T00:00:00"/>
    <s v="Customer 122"/>
    <x v="2"/>
    <s v="Haryana"/>
    <x v="2"/>
    <s v="Computers"/>
    <x v="26"/>
    <n v="9498.48"/>
    <n v="8"/>
    <n v="0.15"/>
    <n v="479.9"/>
    <x v="3"/>
    <x v="3"/>
    <s v="Good"/>
    <n v="1187.31"/>
    <n v="45973"/>
    <x v="0"/>
    <n v="11"/>
    <x v="10"/>
    <n v="5.0523873293411153E-2"/>
    <s v="medium"/>
  </r>
  <r>
    <s v="ORD100108"/>
    <d v="2025-06-02T00:00:00"/>
    <s v="Customer 139"/>
    <x v="1"/>
    <s v="Goa"/>
    <x v="1"/>
    <s v="Tables"/>
    <x v="9"/>
    <n v="3163.2"/>
    <n v="3"/>
    <n v="0.3"/>
    <n v="114.73"/>
    <x v="9"/>
    <x v="2"/>
    <s v="Bad"/>
    <n v="1054.3999999999999"/>
    <n v="45810"/>
    <x v="0"/>
    <n v="6"/>
    <x v="9"/>
    <n v="3.6270232675771376E-2"/>
    <s v="high"/>
  </r>
  <r>
    <s v="ORD100109"/>
    <d v="2025-03-27T00:00:00"/>
    <s v="Customer 89"/>
    <x v="3"/>
    <s v="West Bengal"/>
    <x v="2"/>
    <s v="Accessories"/>
    <x v="12"/>
    <n v="72.599999999999994"/>
    <n v="4"/>
    <n v="0"/>
    <n v="4.68"/>
    <x v="0"/>
    <x v="2"/>
    <s v="Bad"/>
    <n v="18.149999999999999"/>
    <n v="45743"/>
    <x v="0"/>
    <n v="3"/>
    <x v="3"/>
    <n v="6.4462809917355368E-2"/>
    <s v="No Discount"/>
  </r>
  <r>
    <s v="ORD100110"/>
    <d v="2025-01-04T00:00:00"/>
    <s v="Customer 185"/>
    <x v="2"/>
    <s v="Delhi"/>
    <x v="2"/>
    <s v="Accessories"/>
    <x v="12"/>
    <n v="2205.54"/>
    <n v="2"/>
    <n v="0.3"/>
    <n v="-424.47"/>
    <x v="6"/>
    <x v="0"/>
    <s v="Bad"/>
    <n v="1102.77"/>
    <n v="45661"/>
    <x v="0"/>
    <n v="1"/>
    <x v="0"/>
    <n v="-0.19245626921298187"/>
    <s v="high"/>
  </r>
  <r>
    <s v="ORD100111"/>
    <d v="2024-01-21T00:00:00"/>
    <s v="Customer 92"/>
    <x v="1"/>
    <s v="Gujarat"/>
    <x v="1"/>
    <s v="Tables"/>
    <x v="17"/>
    <n v="1273.83"/>
    <n v="3"/>
    <n v="0.2"/>
    <n v="95.16"/>
    <x v="7"/>
    <x v="3"/>
    <s v="Bad"/>
    <n v="424.60999999999996"/>
    <n v="45312"/>
    <x v="1"/>
    <n v="1"/>
    <x v="0"/>
    <n v="7.4703845882103576E-2"/>
    <s v="medium"/>
  </r>
  <r>
    <s v="ORD100112"/>
    <d v="2025-10-02T00:00:00"/>
    <s v="Customer 10"/>
    <x v="1"/>
    <s v="Maharashtra"/>
    <x v="2"/>
    <s v="Phones"/>
    <x v="23"/>
    <n v="4671.59"/>
    <n v="7"/>
    <n v="0.05"/>
    <n v="378.52"/>
    <x v="6"/>
    <x v="3"/>
    <s v="Bad"/>
    <n v="667.37"/>
    <n v="45932"/>
    <x v="0"/>
    <n v="10"/>
    <x v="2"/>
    <n v="8.102594619818948E-2"/>
    <s v="Low"/>
  </r>
  <r>
    <s v="ORD100113"/>
    <d v="2024-09-02T00:00:00"/>
    <s v="Customer 179"/>
    <x v="1"/>
    <s v="Maharashtra"/>
    <x v="2"/>
    <s v="Phones"/>
    <x v="23"/>
    <n v="5792.94"/>
    <n v="6"/>
    <n v="0.15"/>
    <n v="1438.99"/>
    <x v="5"/>
    <x v="2"/>
    <s v="Bad"/>
    <n v="965.4899999999999"/>
    <n v="45537"/>
    <x v="1"/>
    <n v="9"/>
    <x v="5"/>
    <n v="0.24840409187735418"/>
    <s v="medium"/>
  </r>
  <r>
    <s v="ORD100114"/>
    <d v="2025-07-28T00:00:00"/>
    <s v="Customer 16"/>
    <x v="0"/>
    <s v="Tamil Nadu"/>
    <x v="0"/>
    <s v="Writing"/>
    <x v="1"/>
    <n v="879.2"/>
    <n v="7"/>
    <n v="0.15"/>
    <n v="164.59"/>
    <x v="2"/>
    <x v="2"/>
    <s v="Bad"/>
    <n v="125.60000000000001"/>
    <n v="45866"/>
    <x v="0"/>
    <n v="7"/>
    <x v="6"/>
    <n v="0.18720427661510464"/>
    <s v="medium"/>
  </r>
  <r>
    <s v="ORD100115"/>
    <d v="2024-07-04T00:00:00"/>
    <s v="Customer 95"/>
    <x v="0"/>
    <s v="Tamil Nadu"/>
    <x v="0"/>
    <s v="Binders"/>
    <x v="25"/>
    <n v="3731.34"/>
    <n v="6"/>
    <n v="0.2"/>
    <n v="846.82"/>
    <x v="2"/>
    <x v="1"/>
    <s v="Bad"/>
    <n v="621.89"/>
    <n v="45477"/>
    <x v="1"/>
    <n v="7"/>
    <x v="6"/>
    <n v="0.22694795971420456"/>
    <s v="medium"/>
  </r>
  <r>
    <s v="ORD100116"/>
    <d v="2024-10-26T00:00:00"/>
    <s v="Customer 156"/>
    <x v="3"/>
    <s v="Bihar"/>
    <x v="1"/>
    <s v="Chairs"/>
    <x v="4"/>
    <n v="416.8"/>
    <n v="10"/>
    <n v="0"/>
    <n v="155.55000000000001"/>
    <x v="9"/>
    <x v="3"/>
    <s v="Bad"/>
    <n v="41.68"/>
    <n v="45591"/>
    <x v="1"/>
    <n v="10"/>
    <x v="2"/>
    <n v="0.37320057581573896"/>
    <s v="No Discount"/>
  </r>
  <r>
    <s v="ORD100117"/>
    <d v="2025-06-28T00:00:00"/>
    <s v="Customer 95"/>
    <x v="0"/>
    <s v="Karnataka"/>
    <x v="0"/>
    <s v="Writing"/>
    <x v="3"/>
    <n v="11511.7"/>
    <n v="10"/>
    <n v="0.2"/>
    <n v="1606.08"/>
    <x v="1"/>
    <x v="3"/>
    <s v="Good"/>
    <n v="1151.17"/>
    <n v="45836"/>
    <x v="0"/>
    <n v="6"/>
    <x v="9"/>
    <n v="0.13951718686206205"/>
    <s v="medium"/>
  </r>
  <r>
    <s v="ORD100118"/>
    <d v="2025-12-24T00:00:00"/>
    <s v="Customer 176"/>
    <x v="2"/>
    <s v="Delhi"/>
    <x v="2"/>
    <s v="Accessories"/>
    <x v="18"/>
    <n v="4603.12"/>
    <n v="8"/>
    <n v="0.15"/>
    <n v="292.55"/>
    <x v="0"/>
    <x v="3"/>
    <s v="Bad"/>
    <n v="575.39"/>
    <n v="46015"/>
    <x v="0"/>
    <n v="12"/>
    <x v="4"/>
    <n v="6.3554719407706087E-2"/>
    <s v="medium"/>
  </r>
  <r>
    <s v="ORD100119"/>
    <d v="2024-03-21T00:00:00"/>
    <s v="Customer 127"/>
    <x v="3"/>
    <s v="Bihar"/>
    <x v="2"/>
    <s v="Accessories"/>
    <x v="18"/>
    <n v="4821.6000000000004"/>
    <n v="8"/>
    <n v="0.3"/>
    <n v="487.62"/>
    <x v="8"/>
    <x v="2"/>
    <s v="Bad"/>
    <n v="602.70000000000005"/>
    <n v="45372"/>
    <x v="1"/>
    <n v="3"/>
    <x v="3"/>
    <n v="0.10113240418118466"/>
    <s v="high"/>
  </r>
  <r>
    <s v="ORD100120"/>
    <d v="2024-05-24T00:00:00"/>
    <s v="Customer 29"/>
    <x v="2"/>
    <s v="Haryana"/>
    <x v="0"/>
    <s v="Writing"/>
    <x v="1"/>
    <n v="235.08"/>
    <n v="1"/>
    <n v="0"/>
    <n v="40.97"/>
    <x v="5"/>
    <x v="3"/>
    <s v="Bad"/>
    <n v="235.08"/>
    <n v="45436"/>
    <x v="1"/>
    <n v="5"/>
    <x v="7"/>
    <n v="0.17428109579717541"/>
    <s v="No Discount"/>
  </r>
  <r>
    <s v="ORD100121"/>
    <d v="2025-01-14T00:00:00"/>
    <s v="Customer 14"/>
    <x v="3"/>
    <s v="West Bengal"/>
    <x v="1"/>
    <s v="Tables"/>
    <x v="17"/>
    <n v="6252.24"/>
    <n v="6"/>
    <n v="0.25"/>
    <n v="607.07000000000005"/>
    <x v="5"/>
    <x v="1"/>
    <s v="Bad"/>
    <n v="1042.04"/>
    <n v="45671"/>
    <x v="0"/>
    <n v="1"/>
    <x v="0"/>
    <n v="9.7096400650007048E-2"/>
    <s v="high"/>
  </r>
  <r>
    <s v="ORD100122"/>
    <d v="2024-12-10T00:00:00"/>
    <s v="Customer 120"/>
    <x v="3"/>
    <s v="West Bengal"/>
    <x v="1"/>
    <s v="Chairs"/>
    <x v="5"/>
    <n v="3046.82"/>
    <n v="7"/>
    <n v="0.15"/>
    <n v="726.68"/>
    <x v="7"/>
    <x v="2"/>
    <s v="Bad"/>
    <n v="435.26000000000005"/>
    <n v="45636"/>
    <x v="1"/>
    <n v="12"/>
    <x v="4"/>
    <n v="0.23850440787443955"/>
    <s v="medium"/>
  </r>
  <r>
    <s v="ORD100123"/>
    <d v="2024-03-01T00:00:00"/>
    <s v="Customer 117"/>
    <x v="3"/>
    <s v="West Bengal"/>
    <x v="0"/>
    <s v="Binders"/>
    <x v="0"/>
    <n v="7186.88"/>
    <n v="8"/>
    <n v="0.1"/>
    <n v="248.3"/>
    <x v="5"/>
    <x v="0"/>
    <s v="Good"/>
    <n v="898.36"/>
    <n v="45352"/>
    <x v="1"/>
    <n v="3"/>
    <x v="3"/>
    <n v="3.4549067189100141E-2"/>
    <s v="Low"/>
  </r>
  <r>
    <s v="ORD100124"/>
    <d v="2024-07-26T00:00:00"/>
    <s v="Customer 178"/>
    <x v="2"/>
    <s v="Punjab"/>
    <x v="2"/>
    <s v="Accessories"/>
    <x v="18"/>
    <n v="7201.2"/>
    <n v="10"/>
    <n v="0.1"/>
    <n v="-236.61"/>
    <x v="7"/>
    <x v="2"/>
    <s v="Good"/>
    <n v="720.12"/>
    <n v="45499"/>
    <x v="1"/>
    <n v="7"/>
    <x v="6"/>
    <n v="-3.2857023829361773E-2"/>
    <s v="Low"/>
  </r>
  <r>
    <s v="ORD100125"/>
    <d v="2024-10-07T00:00:00"/>
    <s v="Customer 64"/>
    <x v="2"/>
    <s v="Haryana"/>
    <x v="0"/>
    <s v="Writing"/>
    <x v="19"/>
    <n v="3163.8"/>
    <n v="6"/>
    <n v="0"/>
    <n v="428.01"/>
    <x v="6"/>
    <x v="3"/>
    <s v="Bad"/>
    <n v="527.30000000000007"/>
    <n v="45572"/>
    <x v="1"/>
    <n v="10"/>
    <x v="2"/>
    <n v="0.13528351981794043"/>
    <s v="No Discount"/>
  </r>
  <r>
    <s v="ORD100126"/>
    <d v="2024-04-11T00:00:00"/>
    <s v="Customer 87"/>
    <x v="1"/>
    <s v="Gujarat"/>
    <x v="1"/>
    <s v="Chairs"/>
    <x v="4"/>
    <n v="349.36"/>
    <n v="1"/>
    <n v="0.15"/>
    <n v="98.56"/>
    <x v="0"/>
    <x v="0"/>
    <s v="Bad"/>
    <n v="349.36"/>
    <n v="45393"/>
    <x v="1"/>
    <n v="4"/>
    <x v="8"/>
    <n v="0.28211586901763225"/>
    <s v="medium"/>
  </r>
  <r>
    <s v="ORD100127"/>
    <d v="2024-09-07T00:00:00"/>
    <s v="Customer 100"/>
    <x v="2"/>
    <s v="Haryana"/>
    <x v="0"/>
    <s v="Writing"/>
    <x v="19"/>
    <n v="763.62"/>
    <n v="2"/>
    <n v="0.1"/>
    <n v="198.23"/>
    <x v="9"/>
    <x v="2"/>
    <s v="Bad"/>
    <n v="381.81"/>
    <n v="45542"/>
    <x v="1"/>
    <n v="9"/>
    <x v="5"/>
    <n v="0.25959246745763598"/>
    <s v="Low"/>
  </r>
  <r>
    <s v="ORD100128"/>
    <d v="2024-08-22T00:00:00"/>
    <s v="Customer 186"/>
    <x v="0"/>
    <s v="Telangana"/>
    <x v="1"/>
    <s v="Chairs"/>
    <x v="5"/>
    <n v="1716.88"/>
    <n v="8"/>
    <n v="0.15"/>
    <n v="186.44"/>
    <x v="0"/>
    <x v="1"/>
    <s v="Bad"/>
    <n v="214.61"/>
    <n v="45526"/>
    <x v="1"/>
    <n v="8"/>
    <x v="11"/>
    <n v="0.1085923302735194"/>
    <s v="medium"/>
  </r>
  <r>
    <s v="ORD100129"/>
    <d v="2025-04-05T00:00:00"/>
    <s v="Customer 105"/>
    <x v="0"/>
    <s v="Telangana"/>
    <x v="0"/>
    <s v="Binders"/>
    <x v="22"/>
    <n v="1169.3900000000001"/>
    <n v="1"/>
    <n v="0.25"/>
    <n v="100.02"/>
    <x v="4"/>
    <x v="2"/>
    <s v="Bad"/>
    <n v="1169.3900000000001"/>
    <n v="45752"/>
    <x v="0"/>
    <n v="4"/>
    <x v="8"/>
    <n v="8.5531772975653966E-2"/>
    <s v="high"/>
  </r>
  <r>
    <s v="ORD100130"/>
    <d v="2024-06-28T00:00:00"/>
    <s v="Customer 46"/>
    <x v="1"/>
    <s v="Gujarat"/>
    <x v="2"/>
    <s v="Accessories"/>
    <x v="12"/>
    <n v="834.76"/>
    <n v="1"/>
    <n v="0.15"/>
    <n v="-69.47"/>
    <x v="9"/>
    <x v="3"/>
    <s v="Bad"/>
    <n v="834.76"/>
    <n v="45471"/>
    <x v="1"/>
    <n v="6"/>
    <x v="9"/>
    <n v="-8.3221524749628642E-2"/>
    <s v="medium"/>
  </r>
  <r>
    <s v="ORD100131"/>
    <d v="2024-11-15T00:00:00"/>
    <s v="Customer 86"/>
    <x v="2"/>
    <s v="Punjab"/>
    <x v="1"/>
    <s v="Chairs"/>
    <x v="4"/>
    <n v="4253.3"/>
    <n v="5"/>
    <n v="0.25"/>
    <n v="-466.39"/>
    <x v="1"/>
    <x v="2"/>
    <s v="Bad"/>
    <n v="850.66000000000008"/>
    <n v="45611"/>
    <x v="1"/>
    <n v="11"/>
    <x v="10"/>
    <n v="-0.10965368067147861"/>
    <s v="high"/>
  </r>
  <r>
    <s v="ORD100132"/>
    <d v="2025-05-06T00:00:00"/>
    <s v="Customer 73"/>
    <x v="1"/>
    <s v="Maharashtra"/>
    <x v="0"/>
    <s v="Writing"/>
    <x v="1"/>
    <n v="3478.58"/>
    <n v="7"/>
    <n v="0.3"/>
    <n v="-431.2"/>
    <x v="6"/>
    <x v="2"/>
    <s v="Bad"/>
    <n v="496.94"/>
    <n v="45783"/>
    <x v="0"/>
    <n v="5"/>
    <x v="7"/>
    <n v="-0.12395862679599147"/>
    <s v="high"/>
  </r>
  <r>
    <s v="ORD100133"/>
    <d v="2025-07-17T00:00:00"/>
    <s v="Customer 79"/>
    <x v="2"/>
    <s v="Punjab"/>
    <x v="0"/>
    <s v="Binders"/>
    <x v="25"/>
    <n v="9469.7999999999993"/>
    <n v="9"/>
    <n v="0.1"/>
    <n v="2534.31"/>
    <x v="5"/>
    <x v="3"/>
    <s v="Good"/>
    <n v="1052.1999999999998"/>
    <n v="45855"/>
    <x v="0"/>
    <n v="7"/>
    <x v="6"/>
    <n v="0.2676202242919597"/>
    <s v="Low"/>
  </r>
  <r>
    <s v="ORD100134"/>
    <d v="2025-12-06T00:00:00"/>
    <s v="Customer 47"/>
    <x v="2"/>
    <s v="Delhi"/>
    <x v="2"/>
    <s v="Phones"/>
    <x v="23"/>
    <n v="4185.93"/>
    <n v="7"/>
    <n v="0.1"/>
    <n v="181.17"/>
    <x v="5"/>
    <x v="1"/>
    <s v="Bad"/>
    <n v="597.99"/>
    <n v="45997"/>
    <x v="0"/>
    <n v="12"/>
    <x v="4"/>
    <n v="4.3280704646279318E-2"/>
    <s v="Low"/>
  </r>
  <r>
    <s v="ORD100135"/>
    <d v="2024-03-08T00:00:00"/>
    <s v="Customer 121"/>
    <x v="1"/>
    <s v="Gujarat"/>
    <x v="0"/>
    <s v="Writing"/>
    <x v="3"/>
    <n v="4187.82"/>
    <n v="7"/>
    <n v="0.2"/>
    <n v="155.86000000000001"/>
    <x v="2"/>
    <x v="1"/>
    <s v="Bad"/>
    <n v="598.26"/>
    <n v="45359"/>
    <x v="1"/>
    <n v="3"/>
    <x v="3"/>
    <n v="3.721745442736317E-2"/>
    <s v="medium"/>
  </r>
  <r>
    <s v="ORD100136"/>
    <d v="2025-01-24T00:00:00"/>
    <s v="Customer 196"/>
    <x v="3"/>
    <s v="Assam"/>
    <x v="1"/>
    <s v="Chairs"/>
    <x v="4"/>
    <n v="7119.06"/>
    <n v="6"/>
    <n v="0.15"/>
    <n v="-297.89999999999998"/>
    <x v="5"/>
    <x v="2"/>
    <s v="Bad"/>
    <n v="1186.51"/>
    <n v="45681"/>
    <x v="0"/>
    <n v="1"/>
    <x v="0"/>
    <n v="-4.1845412175202899E-2"/>
    <s v="medium"/>
  </r>
  <r>
    <s v="ORD100137"/>
    <d v="2025-09-27T00:00:00"/>
    <s v="Customer 50"/>
    <x v="0"/>
    <s v="Kerala"/>
    <x v="0"/>
    <s v="Writing"/>
    <x v="3"/>
    <n v="3328.2"/>
    <n v="4"/>
    <n v="0"/>
    <n v="588.05999999999995"/>
    <x v="4"/>
    <x v="1"/>
    <s v="Bad"/>
    <n v="832.05"/>
    <n v="45927"/>
    <x v="0"/>
    <n v="9"/>
    <x v="5"/>
    <n v="0.1766901027582477"/>
    <s v="No Discount"/>
  </r>
  <r>
    <s v="ORD100138"/>
    <d v="2025-05-06T00:00:00"/>
    <s v="Customer 101"/>
    <x v="1"/>
    <s v="Maharashtra"/>
    <x v="0"/>
    <s v="Writing"/>
    <x v="3"/>
    <n v="627.6"/>
    <n v="10"/>
    <n v="0.15"/>
    <n v="-27.08"/>
    <x v="7"/>
    <x v="1"/>
    <s v="Bad"/>
    <n v="62.760000000000005"/>
    <n v="45783"/>
    <x v="0"/>
    <n v="5"/>
    <x v="7"/>
    <n v="-4.3148502230720198E-2"/>
    <s v="medium"/>
  </r>
  <r>
    <s v="ORD100139"/>
    <d v="2025-06-21T00:00:00"/>
    <s v="Customer 188"/>
    <x v="3"/>
    <s v="West Bengal"/>
    <x v="0"/>
    <s v="Binders"/>
    <x v="0"/>
    <n v="609.55999999999995"/>
    <n v="1"/>
    <n v="0.2"/>
    <n v="43.11"/>
    <x v="0"/>
    <x v="2"/>
    <s v="Bad"/>
    <n v="609.55999999999995"/>
    <n v="45829"/>
    <x v="0"/>
    <n v="6"/>
    <x v="9"/>
    <n v="7.0723144563291554E-2"/>
    <s v="medium"/>
  </r>
  <r>
    <s v="ORD100140"/>
    <d v="2025-04-26T00:00:00"/>
    <s v="Customer 156"/>
    <x v="1"/>
    <s v="Rajasthan"/>
    <x v="2"/>
    <s v="Accessories"/>
    <x v="20"/>
    <n v="4031.91"/>
    <n v="9"/>
    <n v="0.1"/>
    <n v="527.72"/>
    <x v="3"/>
    <x v="3"/>
    <s v="Bad"/>
    <n v="447.99"/>
    <n v="45773"/>
    <x v="0"/>
    <n v="4"/>
    <x v="8"/>
    <n v="0.13088585806726838"/>
    <s v="Low"/>
  </r>
  <r>
    <s v="ORD100141"/>
    <d v="2025-10-19T00:00:00"/>
    <s v="Customer 77"/>
    <x v="2"/>
    <s v="Delhi"/>
    <x v="1"/>
    <s v="Chairs"/>
    <x v="14"/>
    <n v="1161.08"/>
    <n v="2"/>
    <n v="0.1"/>
    <n v="62.78"/>
    <x v="5"/>
    <x v="1"/>
    <s v="Bad"/>
    <n v="580.54"/>
    <n v="45949"/>
    <x v="0"/>
    <n v="10"/>
    <x v="2"/>
    <n v="5.4070348296413689E-2"/>
    <s v="Low"/>
  </r>
  <r>
    <s v="ORD100142"/>
    <d v="2024-12-26T00:00:00"/>
    <s v="Customer 160"/>
    <x v="1"/>
    <s v="Rajasthan"/>
    <x v="1"/>
    <s v="Storage"/>
    <x v="7"/>
    <n v="1835.2"/>
    <n v="4"/>
    <n v="0"/>
    <n v="619.04"/>
    <x v="6"/>
    <x v="1"/>
    <s v="Bad"/>
    <n v="458.8"/>
    <n v="45652"/>
    <x v="1"/>
    <n v="12"/>
    <x v="4"/>
    <n v="0.33731473408892759"/>
    <s v="No Discount"/>
  </r>
  <r>
    <s v="ORD100143"/>
    <d v="2024-04-27T00:00:00"/>
    <s v="Customer 4"/>
    <x v="3"/>
    <s v="Assam"/>
    <x v="1"/>
    <s v="Chairs"/>
    <x v="5"/>
    <n v="1715.06"/>
    <n v="2"/>
    <n v="0.1"/>
    <n v="-80.569999999999993"/>
    <x v="4"/>
    <x v="2"/>
    <s v="Bad"/>
    <n v="857.53"/>
    <n v="45409"/>
    <x v="1"/>
    <n v="4"/>
    <x v="8"/>
    <n v="-4.6977948293354166E-2"/>
    <s v="Low"/>
  </r>
  <r>
    <s v="ORD100144"/>
    <d v="2025-09-07T00:00:00"/>
    <s v="Customer 50"/>
    <x v="3"/>
    <s v="Odisha"/>
    <x v="1"/>
    <s v="Chairs"/>
    <x v="14"/>
    <n v="1575.3"/>
    <n v="5"/>
    <n v="0.2"/>
    <n v="-82.11"/>
    <x v="2"/>
    <x v="3"/>
    <s v="Bad"/>
    <n v="315.06"/>
    <n v="45907"/>
    <x v="0"/>
    <n v="9"/>
    <x v="5"/>
    <n v="-5.2123405065701775E-2"/>
    <s v="medium"/>
  </r>
  <r>
    <s v="ORD100145"/>
    <d v="2024-12-25T00:00:00"/>
    <s v="Customer 189"/>
    <x v="0"/>
    <s v="Karnataka"/>
    <x v="1"/>
    <s v="Tables"/>
    <x v="17"/>
    <n v="3372.48"/>
    <n v="8"/>
    <n v="0.1"/>
    <n v="1170.46"/>
    <x v="0"/>
    <x v="1"/>
    <s v="Bad"/>
    <n v="421.56"/>
    <n v="45651"/>
    <x v="1"/>
    <n v="12"/>
    <x v="4"/>
    <n v="0.34706210266628712"/>
    <s v="Low"/>
  </r>
  <r>
    <s v="ORD100146"/>
    <d v="2024-07-23T00:00:00"/>
    <s v="Customer 139"/>
    <x v="0"/>
    <s v="Tamil Nadu"/>
    <x v="1"/>
    <s v="Chairs"/>
    <x v="14"/>
    <n v="333.53"/>
    <n v="1"/>
    <n v="0"/>
    <n v="32.479999999999997"/>
    <x v="0"/>
    <x v="0"/>
    <s v="Bad"/>
    <n v="333.53"/>
    <n v="45496"/>
    <x v="1"/>
    <n v="7"/>
    <x v="6"/>
    <n v="9.7382544298863671E-2"/>
    <s v="No Discount"/>
  </r>
  <r>
    <s v="ORD100147"/>
    <d v="2025-08-07T00:00:00"/>
    <s v="Customer 85"/>
    <x v="3"/>
    <s v="Odisha"/>
    <x v="2"/>
    <s v="Accessories"/>
    <x v="20"/>
    <n v="1596.92"/>
    <n v="4"/>
    <n v="0"/>
    <n v="702.25"/>
    <x v="0"/>
    <x v="2"/>
    <s v="Bad"/>
    <n v="399.23"/>
    <n v="45876"/>
    <x v="0"/>
    <n v="8"/>
    <x v="11"/>
    <n v="0.43975277409012348"/>
    <s v="No Discount"/>
  </r>
  <r>
    <s v="ORD100148"/>
    <d v="2024-02-07T00:00:00"/>
    <s v="Customer 3"/>
    <x v="3"/>
    <s v="Bihar"/>
    <x v="2"/>
    <s v="Computers"/>
    <x v="26"/>
    <n v="2489.64"/>
    <n v="4"/>
    <n v="0.2"/>
    <n v="-81.53"/>
    <x v="2"/>
    <x v="1"/>
    <s v="Bad"/>
    <n v="622.41"/>
    <n v="45329"/>
    <x v="1"/>
    <n v="2"/>
    <x v="1"/>
    <n v="-3.274770649571826E-2"/>
    <s v="medium"/>
  </r>
  <r>
    <s v="ORD100149"/>
    <d v="2024-12-29T00:00:00"/>
    <s v="Customer 105"/>
    <x v="1"/>
    <s v="Goa"/>
    <x v="2"/>
    <s v="Computers"/>
    <x v="10"/>
    <n v="2902.6"/>
    <n v="5"/>
    <n v="0.2"/>
    <n v="260.75"/>
    <x v="7"/>
    <x v="2"/>
    <s v="Bad"/>
    <n v="580.52"/>
    <n v="45655"/>
    <x v="1"/>
    <n v="12"/>
    <x v="4"/>
    <n v="8.9833252945634948E-2"/>
    <s v="medium"/>
  </r>
  <r>
    <s v="ORD100150"/>
    <d v="2024-02-03T00:00:00"/>
    <s v="Customer 163"/>
    <x v="1"/>
    <s v="Maharashtra"/>
    <x v="2"/>
    <s v="Phones"/>
    <x v="8"/>
    <n v="3480.18"/>
    <n v="6"/>
    <n v="0.3"/>
    <n v="-254.39"/>
    <x v="7"/>
    <x v="3"/>
    <s v="Bad"/>
    <n v="580.03"/>
    <n v="45325"/>
    <x v="1"/>
    <n v="2"/>
    <x v="1"/>
    <n v="-7.3096793843996574E-2"/>
    <s v="high"/>
  </r>
  <r>
    <s v="ORD100151"/>
    <d v="2024-08-07T00:00:00"/>
    <s v="Customer 199"/>
    <x v="3"/>
    <s v="Bihar"/>
    <x v="2"/>
    <s v="Accessories"/>
    <x v="18"/>
    <n v="156"/>
    <n v="10"/>
    <n v="0.3"/>
    <n v="10.88"/>
    <x v="4"/>
    <x v="2"/>
    <s v="Bad"/>
    <n v="15.6"/>
    <n v="45511"/>
    <x v="1"/>
    <n v="8"/>
    <x v="11"/>
    <n v="6.9743589743589754E-2"/>
    <s v="high"/>
  </r>
  <r>
    <s v="ORD100152"/>
    <d v="2024-03-03T00:00:00"/>
    <s v="Customer 117"/>
    <x v="3"/>
    <s v="Bihar"/>
    <x v="2"/>
    <s v="Phones"/>
    <x v="23"/>
    <n v="1035.04"/>
    <n v="8"/>
    <n v="0.2"/>
    <n v="86.22"/>
    <x v="1"/>
    <x v="0"/>
    <s v="Bad"/>
    <n v="129.38"/>
    <n v="45354"/>
    <x v="1"/>
    <n v="3"/>
    <x v="3"/>
    <n v="8.3301128458803525E-2"/>
    <s v="medium"/>
  </r>
  <r>
    <s v="ORD100153"/>
    <d v="2025-09-20T00:00:00"/>
    <s v="Customer 179"/>
    <x v="3"/>
    <s v="Bihar"/>
    <x v="2"/>
    <s v="Phones"/>
    <x v="8"/>
    <n v="9928.35"/>
    <n v="9"/>
    <n v="0"/>
    <n v="3932.76"/>
    <x v="6"/>
    <x v="3"/>
    <s v="Good"/>
    <n v="1103.1500000000001"/>
    <n v="45920"/>
    <x v="0"/>
    <n v="9"/>
    <x v="5"/>
    <n v="0.39611415794165195"/>
    <s v="No Discount"/>
  </r>
  <r>
    <s v="ORD100154"/>
    <d v="2025-06-16T00:00:00"/>
    <s v="Customer 194"/>
    <x v="0"/>
    <s v="Karnataka"/>
    <x v="1"/>
    <s v="Tables"/>
    <x v="9"/>
    <n v="1606.99"/>
    <n v="7"/>
    <n v="0"/>
    <n v="693.4"/>
    <x v="4"/>
    <x v="2"/>
    <s v="Bad"/>
    <n v="229.57"/>
    <n v="45824"/>
    <x v="0"/>
    <n v="6"/>
    <x v="9"/>
    <n v="0.43148992837540989"/>
    <s v="No Discount"/>
  </r>
  <r>
    <s v="ORD100155"/>
    <d v="2025-08-07T00:00:00"/>
    <s v="Customer 72"/>
    <x v="0"/>
    <s v="Kerala"/>
    <x v="0"/>
    <s v="Writing"/>
    <x v="19"/>
    <n v="887.48"/>
    <n v="2"/>
    <n v="0.05"/>
    <n v="219.49"/>
    <x v="8"/>
    <x v="3"/>
    <s v="Bad"/>
    <n v="443.74"/>
    <n v="45876"/>
    <x v="0"/>
    <n v="8"/>
    <x v="11"/>
    <n v="0.24731824942533917"/>
    <s v="Low"/>
  </r>
  <r>
    <s v="ORD100156"/>
    <d v="2024-03-04T00:00:00"/>
    <s v="Customer 90"/>
    <x v="1"/>
    <s v="Gujarat"/>
    <x v="2"/>
    <s v="Phones"/>
    <x v="13"/>
    <n v="11943.3"/>
    <n v="10"/>
    <n v="0.15"/>
    <n v="3101.36"/>
    <x v="8"/>
    <x v="1"/>
    <s v="Good"/>
    <n v="1194.33"/>
    <n v="45355"/>
    <x v="1"/>
    <n v="3"/>
    <x v="3"/>
    <n v="0.2596736245426306"/>
    <s v="medium"/>
  </r>
  <r>
    <s v="ORD100157"/>
    <d v="2025-05-19T00:00:00"/>
    <s v="Customer 95"/>
    <x v="3"/>
    <s v="Assam"/>
    <x v="0"/>
    <s v="Binders"/>
    <x v="22"/>
    <n v="2836.64"/>
    <n v="4"/>
    <n v="0.15"/>
    <n v="659.63"/>
    <x v="5"/>
    <x v="2"/>
    <s v="Bad"/>
    <n v="709.16"/>
    <n v="45796"/>
    <x v="0"/>
    <n v="5"/>
    <x v="7"/>
    <n v="0.23253920130859046"/>
    <s v="medium"/>
  </r>
  <r>
    <s v="ORD100158"/>
    <d v="2024-11-29T00:00:00"/>
    <s v="Customer 49"/>
    <x v="1"/>
    <s v="Maharashtra"/>
    <x v="0"/>
    <s v="Paper"/>
    <x v="2"/>
    <n v="2362.5"/>
    <n v="2"/>
    <n v="0.25"/>
    <n v="453.05"/>
    <x v="5"/>
    <x v="3"/>
    <s v="Bad"/>
    <n v="1181.25"/>
    <n v="45625"/>
    <x v="1"/>
    <n v="11"/>
    <x v="10"/>
    <n v="0.19176719576719578"/>
    <s v="high"/>
  </r>
  <r>
    <s v="ORD100159"/>
    <d v="2025-12-17T00:00:00"/>
    <s v="Customer 193"/>
    <x v="1"/>
    <s v="Rajasthan"/>
    <x v="2"/>
    <s v="Computers"/>
    <x v="10"/>
    <n v="6022.66"/>
    <n v="7"/>
    <n v="0"/>
    <n v="1913.54"/>
    <x v="2"/>
    <x v="0"/>
    <s v="Bad"/>
    <n v="860.38"/>
    <n v="46008"/>
    <x v="0"/>
    <n v="12"/>
    <x v="4"/>
    <n v="0.31772339796701127"/>
    <s v="No Discount"/>
  </r>
  <r>
    <s v="ORD100160"/>
    <d v="2024-04-13T00:00:00"/>
    <s v="Customer 55"/>
    <x v="1"/>
    <s v="Rajasthan"/>
    <x v="1"/>
    <s v="Storage"/>
    <x v="15"/>
    <n v="47.06"/>
    <n v="1"/>
    <n v="0.1"/>
    <n v="8.56"/>
    <x v="8"/>
    <x v="0"/>
    <s v="Bad"/>
    <n v="47.06"/>
    <n v="45395"/>
    <x v="1"/>
    <n v="4"/>
    <x v="8"/>
    <n v="0.18189545261368467"/>
    <s v="Low"/>
  </r>
  <r>
    <s v="ORD100161"/>
    <d v="2025-01-07T00:00:00"/>
    <s v="Customer 96"/>
    <x v="1"/>
    <s v="Rajasthan"/>
    <x v="0"/>
    <s v="Writing"/>
    <x v="19"/>
    <n v="1635.8"/>
    <n v="4"/>
    <n v="0.05"/>
    <n v="105.83"/>
    <x v="0"/>
    <x v="1"/>
    <s v="Bad"/>
    <n v="408.95"/>
    <n v="45664"/>
    <x v="0"/>
    <n v="1"/>
    <x v="0"/>
    <n v="6.4696173126299064E-2"/>
    <s v="Low"/>
  </r>
  <r>
    <s v="ORD100162"/>
    <d v="2024-03-05T00:00:00"/>
    <s v="Customer 79"/>
    <x v="2"/>
    <s v="Haryana"/>
    <x v="2"/>
    <s v="Phones"/>
    <x v="13"/>
    <n v="7148.61"/>
    <n v="9"/>
    <n v="0.1"/>
    <n v="1277.8"/>
    <x v="7"/>
    <x v="3"/>
    <s v="Good"/>
    <n v="794.29"/>
    <n v="45356"/>
    <x v="1"/>
    <n v="3"/>
    <x v="3"/>
    <n v="0.17874803633153857"/>
    <s v="Low"/>
  </r>
  <r>
    <s v="ORD100163"/>
    <d v="2025-01-08T00:00:00"/>
    <s v="Customer 79"/>
    <x v="3"/>
    <s v="West Bengal"/>
    <x v="0"/>
    <s v="Paper"/>
    <x v="21"/>
    <n v="3459.3"/>
    <n v="10"/>
    <n v="0.15"/>
    <n v="-168.83"/>
    <x v="9"/>
    <x v="0"/>
    <s v="Bad"/>
    <n v="345.93"/>
    <n v="45665"/>
    <x v="0"/>
    <n v="1"/>
    <x v="0"/>
    <n v="-4.8804671465325355E-2"/>
    <s v="medium"/>
  </r>
  <r>
    <s v="ORD100164"/>
    <d v="2025-06-22T00:00:00"/>
    <s v="Customer 47"/>
    <x v="3"/>
    <s v="West Bengal"/>
    <x v="0"/>
    <s v="Paper"/>
    <x v="2"/>
    <n v="1569.72"/>
    <n v="3"/>
    <n v="0.05"/>
    <n v="544.54"/>
    <x v="5"/>
    <x v="3"/>
    <s v="Bad"/>
    <n v="523.24"/>
    <n v="45830"/>
    <x v="0"/>
    <n v="6"/>
    <x v="9"/>
    <n v="0.34690263231659146"/>
    <s v="Low"/>
  </r>
  <r>
    <s v="ORD100165"/>
    <d v="2024-01-02T00:00:00"/>
    <s v="Customer 161"/>
    <x v="3"/>
    <s v="Assam"/>
    <x v="0"/>
    <s v="Paper"/>
    <x v="11"/>
    <n v="2354.88"/>
    <n v="4"/>
    <n v="0.05"/>
    <n v="28.57"/>
    <x v="3"/>
    <x v="3"/>
    <s v="Bad"/>
    <n v="588.72"/>
    <n v="45293"/>
    <x v="1"/>
    <n v="1"/>
    <x v="0"/>
    <n v="1.2132253023508628E-2"/>
    <s v="Low"/>
  </r>
  <r>
    <s v="ORD100166"/>
    <d v="2024-07-08T00:00:00"/>
    <s v="Customer 95"/>
    <x v="0"/>
    <s v="Telangana"/>
    <x v="2"/>
    <s v="Phones"/>
    <x v="8"/>
    <n v="6649.74"/>
    <n v="6"/>
    <n v="0"/>
    <n v="1583.53"/>
    <x v="6"/>
    <x v="0"/>
    <s v="Bad"/>
    <n v="1108.29"/>
    <n v="45481"/>
    <x v="1"/>
    <n v="7"/>
    <x v="6"/>
    <n v="0.23813412253712177"/>
    <s v="No Discount"/>
  </r>
  <r>
    <s v="ORD100167"/>
    <d v="2025-06-28T00:00:00"/>
    <s v="Customer 81"/>
    <x v="2"/>
    <s v="Delhi"/>
    <x v="1"/>
    <s v="Storage"/>
    <x v="7"/>
    <n v="5817.04"/>
    <n v="8"/>
    <n v="0.3"/>
    <n v="-345.02"/>
    <x v="0"/>
    <x v="0"/>
    <s v="Good"/>
    <n v="727.13"/>
    <n v="45836"/>
    <x v="0"/>
    <n v="6"/>
    <x v="9"/>
    <n v="-5.9311952470672363E-2"/>
    <s v="high"/>
  </r>
  <r>
    <s v="ORD100168"/>
    <d v="2025-01-28T00:00:00"/>
    <s v="Customer 58"/>
    <x v="3"/>
    <s v="Bihar"/>
    <x v="2"/>
    <s v="Phones"/>
    <x v="13"/>
    <n v="3937.05"/>
    <n v="9"/>
    <n v="0.15"/>
    <n v="674.62"/>
    <x v="1"/>
    <x v="1"/>
    <s v="Bad"/>
    <n v="437.45000000000005"/>
    <n v="45685"/>
    <x v="0"/>
    <n v="1"/>
    <x v="0"/>
    <n v="0.17135164653738205"/>
    <s v="medium"/>
  </r>
  <r>
    <s v="ORD100169"/>
    <d v="2024-03-07T00:00:00"/>
    <s v="Customer 200"/>
    <x v="0"/>
    <s v="Karnataka"/>
    <x v="2"/>
    <s v="Computers"/>
    <x v="10"/>
    <n v="1089.8599999999999"/>
    <n v="1"/>
    <n v="0.1"/>
    <n v="236.69"/>
    <x v="1"/>
    <x v="1"/>
    <s v="Bad"/>
    <n v="1089.8599999999999"/>
    <n v="45358"/>
    <x v="1"/>
    <n v="3"/>
    <x v="3"/>
    <n v="0.21717468298680567"/>
    <s v="Low"/>
  </r>
  <r>
    <s v="ORD100170"/>
    <d v="2025-08-12T00:00:00"/>
    <s v="Customer 24"/>
    <x v="0"/>
    <s v="Karnataka"/>
    <x v="0"/>
    <s v="Paper"/>
    <x v="2"/>
    <n v="1886.8"/>
    <n v="5"/>
    <n v="0"/>
    <n v="614.41"/>
    <x v="3"/>
    <x v="3"/>
    <s v="Bad"/>
    <n v="377.36"/>
    <n v="45881"/>
    <x v="0"/>
    <n v="8"/>
    <x v="11"/>
    <n v="0.32563599745601018"/>
    <s v="No Discount"/>
  </r>
  <r>
    <s v="ORD100171"/>
    <d v="2024-10-27T00:00:00"/>
    <s v="Customer 11"/>
    <x v="0"/>
    <s v="Telangana"/>
    <x v="1"/>
    <s v="Storage"/>
    <x v="7"/>
    <n v="1496.16"/>
    <n v="8"/>
    <n v="0.2"/>
    <n v="47.51"/>
    <x v="3"/>
    <x v="1"/>
    <s v="Bad"/>
    <n v="187.02"/>
    <n v="45592"/>
    <x v="1"/>
    <n v="10"/>
    <x v="2"/>
    <n v="3.1754625173778202E-2"/>
    <s v="medium"/>
  </r>
  <r>
    <s v="ORD100172"/>
    <d v="2025-05-02T00:00:00"/>
    <s v="Customer 43"/>
    <x v="1"/>
    <s v="Gujarat"/>
    <x v="1"/>
    <s v="Tables"/>
    <x v="17"/>
    <n v="1068.7"/>
    <n v="2"/>
    <n v="0.3"/>
    <n v="-141.44999999999999"/>
    <x v="2"/>
    <x v="1"/>
    <s v="Bad"/>
    <n v="534.35"/>
    <n v="45779"/>
    <x v="0"/>
    <n v="5"/>
    <x v="7"/>
    <n v="-0.13235706933657712"/>
    <s v="high"/>
  </r>
  <r>
    <s v="ORD100173"/>
    <d v="2024-06-05T00:00:00"/>
    <s v="Customer 162"/>
    <x v="1"/>
    <s v="Gujarat"/>
    <x v="1"/>
    <s v="Chairs"/>
    <x v="14"/>
    <n v="9736.4699999999993"/>
    <n v="9"/>
    <n v="0.1"/>
    <n v="3382.16"/>
    <x v="8"/>
    <x v="3"/>
    <s v="Good"/>
    <n v="1081.83"/>
    <n v="45448"/>
    <x v="1"/>
    <n v="6"/>
    <x v="9"/>
    <n v="0.34737024814948336"/>
    <s v="Low"/>
  </r>
  <r>
    <s v="ORD100174"/>
    <d v="2025-07-24T00:00:00"/>
    <s v="Customer 174"/>
    <x v="1"/>
    <s v="Gujarat"/>
    <x v="2"/>
    <s v="Computers"/>
    <x v="10"/>
    <n v="3686.67"/>
    <n v="9"/>
    <n v="0.2"/>
    <n v="386.4"/>
    <x v="6"/>
    <x v="1"/>
    <s v="Bad"/>
    <n v="409.63"/>
    <n v="45862"/>
    <x v="0"/>
    <n v="7"/>
    <x v="6"/>
    <n v="0.10481003181733108"/>
    <s v="medium"/>
  </r>
  <r>
    <s v="ORD100175"/>
    <d v="2024-11-17T00:00:00"/>
    <s v="Customer 9"/>
    <x v="0"/>
    <s v="Telangana"/>
    <x v="1"/>
    <s v="Tables"/>
    <x v="9"/>
    <n v="5429.7"/>
    <n v="5"/>
    <n v="0"/>
    <n v="2335.9699999999998"/>
    <x v="2"/>
    <x v="0"/>
    <s v="Bad"/>
    <n v="1085.94"/>
    <n v="45613"/>
    <x v="1"/>
    <n v="11"/>
    <x v="10"/>
    <n v="0.43022082251321436"/>
    <s v="No Discount"/>
  </r>
  <r>
    <s v="ORD100176"/>
    <d v="2024-12-05T00:00:00"/>
    <s v="Customer 186"/>
    <x v="1"/>
    <s v="Maharashtra"/>
    <x v="2"/>
    <s v="Accessories"/>
    <x v="12"/>
    <n v="2408.6"/>
    <n v="4"/>
    <n v="0.15"/>
    <n v="-176.91"/>
    <x v="4"/>
    <x v="2"/>
    <s v="Bad"/>
    <n v="602.15"/>
    <n v="45631"/>
    <x v="1"/>
    <n v="12"/>
    <x v="4"/>
    <n v="-7.3449306651166654E-2"/>
    <s v="medium"/>
  </r>
  <r>
    <s v="ORD100177"/>
    <d v="2025-02-12T00:00:00"/>
    <s v="Customer 134"/>
    <x v="0"/>
    <s v="Tamil Nadu"/>
    <x v="0"/>
    <s v="Paper"/>
    <x v="2"/>
    <n v="3156.6"/>
    <n v="6"/>
    <n v="0.3"/>
    <n v="-250.52"/>
    <x v="7"/>
    <x v="2"/>
    <s v="Bad"/>
    <n v="526.1"/>
    <n v="45700"/>
    <x v="0"/>
    <n v="2"/>
    <x v="1"/>
    <n v="-7.9363872521066983E-2"/>
    <s v="high"/>
  </r>
  <r>
    <s v="ORD100178"/>
    <d v="2024-06-20T00:00:00"/>
    <s v="Customer 91"/>
    <x v="2"/>
    <s v="Delhi"/>
    <x v="2"/>
    <s v="Phones"/>
    <x v="8"/>
    <n v="2552.9699999999998"/>
    <n v="7"/>
    <n v="0.25"/>
    <n v="-165.64"/>
    <x v="9"/>
    <x v="2"/>
    <s v="Bad"/>
    <n v="364.71"/>
    <n v="45463"/>
    <x v="1"/>
    <n v="6"/>
    <x v="9"/>
    <n v="-6.4881295119018245E-2"/>
    <s v="high"/>
  </r>
  <r>
    <s v="ORD100179"/>
    <d v="2025-04-16T00:00:00"/>
    <s v="Customer 127"/>
    <x v="0"/>
    <s v="Kerala"/>
    <x v="1"/>
    <s v="Storage"/>
    <x v="15"/>
    <n v="3325.12"/>
    <n v="8"/>
    <n v="0.3"/>
    <n v="-209.61"/>
    <x v="9"/>
    <x v="1"/>
    <s v="Bad"/>
    <n v="415.64"/>
    <n v="45763"/>
    <x v="0"/>
    <n v="4"/>
    <x v="8"/>
    <n v="-6.3038326436339151E-2"/>
    <s v="high"/>
  </r>
  <r>
    <s v="ORD100180"/>
    <d v="2024-12-02T00:00:00"/>
    <s v="Customer 113"/>
    <x v="0"/>
    <s v="Telangana"/>
    <x v="1"/>
    <s v="Chairs"/>
    <x v="5"/>
    <n v="4594.38"/>
    <n v="6"/>
    <n v="0"/>
    <n v="929.1"/>
    <x v="5"/>
    <x v="1"/>
    <s v="Bad"/>
    <n v="765.73"/>
    <n v="45628"/>
    <x v="1"/>
    <n v="12"/>
    <x v="4"/>
    <n v="0.20222532746529456"/>
    <s v="No Discount"/>
  </r>
  <r>
    <s v="ORD100181"/>
    <d v="2024-06-15T00:00:00"/>
    <s v="Customer 180"/>
    <x v="0"/>
    <s v="Telangana"/>
    <x v="0"/>
    <s v="Binders"/>
    <x v="25"/>
    <n v="5388.95"/>
    <n v="5"/>
    <n v="0.25"/>
    <n v="-620.64"/>
    <x v="6"/>
    <x v="0"/>
    <s v="Bad"/>
    <n v="1077.79"/>
    <n v="45458"/>
    <x v="1"/>
    <n v="6"/>
    <x v="9"/>
    <n v="-0.11516900323810761"/>
    <s v="high"/>
  </r>
  <r>
    <s v="ORD100182"/>
    <d v="2024-04-25T00:00:00"/>
    <s v="Customer 14"/>
    <x v="3"/>
    <s v="Odisha"/>
    <x v="2"/>
    <s v="Accessories"/>
    <x v="12"/>
    <n v="6670.44"/>
    <n v="9"/>
    <n v="0.15"/>
    <n v="1023.16"/>
    <x v="0"/>
    <x v="3"/>
    <s v="Good"/>
    <n v="741.16"/>
    <n v="45407"/>
    <x v="1"/>
    <n v="4"/>
    <x v="8"/>
    <n v="0.15338718285450437"/>
    <s v="medium"/>
  </r>
  <r>
    <s v="ORD100183"/>
    <d v="2025-03-18T00:00:00"/>
    <s v="Customer 119"/>
    <x v="1"/>
    <s v="Goa"/>
    <x v="2"/>
    <s v="Phones"/>
    <x v="13"/>
    <n v="1529.28"/>
    <n v="9"/>
    <n v="0.25"/>
    <n v="27.86"/>
    <x v="6"/>
    <x v="3"/>
    <s v="Bad"/>
    <n v="169.92"/>
    <n v="45734"/>
    <x v="0"/>
    <n v="3"/>
    <x v="3"/>
    <n v="1.8217723373090605E-2"/>
    <s v="high"/>
  </r>
  <r>
    <s v="ORD100184"/>
    <d v="2025-03-21T00:00:00"/>
    <s v="Customer 178"/>
    <x v="3"/>
    <s v="Assam"/>
    <x v="1"/>
    <s v="Chairs"/>
    <x v="4"/>
    <n v="8058.4"/>
    <n v="8"/>
    <n v="0.05"/>
    <n v="1420.47"/>
    <x v="7"/>
    <x v="2"/>
    <s v="Good"/>
    <n v="1007.3"/>
    <n v="45737"/>
    <x v="0"/>
    <n v="3"/>
    <x v="3"/>
    <n v="0.17627196465799663"/>
    <s v="Low"/>
  </r>
  <r>
    <s v="ORD100185"/>
    <d v="2025-04-15T00:00:00"/>
    <s v="Customer 11"/>
    <x v="1"/>
    <s v="Gujarat"/>
    <x v="0"/>
    <s v="Writing"/>
    <x v="3"/>
    <n v="7951.6"/>
    <n v="8"/>
    <n v="0.3"/>
    <n v="531.36"/>
    <x v="2"/>
    <x v="0"/>
    <s v="Good"/>
    <n v="993.95"/>
    <n v="45762"/>
    <x v="0"/>
    <n v="4"/>
    <x v="8"/>
    <n v="6.6824286935962568E-2"/>
    <s v="high"/>
  </r>
  <r>
    <s v="ORD100186"/>
    <d v="2024-02-17T00:00:00"/>
    <s v="Customer 108"/>
    <x v="2"/>
    <s v="Uttarakhand"/>
    <x v="1"/>
    <s v="Tables"/>
    <x v="17"/>
    <n v="6223"/>
    <n v="7"/>
    <n v="0.25"/>
    <n v="112.66"/>
    <x v="2"/>
    <x v="0"/>
    <s v="Bad"/>
    <n v="889"/>
    <n v="45339"/>
    <x v="1"/>
    <n v="2"/>
    <x v="1"/>
    <n v="1.8103808452514865E-2"/>
    <s v="high"/>
  </r>
  <r>
    <s v="ORD100187"/>
    <d v="2025-03-27T00:00:00"/>
    <s v="Customer 167"/>
    <x v="3"/>
    <s v="Bihar"/>
    <x v="1"/>
    <s v="Chairs"/>
    <x v="4"/>
    <n v="9335.34"/>
    <n v="9"/>
    <n v="0.3"/>
    <n v="-1121.1300000000001"/>
    <x v="0"/>
    <x v="2"/>
    <s v="Good"/>
    <n v="1037.26"/>
    <n v="45743"/>
    <x v="0"/>
    <n v="3"/>
    <x v="3"/>
    <n v="-0.12009525094961727"/>
    <s v="high"/>
  </r>
  <r>
    <s v="ORD100188"/>
    <d v="2025-01-15T00:00:00"/>
    <s v="Customer 150"/>
    <x v="3"/>
    <s v="Odisha"/>
    <x v="1"/>
    <s v="Chairs"/>
    <x v="14"/>
    <n v="7320.95"/>
    <n v="7"/>
    <n v="0.25"/>
    <n v="-1208.1600000000001"/>
    <x v="5"/>
    <x v="2"/>
    <s v="Bad"/>
    <n v="1045.8499999999999"/>
    <n v="45672"/>
    <x v="0"/>
    <n v="1"/>
    <x v="0"/>
    <n v="-0.16502776279034825"/>
    <s v="high"/>
  </r>
  <r>
    <s v="ORD100189"/>
    <d v="2025-12-19T00:00:00"/>
    <s v="Customer 121"/>
    <x v="1"/>
    <s v="Goa"/>
    <x v="2"/>
    <s v="Accessories"/>
    <x v="20"/>
    <n v="1060.55"/>
    <n v="5"/>
    <n v="0.2"/>
    <n v="-80.930000000000007"/>
    <x v="6"/>
    <x v="3"/>
    <s v="Bad"/>
    <n v="212.10999999999999"/>
    <n v="46010"/>
    <x v="0"/>
    <n v="12"/>
    <x v="4"/>
    <n v="-7.630946207156665E-2"/>
    <s v="medium"/>
  </r>
  <r>
    <s v="ORD100190"/>
    <d v="2025-03-09T00:00:00"/>
    <s v="Customer 158"/>
    <x v="2"/>
    <s v="Uttarakhand"/>
    <x v="1"/>
    <s v="Chairs"/>
    <x v="14"/>
    <n v="2568.7199999999998"/>
    <n v="8"/>
    <n v="0.05"/>
    <n v="668.07"/>
    <x v="0"/>
    <x v="1"/>
    <s v="Bad"/>
    <n v="321.08999999999997"/>
    <n v="45725"/>
    <x v="0"/>
    <n v="3"/>
    <x v="3"/>
    <n v="0.2600789498271513"/>
    <s v="Low"/>
  </r>
  <r>
    <s v="ORD100191"/>
    <d v="2024-01-13T00:00:00"/>
    <s v="Customer 191"/>
    <x v="0"/>
    <s v="Telangana"/>
    <x v="1"/>
    <s v="Storage"/>
    <x v="7"/>
    <n v="5028.7"/>
    <n v="10"/>
    <n v="0.3"/>
    <n v="668.52"/>
    <x v="7"/>
    <x v="2"/>
    <s v="Good"/>
    <n v="502.87"/>
    <n v="45304"/>
    <x v="1"/>
    <n v="1"/>
    <x v="0"/>
    <n v="0.13294091912422693"/>
    <s v="high"/>
  </r>
  <r>
    <s v="ORD100192"/>
    <d v="2024-01-14T00:00:00"/>
    <s v="Customer 125"/>
    <x v="2"/>
    <s v="Delhi"/>
    <x v="0"/>
    <s v="Binders"/>
    <x v="25"/>
    <n v="7182"/>
    <n v="7"/>
    <n v="0.1"/>
    <n v="1619.83"/>
    <x v="3"/>
    <x v="1"/>
    <s v="Bad"/>
    <n v="1026"/>
    <n v="45305"/>
    <x v="1"/>
    <n v="1"/>
    <x v="0"/>
    <n v="0.2255402394876079"/>
    <s v="Low"/>
  </r>
  <r>
    <s v="ORD100193"/>
    <d v="2024-10-10T00:00:00"/>
    <s v="Customer 121"/>
    <x v="3"/>
    <s v="Odisha"/>
    <x v="0"/>
    <s v="Binders"/>
    <x v="0"/>
    <n v="4739.8999999999996"/>
    <n v="10"/>
    <n v="0.05"/>
    <n v="405.97"/>
    <x v="7"/>
    <x v="3"/>
    <s v="Bad"/>
    <n v="473.98999999999995"/>
    <n v="45575"/>
    <x v="1"/>
    <n v="10"/>
    <x v="2"/>
    <n v="8.5649486276081779E-2"/>
    <s v="Low"/>
  </r>
  <r>
    <s v="ORD100194"/>
    <d v="2025-02-25T00:00:00"/>
    <s v="Customer 4"/>
    <x v="2"/>
    <s v="Delhi"/>
    <x v="1"/>
    <s v="Tables"/>
    <x v="9"/>
    <n v="2480.6999999999998"/>
    <n v="10"/>
    <n v="0"/>
    <n v="772.79"/>
    <x v="9"/>
    <x v="2"/>
    <s v="Bad"/>
    <n v="248.07"/>
    <n v="45713"/>
    <x v="0"/>
    <n v="2"/>
    <x v="1"/>
    <n v="0.31152094166969002"/>
    <s v="No Discount"/>
  </r>
  <r>
    <s v="ORD100195"/>
    <d v="2025-12-26T00:00:00"/>
    <s v="Customer 52"/>
    <x v="3"/>
    <s v="Assam"/>
    <x v="1"/>
    <s v="Tables"/>
    <x v="17"/>
    <n v="9379.7000000000007"/>
    <n v="10"/>
    <n v="0.05"/>
    <n v="1304.29"/>
    <x v="6"/>
    <x v="3"/>
    <s v="Good"/>
    <n v="937.97"/>
    <n v="46017"/>
    <x v="0"/>
    <n v="12"/>
    <x v="4"/>
    <n v="0.13905455398360286"/>
    <s v="Low"/>
  </r>
  <r>
    <s v="ORD100196"/>
    <d v="2025-09-28T00:00:00"/>
    <s v="Customer 149"/>
    <x v="2"/>
    <s v="Punjab"/>
    <x v="0"/>
    <s v="Paper"/>
    <x v="2"/>
    <n v="1119.22"/>
    <n v="2"/>
    <n v="0.05"/>
    <n v="46.92"/>
    <x v="9"/>
    <x v="1"/>
    <s v="Bad"/>
    <n v="559.61"/>
    <n v="45928"/>
    <x v="0"/>
    <n v="9"/>
    <x v="5"/>
    <n v="4.1922052858240563E-2"/>
    <s v="Low"/>
  </r>
  <r>
    <s v="ORD100197"/>
    <d v="2025-06-17T00:00:00"/>
    <s v="Customer 183"/>
    <x v="2"/>
    <s v="Delhi"/>
    <x v="2"/>
    <s v="Accessories"/>
    <x v="18"/>
    <n v="1180.08"/>
    <n v="3"/>
    <n v="0.15"/>
    <n v="-97.91"/>
    <x v="3"/>
    <x v="0"/>
    <s v="Bad"/>
    <n v="393.35999999999996"/>
    <n v="45825"/>
    <x v="0"/>
    <n v="6"/>
    <x v="9"/>
    <n v="-8.2968951257541862E-2"/>
    <s v="medium"/>
  </r>
  <r>
    <s v="ORD100198"/>
    <d v="2024-10-20T00:00:00"/>
    <s v="Customer 171"/>
    <x v="2"/>
    <s v="Punjab"/>
    <x v="0"/>
    <s v="Writing"/>
    <x v="19"/>
    <n v="4608.08"/>
    <n v="4"/>
    <n v="0.3"/>
    <n v="-1022.6"/>
    <x v="6"/>
    <x v="3"/>
    <s v="Bad"/>
    <n v="1152.02"/>
    <n v="45585"/>
    <x v="1"/>
    <n v="10"/>
    <x v="2"/>
    <n v="-0.22191455009461641"/>
    <s v="high"/>
  </r>
  <r>
    <s v="ORD100199"/>
    <d v="2024-07-14T00:00:00"/>
    <s v="Customer 69"/>
    <x v="1"/>
    <s v="Rajasthan"/>
    <x v="0"/>
    <s v="Writing"/>
    <x v="1"/>
    <n v="778.4"/>
    <n v="5"/>
    <n v="0.15"/>
    <n v="83.4"/>
    <x v="8"/>
    <x v="2"/>
    <s v="Bad"/>
    <n v="155.68"/>
    <n v="45487"/>
    <x v="1"/>
    <n v="7"/>
    <x v="6"/>
    <n v="0.10714285714285715"/>
    <s v="medium"/>
  </r>
  <r>
    <s v="ORD100200"/>
    <d v="2024-08-31T00:00:00"/>
    <s v="Customer 151"/>
    <x v="1"/>
    <s v="Goa"/>
    <x v="2"/>
    <s v="Phones"/>
    <x v="23"/>
    <n v="1090.32"/>
    <n v="2"/>
    <n v="0.25"/>
    <n v="-211.67"/>
    <x v="8"/>
    <x v="2"/>
    <s v="Bad"/>
    <n v="545.16"/>
    <n v="45535"/>
    <x v="1"/>
    <n v="8"/>
    <x v="11"/>
    <n v="-0.1941356665932937"/>
    <s v="high"/>
  </r>
  <r>
    <s v="ORD100201"/>
    <d v="2024-02-24T00:00:00"/>
    <s v="Customer 29"/>
    <x v="0"/>
    <s v="Kerala"/>
    <x v="0"/>
    <s v="Paper"/>
    <x v="11"/>
    <n v="5014.26"/>
    <n v="6"/>
    <n v="0.1"/>
    <n v="362.96"/>
    <x v="4"/>
    <x v="1"/>
    <s v="Bad"/>
    <n v="835.71"/>
    <n v="45346"/>
    <x v="1"/>
    <n v="2"/>
    <x v="1"/>
    <n v="7.2385556393166683E-2"/>
    <s v="Low"/>
  </r>
  <r>
    <s v="ORD100202"/>
    <d v="2024-11-21T00:00:00"/>
    <s v="Customer 127"/>
    <x v="3"/>
    <s v="West Bengal"/>
    <x v="0"/>
    <s v="Paper"/>
    <x v="11"/>
    <n v="1381.56"/>
    <n v="6"/>
    <n v="0.2"/>
    <n v="185.05"/>
    <x v="8"/>
    <x v="2"/>
    <s v="Bad"/>
    <n v="230.26"/>
    <n v="45617"/>
    <x v="1"/>
    <n v="11"/>
    <x v="10"/>
    <n v="0.13394278931063436"/>
    <s v="medium"/>
  </r>
  <r>
    <s v="ORD100203"/>
    <d v="2025-09-05T00:00:00"/>
    <s v="Customer 185"/>
    <x v="1"/>
    <s v="Goa"/>
    <x v="1"/>
    <s v="Storage"/>
    <x v="7"/>
    <n v="4907.76"/>
    <n v="6"/>
    <n v="0"/>
    <n v="2072.31"/>
    <x v="5"/>
    <x v="1"/>
    <s v="Bad"/>
    <n v="817.96"/>
    <n v="45905"/>
    <x v="0"/>
    <n v="9"/>
    <x v="5"/>
    <n v="0.42225169934960144"/>
    <s v="No Discount"/>
  </r>
  <r>
    <s v="ORD100204"/>
    <d v="2025-10-27T00:00:00"/>
    <s v="Customer 126"/>
    <x v="0"/>
    <s v="Kerala"/>
    <x v="2"/>
    <s v="Accessories"/>
    <x v="18"/>
    <n v="1263.28"/>
    <n v="8"/>
    <n v="0.15"/>
    <n v="-44.37"/>
    <x v="6"/>
    <x v="3"/>
    <s v="Bad"/>
    <n v="157.91"/>
    <n v="45957"/>
    <x v="0"/>
    <n v="10"/>
    <x v="2"/>
    <n v="-3.5122854790703567E-2"/>
    <s v="medium"/>
  </r>
  <r>
    <s v="ORD100205"/>
    <d v="2025-01-02T00:00:00"/>
    <s v="Customer 124"/>
    <x v="3"/>
    <s v="Bihar"/>
    <x v="1"/>
    <s v="Storage"/>
    <x v="7"/>
    <n v="1046.53"/>
    <n v="1"/>
    <n v="0.25"/>
    <n v="75.069999999999993"/>
    <x v="8"/>
    <x v="1"/>
    <s v="Bad"/>
    <n v="1046.53"/>
    <n v="45659"/>
    <x v="0"/>
    <n v="1"/>
    <x v="0"/>
    <n v="7.1732296255243508E-2"/>
    <s v="high"/>
  </r>
  <r>
    <s v="ORD100206"/>
    <d v="2025-11-23T00:00:00"/>
    <s v="Customer 15"/>
    <x v="0"/>
    <s v="Kerala"/>
    <x v="2"/>
    <s v="Accessories"/>
    <x v="18"/>
    <n v="8416.24"/>
    <n v="8"/>
    <n v="0.25"/>
    <n v="-1112.45"/>
    <x v="1"/>
    <x v="1"/>
    <s v="Good"/>
    <n v="1052.03"/>
    <n v="45984"/>
    <x v="0"/>
    <n v="11"/>
    <x v="10"/>
    <n v="-0.13217897778580459"/>
    <s v="high"/>
  </r>
  <r>
    <s v="ORD100207"/>
    <d v="2025-12-05T00:00:00"/>
    <s v="Customer 107"/>
    <x v="1"/>
    <s v="Rajasthan"/>
    <x v="1"/>
    <s v="Chairs"/>
    <x v="4"/>
    <n v="192.26"/>
    <n v="1"/>
    <n v="0.15"/>
    <n v="18.86"/>
    <x v="2"/>
    <x v="3"/>
    <s v="Bad"/>
    <n v="192.26"/>
    <n v="45996"/>
    <x v="0"/>
    <n v="12"/>
    <x v="4"/>
    <n v="9.8096327889316548E-2"/>
    <s v="medium"/>
  </r>
  <r>
    <s v="ORD100208"/>
    <d v="2025-01-29T00:00:00"/>
    <s v="Customer 50"/>
    <x v="2"/>
    <s v="Uttarakhand"/>
    <x v="1"/>
    <s v="Storage"/>
    <x v="15"/>
    <n v="1135.6500000000001"/>
    <n v="1"/>
    <n v="0.2"/>
    <n v="142.78"/>
    <x v="8"/>
    <x v="2"/>
    <s v="Bad"/>
    <n v="1135.6500000000001"/>
    <n v="45686"/>
    <x v="0"/>
    <n v="1"/>
    <x v="0"/>
    <n v="0.12572535552326861"/>
    <s v="medium"/>
  </r>
  <r>
    <s v="ORD100209"/>
    <d v="2025-11-11T00:00:00"/>
    <s v="Customer 48"/>
    <x v="1"/>
    <s v="Rajasthan"/>
    <x v="0"/>
    <s v="Writing"/>
    <x v="19"/>
    <n v="3047.36"/>
    <n v="4"/>
    <n v="0.3"/>
    <n v="-3.1"/>
    <x v="2"/>
    <x v="0"/>
    <s v="Bad"/>
    <n v="761.84"/>
    <n v="45972"/>
    <x v="0"/>
    <n v="11"/>
    <x v="10"/>
    <n v="-1.0172739682873045E-3"/>
    <s v="high"/>
  </r>
  <r>
    <s v="ORD100210"/>
    <d v="2025-10-27T00:00:00"/>
    <s v="Customer 183"/>
    <x v="1"/>
    <s v="Rajasthan"/>
    <x v="1"/>
    <s v="Tables"/>
    <x v="17"/>
    <n v="2869.83"/>
    <n v="3"/>
    <n v="0"/>
    <n v="852.14"/>
    <x v="3"/>
    <x v="0"/>
    <s v="Bad"/>
    <n v="956.61"/>
    <n v="45957"/>
    <x v="0"/>
    <n v="10"/>
    <x v="2"/>
    <n v="0.29693048020266011"/>
    <s v="No Discount"/>
  </r>
  <r>
    <s v="ORD100211"/>
    <d v="2024-07-02T00:00:00"/>
    <s v="Customer 61"/>
    <x v="3"/>
    <s v="Assam"/>
    <x v="2"/>
    <s v="Phones"/>
    <x v="8"/>
    <n v="3757.5"/>
    <n v="9"/>
    <n v="0.15"/>
    <n v="509.53"/>
    <x v="5"/>
    <x v="3"/>
    <s v="Bad"/>
    <n v="417.5"/>
    <n v="45475"/>
    <x v="1"/>
    <n v="7"/>
    <x v="6"/>
    <n v="0.13560345974717231"/>
    <s v="medium"/>
  </r>
  <r>
    <s v="ORD100212"/>
    <d v="2025-02-28T00:00:00"/>
    <s v="Customer 51"/>
    <x v="3"/>
    <s v="Assam"/>
    <x v="2"/>
    <s v="Phones"/>
    <x v="13"/>
    <n v="2536.1999999999998"/>
    <n v="10"/>
    <n v="0"/>
    <n v="872.82"/>
    <x v="7"/>
    <x v="0"/>
    <s v="Bad"/>
    <n v="253.61999999999998"/>
    <n v="45716"/>
    <x v="0"/>
    <n v="2"/>
    <x v="1"/>
    <n v="0.34414478353442163"/>
    <s v="No Discount"/>
  </r>
  <r>
    <s v="ORD100213"/>
    <d v="2024-02-08T00:00:00"/>
    <s v="Customer 143"/>
    <x v="3"/>
    <s v="Assam"/>
    <x v="0"/>
    <s v="Paper"/>
    <x v="11"/>
    <n v="368.8"/>
    <n v="2"/>
    <n v="0"/>
    <n v="85.12"/>
    <x v="6"/>
    <x v="2"/>
    <s v="Bad"/>
    <n v="184.4"/>
    <n v="45330"/>
    <x v="1"/>
    <n v="2"/>
    <x v="1"/>
    <n v="0.23080260303687636"/>
    <s v="No Discount"/>
  </r>
  <r>
    <s v="ORD100214"/>
    <d v="2025-08-02T00:00:00"/>
    <s v="Customer 30"/>
    <x v="3"/>
    <s v="Bihar"/>
    <x v="0"/>
    <s v="Paper"/>
    <x v="2"/>
    <n v="412.71"/>
    <n v="3"/>
    <n v="0.15"/>
    <n v="-8.39"/>
    <x v="8"/>
    <x v="2"/>
    <s v="Bad"/>
    <n v="137.57"/>
    <n v="45871"/>
    <x v="0"/>
    <n v="8"/>
    <x v="11"/>
    <n v="-2.0329044607593712E-2"/>
    <s v="medium"/>
  </r>
  <r>
    <s v="ORD100215"/>
    <d v="2024-08-30T00:00:00"/>
    <s v="Customer 45"/>
    <x v="1"/>
    <s v="Goa"/>
    <x v="1"/>
    <s v="Tables"/>
    <x v="17"/>
    <n v="307.75"/>
    <n v="5"/>
    <n v="0.05"/>
    <n v="95.63"/>
    <x v="1"/>
    <x v="2"/>
    <s v="Bad"/>
    <n v="61.55"/>
    <n v="45534"/>
    <x v="1"/>
    <n v="8"/>
    <x v="11"/>
    <n v="0.31073923639317624"/>
    <s v="Low"/>
  </r>
  <r>
    <s v="ORD100216"/>
    <d v="2025-06-27T00:00:00"/>
    <s v="Customer 17"/>
    <x v="0"/>
    <s v="Tamil Nadu"/>
    <x v="0"/>
    <s v="Binders"/>
    <x v="25"/>
    <n v="1233.05"/>
    <n v="5"/>
    <n v="0.15"/>
    <n v="352.36"/>
    <x v="9"/>
    <x v="0"/>
    <s v="Bad"/>
    <n v="246.60999999999999"/>
    <n v="45835"/>
    <x v="0"/>
    <n v="6"/>
    <x v="9"/>
    <n v="0.28576294554154336"/>
    <s v="medium"/>
  </r>
  <r>
    <s v="ORD100217"/>
    <d v="2024-09-03T00:00:00"/>
    <s v="Customer 135"/>
    <x v="3"/>
    <s v="Assam"/>
    <x v="0"/>
    <s v="Paper"/>
    <x v="11"/>
    <n v="2447.1999999999998"/>
    <n v="7"/>
    <n v="0.25"/>
    <n v="-178.09"/>
    <x v="3"/>
    <x v="1"/>
    <s v="Bad"/>
    <n v="349.59999999999997"/>
    <n v="45538"/>
    <x v="1"/>
    <n v="9"/>
    <x v="5"/>
    <n v="-7.2772965021248776E-2"/>
    <s v="high"/>
  </r>
  <r>
    <s v="ORD100218"/>
    <d v="2025-04-08T00:00:00"/>
    <s v="Customer 86"/>
    <x v="2"/>
    <s v="Uttarakhand"/>
    <x v="2"/>
    <s v="Phones"/>
    <x v="13"/>
    <n v="1800.32"/>
    <n v="8"/>
    <n v="0.25"/>
    <n v="48.55"/>
    <x v="0"/>
    <x v="2"/>
    <s v="Bad"/>
    <n v="225.04"/>
    <n v="45755"/>
    <x v="0"/>
    <n v="4"/>
    <x v="8"/>
    <n v="2.6967428012797723E-2"/>
    <s v="high"/>
  </r>
  <r>
    <s v="ORD100219"/>
    <d v="2024-11-07T00:00:00"/>
    <s v="Customer 150"/>
    <x v="2"/>
    <s v="Uttarakhand"/>
    <x v="2"/>
    <s v="Computers"/>
    <x v="26"/>
    <n v="4080.8"/>
    <n v="10"/>
    <n v="0.3"/>
    <n v="-362.53"/>
    <x v="3"/>
    <x v="0"/>
    <s v="Bad"/>
    <n v="408.08000000000004"/>
    <n v="45603"/>
    <x v="1"/>
    <n v="11"/>
    <x v="10"/>
    <n v="-8.8837972946481075E-2"/>
    <s v="high"/>
  </r>
  <r>
    <s v="ORD100220"/>
    <d v="2025-01-13T00:00:00"/>
    <s v="Customer 70"/>
    <x v="0"/>
    <s v="Telangana"/>
    <x v="2"/>
    <s v="Phones"/>
    <x v="13"/>
    <n v="6652.98"/>
    <n v="9"/>
    <n v="0"/>
    <n v="555.32000000000005"/>
    <x v="0"/>
    <x v="1"/>
    <s v="Good"/>
    <n v="739.21999999999991"/>
    <n v="45670"/>
    <x v="0"/>
    <n v="1"/>
    <x v="0"/>
    <n v="8.3469362601420724E-2"/>
    <s v="No Discount"/>
  </r>
  <r>
    <s v="ORD100221"/>
    <d v="2025-11-21T00:00:00"/>
    <s v="Customer 6"/>
    <x v="2"/>
    <s v="Punjab"/>
    <x v="2"/>
    <s v="Phones"/>
    <x v="13"/>
    <n v="3054.48"/>
    <n v="4"/>
    <n v="0"/>
    <n v="656.2"/>
    <x v="7"/>
    <x v="2"/>
    <s v="Bad"/>
    <n v="763.62"/>
    <n v="45982"/>
    <x v="0"/>
    <n v="11"/>
    <x v="10"/>
    <n v="0.21483198449490587"/>
    <s v="No Discount"/>
  </r>
  <r>
    <s v="ORD100222"/>
    <d v="2025-11-19T00:00:00"/>
    <s v="Customer 26"/>
    <x v="0"/>
    <s v="Telangana"/>
    <x v="2"/>
    <s v="Phones"/>
    <x v="13"/>
    <n v="6696.54"/>
    <n v="6"/>
    <n v="0"/>
    <n v="1890.59"/>
    <x v="6"/>
    <x v="2"/>
    <s v="Bad"/>
    <n v="1116.0899999999999"/>
    <n v="45980"/>
    <x v="0"/>
    <n v="11"/>
    <x v="10"/>
    <n v="0.28232340880514412"/>
    <s v="No Discount"/>
  </r>
  <r>
    <s v="ORD100223"/>
    <d v="2025-10-03T00:00:00"/>
    <s v="Customer 96"/>
    <x v="3"/>
    <s v="West Bengal"/>
    <x v="2"/>
    <s v="Phones"/>
    <x v="13"/>
    <n v="3232.7"/>
    <n v="10"/>
    <n v="0.3"/>
    <n v="100.75"/>
    <x v="5"/>
    <x v="0"/>
    <s v="Bad"/>
    <n v="323.27"/>
    <n v="45933"/>
    <x v="0"/>
    <n v="10"/>
    <x v="2"/>
    <n v="3.1165898474959014E-2"/>
    <s v="high"/>
  </r>
  <r>
    <s v="ORD100224"/>
    <d v="2025-03-21T00:00:00"/>
    <s v="Customer 173"/>
    <x v="3"/>
    <s v="Assam"/>
    <x v="2"/>
    <s v="Phones"/>
    <x v="23"/>
    <n v="4505.96"/>
    <n v="4"/>
    <n v="0.05"/>
    <n v="826.72"/>
    <x v="6"/>
    <x v="3"/>
    <s v="Bad"/>
    <n v="1126.49"/>
    <n v="45737"/>
    <x v="0"/>
    <n v="3"/>
    <x v="3"/>
    <n v="0.18347255634759296"/>
    <s v="Low"/>
  </r>
  <r>
    <s v="ORD100225"/>
    <d v="2024-02-07T00:00:00"/>
    <s v="Customer 90"/>
    <x v="2"/>
    <s v="Punjab"/>
    <x v="0"/>
    <s v="Writing"/>
    <x v="3"/>
    <n v="3291.15"/>
    <n v="5"/>
    <n v="0.25"/>
    <n v="113.67"/>
    <x v="4"/>
    <x v="3"/>
    <s v="Bad"/>
    <n v="658.23"/>
    <n v="45329"/>
    <x v="1"/>
    <n v="2"/>
    <x v="1"/>
    <n v="3.4538079394740441E-2"/>
    <s v="high"/>
  </r>
  <r>
    <s v="ORD100226"/>
    <d v="2025-06-19T00:00:00"/>
    <s v="Customer 79"/>
    <x v="0"/>
    <s v="Karnataka"/>
    <x v="1"/>
    <s v="Storage"/>
    <x v="15"/>
    <n v="1311.12"/>
    <n v="8"/>
    <n v="0"/>
    <n v="200.65"/>
    <x v="0"/>
    <x v="2"/>
    <s v="Bad"/>
    <n v="163.89"/>
    <n v="45827"/>
    <x v="0"/>
    <n v="6"/>
    <x v="9"/>
    <n v="0.15303709805357255"/>
    <s v="No Discount"/>
  </r>
  <r>
    <s v="ORD100227"/>
    <d v="2024-09-26T00:00:00"/>
    <s v="Customer 74"/>
    <x v="0"/>
    <s v="Karnataka"/>
    <x v="0"/>
    <s v="Binders"/>
    <x v="25"/>
    <n v="9410.85"/>
    <n v="9"/>
    <n v="0.25"/>
    <n v="-505.42"/>
    <x v="0"/>
    <x v="3"/>
    <s v="Good"/>
    <n v="1045.6500000000001"/>
    <n v="45561"/>
    <x v="1"/>
    <n v="9"/>
    <x v="5"/>
    <n v="-5.3706094561065156E-2"/>
    <s v="high"/>
  </r>
  <r>
    <s v="ORD100228"/>
    <d v="2025-09-19T00:00:00"/>
    <s v="Customer 94"/>
    <x v="2"/>
    <s v="Haryana"/>
    <x v="2"/>
    <s v="Accessories"/>
    <x v="20"/>
    <n v="899.01"/>
    <n v="9"/>
    <n v="0"/>
    <n v="201.68"/>
    <x v="4"/>
    <x v="1"/>
    <s v="Bad"/>
    <n v="99.89"/>
    <n v="45919"/>
    <x v="0"/>
    <n v="9"/>
    <x v="5"/>
    <n v="0.224335658112813"/>
    <s v="No Discount"/>
  </r>
  <r>
    <s v="ORD100229"/>
    <d v="2025-02-02T00:00:00"/>
    <s v="Customer 132"/>
    <x v="3"/>
    <s v="Odisha"/>
    <x v="0"/>
    <s v="Binders"/>
    <x v="0"/>
    <n v="2519.04"/>
    <n v="6"/>
    <n v="0"/>
    <n v="427.19"/>
    <x v="0"/>
    <x v="3"/>
    <s v="Bad"/>
    <n v="419.84"/>
    <n v="45690"/>
    <x v="0"/>
    <n v="2"/>
    <x v="1"/>
    <n v="0.16958444486788618"/>
    <s v="No Discount"/>
  </r>
  <r>
    <s v="ORD100230"/>
    <d v="2024-08-17T00:00:00"/>
    <s v="Customer 151"/>
    <x v="2"/>
    <s v="Delhi"/>
    <x v="2"/>
    <s v="Computers"/>
    <x v="6"/>
    <n v="630.9"/>
    <n v="5"/>
    <n v="0.1"/>
    <n v="213.13"/>
    <x v="0"/>
    <x v="2"/>
    <s v="Bad"/>
    <n v="126.17999999999999"/>
    <n v="45521"/>
    <x v="1"/>
    <n v="8"/>
    <x v="11"/>
    <n v="0.33781898874623556"/>
    <s v="Low"/>
  </r>
  <r>
    <s v="ORD100231"/>
    <d v="2025-04-12T00:00:00"/>
    <s v="Customer 65"/>
    <x v="0"/>
    <s v="Karnataka"/>
    <x v="0"/>
    <s v="Writing"/>
    <x v="1"/>
    <n v="4326.28"/>
    <n v="4"/>
    <n v="0.3"/>
    <n v="180.72"/>
    <x v="5"/>
    <x v="1"/>
    <s v="Bad"/>
    <n v="1081.57"/>
    <n v="45759"/>
    <x v="0"/>
    <n v="4"/>
    <x v="8"/>
    <n v="4.17726083378792E-2"/>
    <s v="high"/>
  </r>
  <r>
    <s v="ORD100232"/>
    <d v="2025-07-08T00:00:00"/>
    <s v="Customer 167"/>
    <x v="1"/>
    <s v="Goa"/>
    <x v="1"/>
    <s v="Storage"/>
    <x v="7"/>
    <n v="6087.72"/>
    <n v="6"/>
    <n v="0.05"/>
    <n v="561.76"/>
    <x v="4"/>
    <x v="2"/>
    <s v="Bad"/>
    <n v="1014.62"/>
    <n v="45846"/>
    <x v="0"/>
    <n v="7"/>
    <x v="6"/>
    <n v="9.2277568613536753E-2"/>
    <s v="Low"/>
  </r>
  <r>
    <s v="ORD100233"/>
    <d v="2024-07-18T00:00:00"/>
    <s v="Customer 71"/>
    <x v="3"/>
    <s v="West Bengal"/>
    <x v="2"/>
    <s v="Phones"/>
    <x v="8"/>
    <n v="740.29"/>
    <n v="1"/>
    <n v="0.05"/>
    <n v="103.14"/>
    <x v="2"/>
    <x v="2"/>
    <s v="Bad"/>
    <n v="740.29"/>
    <n v="45491"/>
    <x v="1"/>
    <n v="7"/>
    <x v="6"/>
    <n v="0.13932377851922895"/>
    <s v="Low"/>
  </r>
  <r>
    <s v="ORD100234"/>
    <d v="2024-01-11T00:00:00"/>
    <s v="Customer 64"/>
    <x v="2"/>
    <s v="Punjab"/>
    <x v="1"/>
    <s v="Tables"/>
    <x v="16"/>
    <n v="1873.5"/>
    <n v="3"/>
    <n v="0.05"/>
    <n v="71.62"/>
    <x v="3"/>
    <x v="0"/>
    <s v="Bad"/>
    <n v="624.5"/>
    <n v="45302"/>
    <x v="1"/>
    <n v="1"/>
    <x v="0"/>
    <n v="3.822791566586603E-2"/>
    <s v="Low"/>
  </r>
  <r>
    <s v="ORD100235"/>
    <d v="2025-03-08T00:00:00"/>
    <s v="Customer 189"/>
    <x v="1"/>
    <s v="Maharashtra"/>
    <x v="2"/>
    <s v="Computers"/>
    <x v="6"/>
    <n v="2026.98"/>
    <n v="2"/>
    <n v="0.25"/>
    <n v="-373.99"/>
    <x v="1"/>
    <x v="1"/>
    <s v="Bad"/>
    <n v="1013.49"/>
    <n v="45724"/>
    <x v="0"/>
    <n v="3"/>
    <x v="3"/>
    <n v="-0.18450601387285517"/>
    <s v="high"/>
  </r>
  <r>
    <s v="ORD100236"/>
    <d v="2024-09-09T00:00:00"/>
    <s v="Customer 2"/>
    <x v="1"/>
    <s v="Goa"/>
    <x v="1"/>
    <s v="Storage"/>
    <x v="24"/>
    <n v="314.60000000000002"/>
    <n v="4"/>
    <n v="0.2"/>
    <n v="-6.47"/>
    <x v="0"/>
    <x v="0"/>
    <s v="Bad"/>
    <n v="78.650000000000006"/>
    <n v="45544"/>
    <x v="1"/>
    <n v="9"/>
    <x v="5"/>
    <n v="-2.0565797838525111E-2"/>
    <s v="medium"/>
  </r>
  <r>
    <s v="ORD100237"/>
    <d v="2025-05-10T00:00:00"/>
    <s v="Customer 121"/>
    <x v="2"/>
    <s v="Uttarakhand"/>
    <x v="1"/>
    <s v="Tables"/>
    <x v="17"/>
    <n v="934.32"/>
    <n v="3"/>
    <n v="0.1"/>
    <n v="266.76"/>
    <x v="2"/>
    <x v="0"/>
    <s v="Bad"/>
    <n v="311.44"/>
    <n v="45787"/>
    <x v="0"/>
    <n v="5"/>
    <x v="7"/>
    <n v="0.28551245825841248"/>
    <s v="Low"/>
  </r>
  <r>
    <s v="ORD100238"/>
    <d v="2025-09-30T00:00:00"/>
    <s v="Customer 67"/>
    <x v="2"/>
    <s v="Haryana"/>
    <x v="1"/>
    <s v="Chairs"/>
    <x v="5"/>
    <n v="743.13"/>
    <n v="9"/>
    <n v="0.2"/>
    <n v="-85.62"/>
    <x v="1"/>
    <x v="1"/>
    <s v="Bad"/>
    <n v="82.57"/>
    <n v="45930"/>
    <x v="0"/>
    <n v="9"/>
    <x v="5"/>
    <n v="-0.11521537281498527"/>
    <s v="medium"/>
  </r>
  <r>
    <s v="ORD100239"/>
    <d v="2024-10-26T00:00:00"/>
    <s v="Customer 22"/>
    <x v="1"/>
    <s v="Rajasthan"/>
    <x v="2"/>
    <s v="Computers"/>
    <x v="26"/>
    <n v="1885.6"/>
    <n v="2"/>
    <n v="0.2"/>
    <n v="148.38"/>
    <x v="1"/>
    <x v="0"/>
    <s v="Bad"/>
    <n v="942.8"/>
    <n v="45591"/>
    <x v="1"/>
    <n v="10"/>
    <x v="2"/>
    <n v="7.869113279592703E-2"/>
    <s v="medium"/>
  </r>
  <r>
    <s v="ORD100240"/>
    <d v="2025-01-31T00:00:00"/>
    <s v="Customer 91"/>
    <x v="0"/>
    <s v="Telangana"/>
    <x v="2"/>
    <s v="Accessories"/>
    <x v="12"/>
    <n v="7725.92"/>
    <n v="8"/>
    <n v="0.15"/>
    <n v="1076.1199999999999"/>
    <x v="2"/>
    <x v="1"/>
    <s v="Good"/>
    <n v="965.74"/>
    <n v="45688"/>
    <x v="0"/>
    <n v="1"/>
    <x v="0"/>
    <n v="0.13928697164868389"/>
    <s v="medium"/>
  </r>
  <r>
    <s v="ORD100241"/>
    <d v="2024-02-11T00:00:00"/>
    <s v="Customer 153"/>
    <x v="2"/>
    <s v="Haryana"/>
    <x v="0"/>
    <s v="Binders"/>
    <x v="22"/>
    <n v="123"/>
    <n v="1"/>
    <n v="0"/>
    <n v="15.55"/>
    <x v="8"/>
    <x v="3"/>
    <s v="Bad"/>
    <n v="123"/>
    <n v="45333"/>
    <x v="1"/>
    <n v="2"/>
    <x v="1"/>
    <n v="0.12642276422764229"/>
    <s v="No Discount"/>
  </r>
  <r>
    <s v="ORD100242"/>
    <d v="2025-08-07T00:00:00"/>
    <s v="Customer 69"/>
    <x v="2"/>
    <s v="Punjab"/>
    <x v="0"/>
    <s v="Paper"/>
    <x v="11"/>
    <n v="366.1"/>
    <n v="7"/>
    <n v="0.1"/>
    <n v="107.63"/>
    <x v="7"/>
    <x v="1"/>
    <s v="Bad"/>
    <n v="52.300000000000004"/>
    <n v="45876"/>
    <x v="0"/>
    <n v="8"/>
    <x v="11"/>
    <n v="0.2939907129199672"/>
    <s v="Low"/>
  </r>
  <r>
    <s v="ORD100243"/>
    <d v="2025-12-24T00:00:00"/>
    <s v="Customer 170"/>
    <x v="0"/>
    <s v="Tamil Nadu"/>
    <x v="0"/>
    <s v="Binders"/>
    <x v="25"/>
    <n v="1039.4000000000001"/>
    <n v="10"/>
    <n v="0.1"/>
    <n v="265.93"/>
    <x v="4"/>
    <x v="0"/>
    <s v="Bad"/>
    <n v="103.94000000000001"/>
    <n v="46015"/>
    <x v="0"/>
    <n v="12"/>
    <x v="4"/>
    <n v="0.25584952857417742"/>
    <s v="Low"/>
  </r>
  <r>
    <s v="ORD100244"/>
    <d v="2025-03-05T00:00:00"/>
    <s v="Customer 66"/>
    <x v="1"/>
    <s v="Rajasthan"/>
    <x v="2"/>
    <s v="Accessories"/>
    <x v="20"/>
    <n v="4093.56"/>
    <n v="9"/>
    <n v="0.05"/>
    <n v="872.03"/>
    <x v="2"/>
    <x v="0"/>
    <s v="Bad"/>
    <n v="454.84"/>
    <n v="45721"/>
    <x v="0"/>
    <n v="3"/>
    <x v="3"/>
    <n v="0.213024848786875"/>
    <s v="Low"/>
  </r>
  <r>
    <s v="ORD100245"/>
    <d v="2025-05-09T00:00:00"/>
    <s v="Customer 148"/>
    <x v="2"/>
    <s v="Haryana"/>
    <x v="0"/>
    <s v="Writing"/>
    <x v="3"/>
    <n v="5267.2"/>
    <n v="5"/>
    <n v="0.3"/>
    <n v="289.19"/>
    <x v="9"/>
    <x v="1"/>
    <s v="Bad"/>
    <n v="1053.44"/>
    <n v="45786"/>
    <x v="0"/>
    <n v="5"/>
    <x v="7"/>
    <n v="5.4903933778857841E-2"/>
    <s v="high"/>
  </r>
  <r>
    <s v="ORD100246"/>
    <d v="2025-06-13T00:00:00"/>
    <s v="Customer 112"/>
    <x v="1"/>
    <s v="Maharashtra"/>
    <x v="2"/>
    <s v="Computers"/>
    <x v="26"/>
    <n v="1542.69"/>
    <n v="9"/>
    <n v="0.3"/>
    <n v="38.020000000000003"/>
    <x v="8"/>
    <x v="2"/>
    <s v="Bad"/>
    <n v="171.41"/>
    <n v="45821"/>
    <x v="0"/>
    <n v="6"/>
    <x v="9"/>
    <n v="2.4645262496029663E-2"/>
    <s v="high"/>
  </r>
  <r>
    <s v="ORD100247"/>
    <d v="2025-07-13T00:00:00"/>
    <s v="Customer 67"/>
    <x v="2"/>
    <s v="Delhi"/>
    <x v="2"/>
    <s v="Phones"/>
    <x v="13"/>
    <n v="685.38"/>
    <n v="6"/>
    <n v="0.2"/>
    <n v="109.82"/>
    <x v="3"/>
    <x v="3"/>
    <s v="Bad"/>
    <n v="114.23"/>
    <n v="45851"/>
    <x v="0"/>
    <n v="7"/>
    <x v="6"/>
    <n v="0.16023227990311942"/>
    <s v="medium"/>
  </r>
  <r>
    <s v="ORD100248"/>
    <d v="2025-07-16T00:00:00"/>
    <s v="Customer 86"/>
    <x v="2"/>
    <s v="Delhi"/>
    <x v="0"/>
    <s v="Writing"/>
    <x v="1"/>
    <n v="1548.19"/>
    <n v="7"/>
    <n v="0.25"/>
    <n v="-103.91"/>
    <x v="7"/>
    <x v="2"/>
    <s v="Bad"/>
    <n v="221.17000000000002"/>
    <n v="45854"/>
    <x v="0"/>
    <n v="7"/>
    <x v="6"/>
    <n v="-6.7117085112292418E-2"/>
    <s v="high"/>
  </r>
  <r>
    <s v="ORD100249"/>
    <d v="2024-03-14T00:00:00"/>
    <s v="Customer 106"/>
    <x v="3"/>
    <s v="Assam"/>
    <x v="2"/>
    <s v="Accessories"/>
    <x v="20"/>
    <n v="5036.3999999999996"/>
    <n v="6"/>
    <n v="0"/>
    <n v="2181.09"/>
    <x v="3"/>
    <x v="2"/>
    <s v="Bad"/>
    <n v="839.4"/>
    <n v="45365"/>
    <x v="1"/>
    <n v="3"/>
    <x v="3"/>
    <n v="0.43306528472718614"/>
    <s v="No Discount"/>
  </r>
  <r>
    <s v="ORD100250"/>
    <d v="2024-01-16T00:00:00"/>
    <s v="Customer 128"/>
    <x v="0"/>
    <s v="Telangana"/>
    <x v="1"/>
    <s v="Tables"/>
    <x v="17"/>
    <n v="3679.14"/>
    <n v="6"/>
    <n v="0.25"/>
    <n v="-598.41999999999996"/>
    <x v="7"/>
    <x v="2"/>
    <s v="Bad"/>
    <n v="613.18999999999994"/>
    <n v="45307"/>
    <x v="1"/>
    <n v="1"/>
    <x v="0"/>
    <n v="-0.16265214153307567"/>
    <s v="high"/>
  </r>
  <r>
    <s v="ORD100251"/>
    <d v="2024-02-04T00:00:00"/>
    <s v="Customer 161"/>
    <x v="1"/>
    <s v="Goa"/>
    <x v="2"/>
    <s v="Phones"/>
    <x v="8"/>
    <n v="3349.71"/>
    <n v="7"/>
    <n v="0.1"/>
    <n v="696.57"/>
    <x v="0"/>
    <x v="3"/>
    <s v="Bad"/>
    <n v="478.53000000000003"/>
    <n v="45326"/>
    <x v="1"/>
    <n v="2"/>
    <x v="1"/>
    <n v="0.20794934486866029"/>
    <s v="Low"/>
  </r>
  <r>
    <s v="ORD100252"/>
    <d v="2025-01-11T00:00:00"/>
    <s v="Customer 134"/>
    <x v="3"/>
    <s v="Assam"/>
    <x v="0"/>
    <s v="Writing"/>
    <x v="3"/>
    <n v="2559.88"/>
    <n v="4"/>
    <n v="0.1"/>
    <n v="829.81"/>
    <x v="7"/>
    <x v="2"/>
    <s v="Bad"/>
    <n v="639.97"/>
    <n v="45668"/>
    <x v="0"/>
    <n v="1"/>
    <x v="0"/>
    <n v="0.32415972623716732"/>
    <s v="Low"/>
  </r>
  <r>
    <s v="ORD100253"/>
    <d v="2025-01-31T00:00:00"/>
    <s v="Customer 122"/>
    <x v="2"/>
    <s v="Punjab"/>
    <x v="2"/>
    <s v="Computers"/>
    <x v="26"/>
    <n v="6758.85"/>
    <n v="7"/>
    <n v="0"/>
    <n v="1289.29"/>
    <x v="8"/>
    <x v="0"/>
    <s v="Bad"/>
    <n v="965.55000000000007"/>
    <n v="45688"/>
    <x v="0"/>
    <n v="1"/>
    <x v="0"/>
    <n v="0.19075582384577255"/>
    <s v="No Discount"/>
  </r>
  <r>
    <s v="ORD100254"/>
    <d v="2025-07-27T00:00:00"/>
    <s v="Customer 69"/>
    <x v="1"/>
    <s v="Maharashtra"/>
    <x v="1"/>
    <s v="Chairs"/>
    <x v="14"/>
    <n v="2126.8000000000002"/>
    <n v="4"/>
    <n v="0"/>
    <n v="440.77"/>
    <x v="0"/>
    <x v="3"/>
    <s v="Bad"/>
    <n v="531.70000000000005"/>
    <n v="45865"/>
    <x v="0"/>
    <n v="7"/>
    <x v="6"/>
    <n v="0.20724562723340226"/>
    <s v="No Discount"/>
  </r>
  <r>
    <s v="ORD100255"/>
    <d v="2024-01-03T00:00:00"/>
    <s v="Customer 128"/>
    <x v="1"/>
    <s v="Maharashtra"/>
    <x v="2"/>
    <s v="Computers"/>
    <x v="26"/>
    <n v="8304.48"/>
    <n v="8"/>
    <n v="0.05"/>
    <n v="1783.91"/>
    <x v="0"/>
    <x v="0"/>
    <s v="Good"/>
    <n v="1038.06"/>
    <n v="45294"/>
    <x v="1"/>
    <n v="1"/>
    <x v="0"/>
    <n v="0.21481296842186387"/>
    <s v="Low"/>
  </r>
  <r>
    <s v="ORD100256"/>
    <d v="2024-10-13T00:00:00"/>
    <s v="Customer 194"/>
    <x v="0"/>
    <s v="Karnataka"/>
    <x v="2"/>
    <s v="Computers"/>
    <x v="6"/>
    <n v="5749.02"/>
    <n v="6"/>
    <n v="0.1"/>
    <n v="1213"/>
    <x v="3"/>
    <x v="0"/>
    <s v="Bad"/>
    <n v="958.17000000000007"/>
    <n v="45578"/>
    <x v="1"/>
    <n v="10"/>
    <x v="2"/>
    <n v="0.21099248219696573"/>
    <s v="Low"/>
  </r>
  <r>
    <s v="ORD100257"/>
    <d v="2024-10-16T00:00:00"/>
    <s v="Customer 69"/>
    <x v="1"/>
    <s v="Gujarat"/>
    <x v="2"/>
    <s v="Phones"/>
    <x v="8"/>
    <n v="250.05"/>
    <n v="3"/>
    <n v="0"/>
    <n v="31.85"/>
    <x v="9"/>
    <x v="3"/>
    <s v="Bad"/>
    <n v="83.350000000000009"/>
    <n v="45581"/>
    <x v="1"/>
    <n v="10"/>
    <x v="2"/>
    <n v="0.12737452509498101"/>
    <s v="No Discount"/>
  </r>
  <r>
    <s v="ORD100258"/>
    <d v="2024-06-24T00:00:00"/>
    <s v="Customer 22"/>
    <x v="0"/>
    <s v="Tamil Nadu"/>
    <x v="2"/>
    <s v="Accessories"/>
    <x v="18"/>
    <n v="1999.84"/>
    <n v="2"/>
    <n v="0.05"/>
    <n v="774.42"/>
    <x v="5"/>
    <x v="1"/>
    <s v="Bad"/>
    <n v="999.92"/>
    <n v="45467"/>
    <x v="1"/>
    <n v="6"/>
    <x v="9"/>
    <n v="0.38724097927834228"/>
    <s v="Low"/>
  </r>
  <r>
    <s v="ORD100259"/>
    <d v="2024-01-12T00:00:00"/>
    <s v="Customer 59"/>
    <x v="1"/>
    <s v="Goa"/>
    <x v="0"/>
    <s v="Paper"/>
    <x v="2"/>
    <n v="274.24"/>
    <n v="4"/>
    <n v="0.1"/>
    <n v="87.02"/>
    <x v="4"/>
    <x v="0"/>
    <s v="Bad"/>
    <n v="68.56"/>
    <n v="45303"/>
    <x v="1"/>
    <n v="1"/>
    <x v="0"/>
    <n v="0.31731330221703613"/>
    <s v="Low"/>
  </r>
  <r>
    <s v="ORD100260"/>
    <d v="2025-04-13T00:00:00"/>
    <s v="Customer 191"/>
    <x v="2"/>
    <s v="Delhi"/>
    <x v="2"/>
    <s v="Computers"/>
    <x v="10"/>
    <n v="3566.43"/>
    <n v="9"/>
    <n v="0.3"/>
    <n v="530.70000000000005"/>
    <x v="4"/>
    <x v="3"/>
    <s v="Bad"/>
    <n v="396.27"/>
    <n v="45760"/>
    <x v="0"/>
    <n v="4"/>
    <x v="8"/>
    <n v="0.1488042664513253"/>
    <s v="high"/>
  </r>
  <r>
    <s v="ORD100261"/>
    <d v="2024-04-12T00:00:00"/>
    <s v="Customer 156"/>
    <x v="2"/>
    <s v="Haryana"/>
    <x v="2"/>
    <s v="Phones"/>
    <x v="13"/>
    <n v="555.78"/>
    <n v="3"/>
    <n v="0.1"/>
    <n v="96.93"/>
    <x v="7"/>
    <x v="2"/>
    <s v="Bad"/>
    <n v="185.26"/>
    <n v="45394"/>
    <x v="1"/>
    <n v="4"/>
    <x v="8"/>
    <n v="0.17440354096944835"/>
    <s v="Low"/>
  </r>
  <r>
    <s v="ORD100262"/>
    <d v="2024-09-05T00:00:00"/>
    <s v="Customer 70"/>
    <x v="1"/>
    <s v="Maharashtra"/>
    <x v="1"/>
    <s v="Tables"/>
    <x v="17"/>
    <n v="6562.26"/>
    <n v="9"/>
    <n v="0.15"/>
    <n v="638.41999999999996"/>
    <x v="4"/>
    <x v="3"/>
    <s v="Good"/>
    <n v="729.14"/>
    <n v="45540"/>
    <x v="1"/>
    <n v="9"/>
    <x v="5"/>
    <n v="9.7286605529192674E-2"/>
    <s v="medium"/>
  </r>
  <r>
    <s v="ORD100263"/>
    <d v="2024-08-30T00:00:00"/>
    <s v="Customer 103"/>
    <x v="0"/>
    <s v="Telangana"/>
    <x v="2"/>
    <s v="Accessories"/>
    <x v="12"/>
    <n v="2862.05"/>
    <n v="5"/>
    <n v="0.25"/>
    <n v="-123.84"/>
    <x v="0"/>
    <x v="3"/>
    <s v="Bad"/>
    <n v="572.41000000000008"/>
    <n v="45534"/>
    <x v="1"/>
    <n v="8"/>
    <x v="11"/>
    <n v="-4.3269684317185232E-2"/>
    <s v="high"/>
  </r>
  <r>
    <s v="ORD100264"/>
    <d v="2025-02-27T00:00:00"/>
    <s v="Customer 59"/>
    <x v="2"/>
    <s v="Uttarakhand"/>
    <x v="2"/>
    <s v="Computers"/>
    <x v="26"/>
    <n v="1000.94"/>
    <n v="2"/>
    <n v="0.1"/>
    <n v="176.34"/>
    <x v="4"/>
    <x v="2"/>
    <s v="Bad"/>
    <n v="500.47"/>
    <n v="45715"/>
    <x v="0"/>
    <n v="2"/>
    <x v="1"/>
    <n v="0.17617439606769636"/>
    <s v="Low"/>
  </r>
  <r>
    <s v="ORD100265"/>
    <d v="2025-01-29T00:00:00"/>
    <s v="Customer 18"/>
    <x v="2"/>
    <s v="Uttarakhand"/>
    <x v="1"/>
    <s v="Storage"/>
    <x v="15"/>
    <n v="2710.4"/>
    <n v="8"/>
    <n v="0.15"/>
    <n v="534.28"/>
    <x v="9"/>
    <x v="2"/>
    <s v="Bad"/>
    <n v="338.8"/>
    <n v="45686"/>
    <x v="0"/>
    <n v="1"/>
    <x v="0"/>
    <n v="0.19712219598583233"/>
    <s v="medium"/>
  </r>
  <r>
    <s v="ORD100266"/>
    <d v="2025-01-20T00:00:00"/>
    <s v="Customer 49"/>
    <x v="0"/>
    <s v="Kerala"/>
    <x v="2"/>
    <s v="Phones"/>
    <x v="8"/>
    <n v="2606.6999999999998"/>
    <n v="5"/>
    <n v="0.3"/>
    <n v="-27.72"/>
    <x v="2"/>
    <x v="0"/>
    <s v="Bad"/>
    <n v="521.33999999999992"/>
    <n v="45677"/>
    <x v="0"/>
    <n v="1"/>
    <x v="0"/>
    <n v="-1.0634135113361722E-2"/>
    <s v="high"/>
  </r>
  <r>
    <s v="ORD100267"/>
    <d v="2025-04-22T00:00:00"/>
    <s v="Customer 138"/>
    <x v="2"/>
    <s v="Haryana"/>
    <x v="0"/>
    <s v="Paper"/>
    <x v="21"/>
    <n v="316.25"/>
    <n v="5"/>
    <n v="0"/>
    <n v="30.03"/>
    <x v="7"/>
    <x v="0"/>
    <s v="Bad"/>
    <n v="63.25"/>
    <n v="45769"/>
    <x v="0"/>
    <n v="4"/>
    <x v="8"/>
    <n v="9.4956521739130439E-2"/>
    <s v="No Discount"/>
  </r>
  <r>
    <s v="ORD100268"/>
    <d v="2024-12-06T00:00:00"/>
    <s v="Customer 32"/>
    <x v="3"/>
    <s v="Assam"/>
    <x v="2"/>
    <s v="Computers"/>
    <x v="6"/>
    <n v="1954.28"/>
    <n v="4"/>
    <n v="0.1"/>
    <n v="330.33"/>
    <x v="5"/>
    <x v="3"/>
    <s v="Bad"/>
    <n v="488.57"/>
    <n v="45632"/>
    <x v="1"/>
    <n v="12"/>
    <x v="4"/>
    <n v="0.16902900300878071"/>
    <s v="Low"/>
  </r>
  <r>
    <s v="ORD100269"/>
    <d v="2025-05-14T00:00:00"/>
    <s v="Customer 17"/>
    <x v="2"/>
    <s v="Punjab"/>
    <x v="1"/>
    <s v="Tables"/>
    <x v="9"/>
    <n v="9531.9"/>
    <n v="10"/>
    <n v="0.05"/>
    <n v="1975.88"/>
    <x v="3"/>
    <x v="1"/>
    <s v="Good"/>
    <n v="953.18999999999994"/>
    <n v="45791"/>
    <x v="0"/>
    <n v="5"/>
    <x v="7"/>
    <n v="0.20729130603552284"/>
    <s v="Low"/>
  </r>
  <r>
    <s v="ORD100270"/>
    <d v="2024-07-24T00:00:00"/>
    <s v="Customer 161"/>
    <x v="1"/>
    <s v="Goa"/>
    <x v="0"/>
    <s v="Paper"/>
    <x v="2"/>
    <n v="4440.7"/>
    <n v="5"/>
    <n v="0.3"/>
    <n v="614.54"/>
    <x v="3"/>
    <x v="3"/>
    <s v="Bad"/>
    <n v="888.14"/>
    <n v="45497"/>
    <x v="1"/>
    <n v="7"/>
    <x v="6"/>
    <n v="0.13838809196748261"/>
    <s v="high"/>
  </r>
  <r>
    <s v="ORD100271"/>
    <d v="2024-03-07T00:00:00"/>
    <s v="Customer 64"/>
    <x v="1"/>
    <s v="Rajasthan"/>
    <x v="2"/>
    <s v="Accessories"/>
    <x v="18"/>
    <n v="3007.44"/>
    <n v="6"/>
    <n v="0.2"/>
    <n v="-115.81"/>
    <x v="7"/>
    <x v="3"/>
    <s v="Bad"/>
    <n v="501.24"/>
    <n v="45358"/>
    <x v="1"/>
    <n v="3"/>
    <x v="3"/>
    <n v="-3.8507833905248319E-2"/>
    <s v="medium"/>
  </r>
  <r>
    <s v="ORD100272"/>
    <d v="2024-04-21T00:00:00"/>
    <s v="Customer 149"/>
    <x v="1"/>
    <s v="Maharashtra"/>
    <x v="2"/>
    <s v="Accessories"/>
    <x v="18"/>
    <n v="6130.08"/>
    <n v="6"/>
    <n v="0.1"/>
    <n v="384.87"/>
    <x v="9"/>
    <x v="1"/>
    <s v="Bad"/>
    <n v="1021.68"/>
    <n v="45403"/>
    <x v="1"/>
    <n v="4"/>
    <x v="8"/>
    <n v="6.2783846214078773E-2"/>
    <s v="Low"/>
  </r>
  <r>
    <s v="ORD100273"/>
    <d v="2024-02-01T00:00:00"/>
    <s v="Customer 149"/>
    <x v="2"/>
    <s v="Delhi"/>
    <x v="0"/>
    <s v="Paper"/>
    <x v="11"/>
    <n v="325.98"/>
    <n v="1"/>
    <n v="0.15"/>
    <n v="4.68"/>
    <x v="1"/>
    <x v="3"/>
    <s v="Bad"/>
    <n v="325.98"/>
    <n v="45323"/>
    <x v="1"/>
    <n v="2"/>
    <x v="1"/>
    <n v="1.4356709000552179E-2"/>
    <s v="medium"/>
  </r>
  <r>
    <s v="ORD100274"/>
    <d v="2025-12-19T00:00:00"/>
    <s v="Customer 154"/>
    <x v="2"/>
    <s v="Haryana"/>
    <x v="2"/>
    <s v="Accessories"/>
    <x v="12"/>
    <n v="78.540000000000006"/>
    <n v="2"/>
    <n v="0.15"/>
    <n v="9.51"/>
    <x v="6"/>
    <x v="0"/>
    <s v="Bad"/>
    <n v="39.270000000000003"/>
    <n v="46010"/>
    <x v="0"/>
    <n v="12"/>
    <x v="4"/>
    <n v="0.12108479755538577"/>
    <s v="medium"/>
  </r>
  <r>
    <s v="ORD100275"/>
    <d v="2024-06-14T00:00:00"/>
    <s v="Customer 192"/>
    <x v="0"/>
    <s v="Tamil Nadu"/>
    <x v="0"/>
    <s v="Binders"/>
    <x v="22"/>
    <n v="2913.24"/>
    <n v="3"/>
    <n v="0.3"/>
    <n v="-141.18"/>
    <x v="9"/>
    <x v="2"/>
    <s v="Bad"/>
    <n v="971.07999999999993"/>
    <n v="45457"/>
    <x v="1"/>
    <n v="6"/>
    <x v="9"/>
    <n v="-4.846150677596079E-2"/>
    <s v="high"/>
  </r>
  <r>
    <s v="ORD100276"/>
    <d v="2024-11-29T00:00:00"/>
    <s v="Customer 12"/>
    <x v="1"/>
    <s v="Rajasthan"/>
    <x v="1"/>
    <s v="Tables"/>
    <x v="9"/>
    <n v="9035.2800000000007"/>
    <n v="8"/>
    <n v="0.1"/>
    <n v="293"/>
    <x v="4"/>
    <x v="1"/>
    <s v="Good"/>
    <n v="1129.4100000000001"/>
    <n v="45625"/>
    <x v="1"/>
    <n v="11"/>
    <x v="10"/>
    <n v="3.242843608609805E-2"/>
    <s v="Low"/>
  </r>
  <r>
    <s v="ORD100277"/>
    <d v="2025-09-25T00:00:00"/>
    <s v="Customer 62"/>
    <x v="3"/>
    <s v="West Bengal"/>
    <x v="1"/>
    <s v="Tables"/>
    <x v="17"/>
    <n v="8986.24"/>
    <n v="8"/>
    <n v="0.2"/>
    <n v="103.91"/>
    <x v="4"/>
    <x v="2"/>
    <s v="Good"/>
    <n v="1123.28"/>
    <n v="45925"/>
    <x v="0"/>
    <n v="9"/>
    <x v="5"/>
    <n v="1.156323445623531E-2"/>
    <s v="medium"/>
  </r>
  <r>
    <s v="ORD100278"/>
    <d v="2025-01-09T00:00:00"/>
    <s v="Customer 180"/>
    <x v="0"/>
    <s v="Tamil Nadu"/>
    <x v="2"/>
    <s v="Accessories"/>
    <x v="18"/>
    <n v="9611.82"/>
    <n v="9"/>
    <n v="0"/>
    <n v="3432.98"/>
    <x v="6"/>
    <x v="3"/>
    <s v="Good"/>
    <n v="1067.98"/>
    <n v="45666"/>
    <x v="0"/>
    <n v="1"/>
    <x v="0"/>
    <n v="0.35716232721794627"/>
    <s v="No Discount"/>
  </r>
  <r>
    <s v="ORD100279"/>
    <d v="2024-09-14T00:00:00"/>
    <s v="Customer 95"/>
    <x v="1"/>
    <s v="Gujarat"/>
    <x v="1"/>
    <s v="Tables"/>
    <x v="17"/>
    <n v="6228.12"/>
    <n v="6"/>
    <n v="0"/>
    <n v="1660.22"/>
    <x v="4"/>
    <x v="1"/>
    <s v="Bad"/>
    <n v="1038.02"/>
    <n v="45549"/>
    <x v="1"/>
    <n v="9"/>
    <x v="5"/>
    <n v="0.2665684026640463"/>
    <s v="No Discount"/>
  </r>
  <r>
    <s v="ORD100280"/>
    <d v="2024-04-25T00:00:00"/>
    <s v="Customer 190"/>
    <x v="2"/>
    <s v="Punjab"/>
    <x v="0"/>
    <s v="Binders"/>
    <x v="0"/>
    <n v="3499.32"/>
    <n v="6"/>
    <n v="0"/>
    <n v="507.36"/>
    <x v="2"/>
    <x v="3"/>
    <s v="Bad"/>
    <n v="583.22"/>
    <n v="45407"/>
    <x v="1"/>
    <n v="4"/>
    <x v="8"/>
    <n v="0.1449881691300024"/>
    <s v="No Discount"/>
  </r>
  <r>
    <s v="ORD100281"/>
    <d v="2025-05-02T00:00:00"/>
    <s v="Customer 95"/>
    <x v="0"/>
    <s v="Tamil Nadu"/>
    <x v="0"/>
    <s v="Writing"/>
    <x v="3"/>
    <n v="7594.02"/>
    <n v="7"/>
    <n v="0.15"/>
    <n v="516.94000000000005"/>
    <x v="8"/>
    <x v="3"/>
    <s v="Bad"/>
    <n v="1084.8600000000001"/>
    <n v="45779"/>
    <x v="0"/>
    <n v="5"/>
    <x v="7"/>
    <n v="6.8071982955009339E-2"/>
    <s v="medium"/>
  </r>
  <r>
    <s v="ORD100282"/>
    <d v="2025-06-05T00:00:00"/>
    <s v="Customer 142"/>
    <x v="1"/>
    <s v="Maharashtra"/>
    <x v="1"/>
    <s v="Storage"/>
    <x v="7"/>
    <n v="6642.08"/>
    <n v="8"/>
    <n v="0.2"/>
    <n v="790.12"/>
    <x v="8"/>
    <x v="0"/>
    <s v="Good"/>
    <n v="830.26"/>
    <n v="45813"/>
    <x v="0"/>
    <n v="6"/>
    <x v="9"/>
    <n v="0.11895671235516585"/>
    <s v="medium"/>
  </r>
  <r>
    <s v="ORD100283"/>
    <d v="2024-12-22T00:00:00"/>
    <s v="Customer 42"/>
    <x v="3"/>
    <s v="West Bengal"/>
    <x v="1"/>
    <s v="Storage"/>
    <x v="15"/>
    <n v="3514.35"/>
    <n v="5"/>
    <n v="0.25"/>
    <n v="-171.13"/>
    <x v="5"/>
    <x v="3"/>
    <s v="Bad"/>
    <n v="702.87"/>
    <n v="45648"/>
    <x v="1"/>
    <n v="12"/>
    <x v="4"/>
    <n v="-4.8694637699716874E-2"/>
    <s v="high"/>
  </r>
  <r>
    <s v="ORD100284"/>
    <d v="2024-04-30T00:00:00"/>
    <s v="Customer 128"/>
    <x v="2"/>
    <s v="Haryana"/>
    <x v="1"/>
    <s v="Storage"/>
    <x v="15"/>
    <n v="5785.38"/>
    <n v="9"/>
    <n v="0.25"/>
    <n v="-984.2"/>
    <x v="6"/>
    <x v="0"/>
    <s v="Good"/>
    <n v="642.82000000000005"/>
    <n v="45412"/>
    <x v="1"/>
    <n v="4"/>
    <x v="8"/>
    <n v="-0.17011847104252445"/>
    <s v="high"/>
  </r>
  <r>
    <s v="ORD100285"/>
    <d v="2024-03-01T00:00:00"/>
    <s v="Customer 108"/>
    <x v="2"/>
    <s v="Delhi"/>
    <x v="0"/>
    <s v="Paper"/>
    <x v="21"/>
    <n v="1766.61"/>
    <n v="9"/>
    <n v="0.25"/>
    <n v="-227.11"/>
    <x v="0"/>
    <x v="0"/>
    <s v="Bad"/>
    <n v="196.29"/>
    <n v="45352"/>
    <x v="1"/>
    <n v="3"/>
    <x v="3"/>
    <n v="-0.1285569537136097"/>
    <s v="high"/>
  </r>
  <r>
    <s v="ORD100286"/>
    <d v="2025-02-18T00:00:00"/>
    <s v="Customer 167"/>
    <x v="2"/>
    <s v="Uttarakhand"/>
    <x v="2"/>
    <s v="Accessories"/>
    <x v="12"/>
    <n v="150.61000000000001"/>
    <n v="1"/>
    <n v="0.3"/>
    <n v="-37.54"/>
    <x v="4"/>
    <x v="1"/>
    <s v="Bad"/>
    <n v="150.61000000000001"/>
    <n v="45706"/>
    <x v="0"/>
    <n v="2"/>
    <x v="1"/>
    <n v="-0.24925303764690257"/>
    <s v="high"/>
  </r>
  <r>
    <s v="ORD100287"/>
    <d v="2024-11-07T00:00:00"/>
    <s v="Customer 43"/>
    <x v="2"/>
    <s v="Delhi"/>
    <x v="0"/>
    <s v="Paper"/>
    <x v="21"/>
    <n v="4844.22"/>
    <n v="6"/>
    <n v="0.2"/>
    <n v="-314.5"/>
    <x v="4"/>
    <x v="2"/>
    <s v="Bad"/>
    <n v="807.37"/>
    <n v="45603"/>
    <x v="1"/>
    <n v="11"/>
    <x v="10"/>
    <n v="-6.4922732658714913E-2"/>
    <s v="medium"/>
  </r>
  <r>
    <s v="ORD100288"/>
    <d v="2024-04-09T00:00:00"/>
    <s v="Customer 7"/>
    <x v="3"/>
    <s v="Odisha"/>
    <x v="1"/>
    <s v="Tables"/>
    <x v="17"/>
    <n v="1203.3599999999999"/>
    <n v="2"/>
    <n v="0.2"/>
    <n v="191.63"/>
    <x v="6"/>
    <x v="3"/>
    <s v="Bad"/>
    <n v="601.67999999999995"/>
    <n v="45391"/>
    <x v="1"/>
    <n v="4"/>
    <x v="8"/>
    <n v="0.15924577848690336"/>
    <s v="medium"/>
  </r>
  <r>
    <s v="ORD100289"/>
    <d v="2025-12-05T00:00:00"/>
    <s v="Customer 157"/>
    <x v="2"/>
    <s v="Punjab"/>
    <x v="2"/>
    <s v="Accessories"/>
    <x v="18"/>
    <n v="4331.32"/>
    <n v="7"/>
    <n v="0.3"/>
    <n v="-774.81"/>
    <x v="4"/>
    <x v="3"/>
    <s v="Bad"/>
    <n v="618.76"/>
    <n v="45996"/>
    <x v="0"/>
    <n v="12"/>
    <x v="4"/>
    <n v="-0.17888542061080687"/>
    <s v="high"/>
  </r>
  <r>
    <s v="ORD100290"/>
    <d v="2025-05-09T00:00:00"/>
    <s v="Customer 126"/>
    <x v="0"/>
    <s v="Karnataka"/>
    <x v="1"/>
    <s v="Storage"/>
    <x v="15"/>
    <n v="5096.5200000000004"/>
    <n v="9"/>
    <n v="0.3"/>
    <n v="610.91"/>
    <x v="6"/>
    <x v="2"/>
    <s v="Good"/>
    <n v="566.28000000000009"/>
    <n v="45786"/>
    <x v="0"/>
    <n v="5"/>
    <x v="7"/>
    <n v="0.11986806683776378"/>
    <s v="high"/>
  </r>
  <r>
    <s v="ORD100291"/>
    <d v="2024-11-21T00:00:00"/>
    <s v="Customer 181"/>
    <x v="2"/>
    <s v="Uttarakhand"/>
    <x v="2"/>
    <s v="Computers"/>
    <x v="6"/>
    <n v="4739.1000000000004"/>
    <n v="6"/>
    <n v="0.3"/>
    <n v="73.430000000000007"/>
    <x v="4"/>
    <x v="2"/>
    <s v="Bad"/>
    <n v="789.85"/>
    <n v="45617"/>
    <x v="1"/>
    <n v="11"/>
    <x v="10"/>
    <n v="1.5494503175708468E-2"/>
    <s v="high"/>
  </r>
  <r>
    <s v="ORD100292"/>
    <d v="2025-12-24T00:00:00"/>
    <s v="Customer 162"/>
    <x v="0"/>
    <s v="Telangana"/>
    <x v="2"/>
    <s v="Phones"/>
    <x v="8"/>
    <n v="188.91"/>
    <n v="1"/>
    <n v="0.1"/>
    <n v="-1.83"/>
    <x v="3"/>
    <x v="2"/>
    <s v="Bad"/>
    <n v="188.91"/>
    <n v="46015"/>
    <x v="0"/>
    <n v="12"/>
    <x v="4"/>
    <n v="-9.6871526123550895E-3"/>
    <s v="Low"/>
  </r>
  <r>
    <s v="ORD100293"/>
    <d v="2024-10-10T00:00:00"/>
    <s v="Customer 126"/>
    <x v="1"/>
    <s v="Goa"/>
    <x v="1"/>
    <s v="Storage"/>
    <x v="24"/>
    <n v="1066.8699999999999"/>
    <n v="7"/>
    <n v="0.2"/>
    <n v="-157.91999999999999"/>
    <x v="3"/>
    <x v="1"/>
    <s v="Bad"/>
    <n v="152.41"/>
    <n v="45575"/>
    <x v="1"/>
    <n v="10"/>
    <x v="2"/>
    <n v="-0.14802178334754937"/>
    <s v="medium"/>
  </r>
  <r>
    <s v="ORD100294"/>
    <d v="2025-12-02T00:00:00"/>
    <s v="Customer 167"/>
    <x v="1"/>
    <s v="Gujarat"/>
    <x v="2"/>
    <s v="Phones"/>
    <x v="13"/>
    <n v="1545.87"/>
    <n v="3"/>
    <n v="0.25"/>
    <n v="-148.79"/>
    <x v="2"/>
    <x v="2"/>
    <s v="Bad"/>
    <n v="515.29"/>
    <n v="45993"/>
    <x v="0"/>
    <n v="12"/>
    <x v="4"/>
    <n v="-9.6250008086061573E-2"/>
    <s v="high"/>
  </r>
  <r>
    <s v="ORD100295"/>
    <d v="2024-06-24T00:00:00"/>
    <s v="Customer 52"/>
    <x v="1"/>
    <s v="Maharashtra"/>
    <x v="0"/>
    <s v="Paper"/>
    <x v="2"/>
    <n v="6220.89"/>
    <n v="9"/>
    <n v="0.15"/>
    <n v="1603.6"/>
    <x v="8"/>
    <x v="1"/>
    <s v="Good"/>
    <n v="691.21"/>
    <n v="45467"/>
    <x v="1"/>
    <n v="6"/>
    <x v="9"/>
    <n v="0.25777662038711502"/>
    <s v="medium"/>
  </r>
  <r>
    <s v="ORD100296"/>
    <d v="2024-01-17T00:00:00"/>
    <s v="Customer 42"/>
    <x v="0"/>
    <s v="Karnataka"/>
    <x v="1"/>
    <s v="Chairs"/>
    <x v="5"/>
    <n v="1767.54"/>
    <n v="3"/>
    <n v="0.25"/>
    <n v="-41.73"/>
    <x v="7"/>
    <x v="1"/>
    <s v="Bad"/>
    <n v="589.17999999999995"/>
    <n v="45308"/>
    <x v="1"/>
    <n v="1"/>
    <x v="0"/>
    <n v="-2.3609083811398892E-2"/>
    <s v="high"/>
  </r>
  <r>
    <s v="ORD100297"/>
    <d v="2024-12-13T00:00:00"/>
    <s v="Customer 100"/>
    <x v="1"/>
    <s v="Goa"/>
    <x v="2"/>
    <s v="Phones"/>
    <x v="8"/>
    <n v="360.34"/>
    <n v="2"/>
    <n v="0.2"/>
    <n v="58.46"/>
    <x v="3"/>
    <x v="2"/>
    <s v="Bad"/>
    <n v="180.17"/>
    <n v="45639"/>
    <x v="1"/>
    <n v="12"/>
    <x v="4"/>
    <n v="0.16223566631514683"/>
    <s v="medium"/>
  </r>
  <r>
    <s v="ORD100298"/>
    <d v="2024-04-01T00:00:00"/>
    <s v="Customer 38"/>
    <x v="2"/>
    <s v="Haryana"/>
    <x v="2"/>
    <s v="Accessories"/>
    <x v="12"/>
    <n v="66.62"/>
    <n v="1"/>
    <n v="0.3"/>
    <n v="-14.15"/>
    <x v="8"/>
    <x v="2"/>
    <s v="Bad"/>
    <n v="66.62"/>
    <n v="45383"/>
    <x v="1"/>
    <n v="4"/>
    <x v="8"/>
    <n v="-0.21239867907535273"/>
    <s v="high"/>
  </r>
  <r>
    <s v="ORD100299"/>
    <d v="2024-12-23T00:00:00"/>
    <s v="Customer 2"/>
    <x v="2"/>
    <s v="Delhi"/>
    <x v="2"/>
    <s v="Accessories"/>
    <x v="12"/>
    <n v="2104.5300000000002"/>
    <n v="3"/>
    <n v="0.3"/>
    <n v="56.54"/>
    <x v="4"/>
    <x v="2"/>
    <s v="Bad"/>
    <n v="701.5100000000001"/>
    <n v="45649"/>
    <x v="1"/>
    <n v="12"/>
    <x v="4"/>
    <n v="2.6865856034363964E-2"/>
    <s v="high"/>
  </r>
  <r>
    <s v="ORD100300"/>
    <d v="2024-05-24T00:00:00"/>
    <s v="Customer 113"/>
    <x v="3"/>
    <s v="Bihar"/>
    <x v="2"/>
    <s v="Computers"/>
    <x v="26"/>
    <n v="4220.6499999999996"/>
    <n v="7"/>
    <n v="0.15"/>
    <n v="734.31"/>
    <x v="5"/>
    <x v="3"/>
    <s v="Bad"/>
    <n v="602.94999999999993"/>
    <n v="45436"/>
    <x v="1"/>
    <n v="5"/>
    <x v="7"/>
    <n v="0.17398031108952414"/>
    <s v="medium"/>
  </r>
  <r>
    <s v="ORD100301"/>
    <d v="2024-04-27T00:00:00"/>
    <s v="Customer 144"/>
    <x v="0"/>
    <s v="Kerala"/>
    <x v="0"/>
    <s v="Paper"/>
    <x v="21"/>
    <n v="3936.48"/>
    <n v="8"/>
    <n v="0"/>
    <n v="821.47"/>
    <x v="1"/>
    <x v="1"/>
    <s v="Bad"/>
    <n v="492.06"/>
    <n v="45409"/>
    <x v="1"/>
    <n v="4"/>
    <x v="8"/>
    <n v="0.20868135999674836"/>
    <s v="No Discount"/>
  </r>
  <r>
    <s v="ORD100302"/>
    <d v="2024-01-16T00:00:00"/>
    <s v="Customer 170"/>
    <x v="1"/>
    <s v="Maharashtra"/>
    <x v="1"/>
    <s v="Storage"/>
    <x v="15"/>
    <n v="913"/>
    <n v="4"/>
    <n v="0.3"/>
    <n v="-17.29"/>
    <x v="3"/>
    <x v="3"/>
    <s v="Bad"/>
    <n v="228.25"/>
    <n v="45307"/>
    <x v="1"/>
    <n v="1"/>
    <x v="0"/>
    <n v="-1.8937568455640742E-2"/>
    <s v="high"/>
  </r>
  <r>
    <s v="ORD100303"/>
    <d v="2025-02-15T00:00:00"/>
    <s v="Customer 74"/>
    <x v="1"/>
    <s v="Goa"/>
    <x v="1"/>
    <s v="Chairs"/>
    <x v="4"/>
    <n v="1344.54"/>
    <n v="3"/>
    <n v="0.3"/>
    <n v="44.87"/>
    <x v="2"/>
    <x v="1"/>
    <s v="Bad"/>
    <n v="448.18"/>
    <n v="45703"/>
    <x v="0"/>
    <n v="2"/>
    <x v="1"/>
    <n v="3.3372008270486558E-2"/>
    <s v="high"/>
  </r>
  <r>
    <s v="ORD100304"/>
    <d v="2025-02-05T00:00:00"/>
    <s v="Customer 41"/>
    <x v="0"/>
    <s v="Kerala"/>
    <x v="2"/>
    <s v="Computers"/>
    <x v="26"/>
    <n v="48.06"/>
    <n v="3"/>
    <n v="0.3"/>
    <n v="-8.16"/>
    <x v="1"/>
    <x v="2"/>
    <s v="Bad"/>
    <n v="16.02"/>
    <n v="45693"/>
    <x v="0"/>
    <n v="2"/>
    <x v="1"/>
    <n v="-0.16978776529338327"/>
    <s v="high"/>
  </r>
  <r>
    <s v="ORD100305"/>
    <d v="2024-11-21T00:00:00"/>
    <s v="Customer 140"/>
    <x v="0"/>
    <s v="Tamil Nadu"/>
    <x v="2"/>
    <s v="Accessories"/>
    <x v="20"/>
    <n v="2545.56"/>
    <n v="3"/>
    <n v="0.3"/>
    <n v="-138.38"/>
    <x v="4"/>
    <x v="0"/>
    <s v="Bad"/>
    <n v="848.52"/>
    <n v="45617"/>
    <x v="1"/>
    <n v="11"/>
    <x v="10"/>
    <n v="-5.4361319316771163E-2"/>
    <s v="high"/>
  </r>
  <r>
    <s v="ORD100306"/>
    <d v="2025-09-22T00:00:00"/>
    <s v="Customer 38"/>
    <x v="3"/>
    <s v="Bihar"/>
    <x v="2"/>
    <s v="Accessories"/>
    <x v="18"/>
    <n v="3423.44"/>
    <n v="8"/>
    <n v="0.25"/>
    <n v="-100.09"/>
    <x v="0"/>
    <x v="1"/>
    <s v="Bad"/>
    <n v="427.93"/>
    <n v="45922"/>
    <x v="0"/>
    <n v="9"/>
    <x v="5"/>
    <n v="-2.9236674222419556E-2"/>
    <s v="high"/>
  </r>
  <r>
    <s v="ORD100307"/>
    <d v="2024-04-03T00:00:00"/>
    <s v="Customer 175"/>
    <x v="2"/>
    <s v="Uttarakhand"/>
    <x v="2"/>
    <s v="Accessories"/>
    <x v="12"/>
    <n v="5921.3"/>
    <n v="7"/>
    <n v="0"/>
    <n v="1155.19"/>
    <x v="3"/>
    <x v="1"/>
    <s v="Bad"/>
    <n v="845.9"/>
    <n v="45385"/>
    <x v="1"/>
    <n v="4"/>
    <x v="8"/>
    <n v="0.19509060510360901"/>
    <s v="No Discount"/>
  </r>
  <r>
    <s v="ORD100308"/>
    <d v="2025-08-19T00:00:00"/>
    <s v="Customer 56"/>
    <x v="2"/>
    <s v="Uttarakhand"/>
    <x v="0"/>
    <s v="Binders"/>
    <x v="25"/>
    <n v="420.16"/>
    <n v="4"/>
    <n v="0.1"/>
    <n v="53.7"/>
    <x v="0"/>
    <x v="2"/>
    <s v="Bad"/>
    <n v="105.04"/>
    <n v="45888"/>
    <x v="0"/>
    <n v="8"/>
    <x v="11"/>
    <n v="0.1278084539223153"/>
    <s v="Low"/>
  </r>
  <r>
    <s v="ORD100309"/>
    <d v="2024-08-07T00:00:00"/>
    <s v="Customer 185"/>
    <x v="1"/>
    <s v="Rajasthan"/>
    <x v="0"/>
    <s v="Writing"/>
    <x v="1"/>
    <n v="5047.3500000000004"/>
    <n v="7"/>
    <n v="0"/>
    <n v="2028.38"/>
    <x v="1"/>
    <x v="0"/>
    <s v="Bad"/>
    <n v="721.05000000000007"/>
    <n v="45511"/>
    <x v="1"/>
    <n v="8"/>
    <x v="11"/>
    <n v="0.40187028836914418"/>
    <s v="No Discount"/>
  </r>
  <r>
    <s v="ORD100310"/>
    <d v="2025-10-08T00:00:00"/>
    <s v="Customer 195"/>
    <x v="2"/>
    <s v="Delhi"/>
    <x v="1"/>
    <s v="Chairs"/>
    <x v="5"/>
    <n v="997.61"/>
    <n v="1"/>
    <n v="0.25"/>
    <n v="167.48"/>
    <x v="3"/>
    <x v="3"/>
    <s v="Bad"/>
    <n v="997.61"/>
    <n v="45938"/>
    <x v="0"/>
    <n v="10"/>
    <x v="2"/>
    <n v="0.16788123615440903"/>
    <s v="high"/>
  </r>
  <r>
    <s v="ORD100311"/>
    <d v="2024-05-05T00:00:00"/>
    <s v="Customer 88"/>
    <x v="2"/>
    <s v="Punjab"/>
    <x v="0"/>
    <s v="Paper"/>
    <x v="2"/>
    <n v="1324.5"/>
    <n v="10"/>
    <n v="0.1"/>
    <n v="178.59"/>
    <x v="0"/>
    <x v="3"/>
    <s v="Bad"/>
    <n v="132.44999999999999"/>
    <n v="45417"/>
    <x v="1"/>
    <n v="5"/>
    <x v="7"/>
    <n v="0.13483578708946772"/>
    <s v="Low"/>
  </r>
  <r>
    <s v="ORD100312"/>
    <d v="2025-11-16T00:00:00"/>
    <s v="Customer 107"/>
    <x v="3"/>
    <s v="West Bengal"/>
    <x v="2"/>
    <s v="Computers"/>
    <x v="6"/>
    <n v="1904.13"/>
    <n v="9"/>
    <n v="0.1"/>
    <n v="430.54"/>
    <x v="6"/>
    <x v="2"/>
    <s v="Bad"/>
    <n v="211.57000000000002"/>
    <n v="45977"/>
    <x v="0"/>
    <n v="11"/>
    <x v="10"/>
    <n v="0.22610851149868968"/>
    <s v="Low"/>
  </r>
  <r>
    <s v="ORD100313"/>
    <d v="2024-07-11T00:00:00"/>
    <s v="Customer 161"/>
    <x v="0"/>
    <s v="Karnataka"/>
    <x v="1"/>
    <s v="Tables"/>
    <x v="9"/>
    <n v="6568.47"/>
    <n v="9"/>
    <n v="0.3"/>
    <n v="-221.21"/>
    <x v="0"/>
    <x v="1"/>
    <s v="Good"/>
    <n v="729.83"/>
    <n v="45484"/>
    <x v="1"/>
    <n v="7"/>
    <x v="6"/>
    <n v="-3.3677553524641204E-2"/>
    <s v="high"/>
  </r>
  <r>
    <s v="ORD100314"/>
    <d v="2025-03-07T00:00:00"/>
    <s v="Customer 58"/>
    <x v="1"/>
    <s v="Goa"/>
    <x v="0"/>
    <s v="Writing"/>
    <x v="1"/>
    <n v="2341.0500000000002"/>
    <n v="5"/>
    <n v="0.1"/>
    <n v="159.77000000000001"/>
    <x v="9"/>
    <x v="3"/>
    <s v="Bad"/>
    <n v="468.21000000000004"/>
    <n v="45723"/>
    <x v="0"/>
    <n v="3"/>
    <x v="3"/>
    <n v="6.8247154054804471E-2"/>
    <s v="Low"/>
  </r>
  <r>
    <s v="ORD100315"/>
    <d v="2024-12-03T00:00:00"/>
    <s v="Customer 114"/>
    <x v="0"/>
    <s v="Karnataka"/>
    <x v="0"/>
    <s v="Writing"/>
    <x v="1"/>
    <n v="4523.76"/>
    <n v="4"/>
    <n v="0.05"/>
    <n v="563.44000000000005"/>
    <x v="7"/>
    <x v="1"/>
    <s v="Bad"/>
    <n v="1130.94"/>
    <n v="45629"/>
    <x v="1"/>
    <n v="12"/>
    <x v="4"/>
    <n v="0.12455125824535343"/>
    <s v="Low"/>
  </r>
  <r>
    <s v="ORD100316"/>
    <d v="2025-08-15T00:00:00"/>
    <s v="Customer 140"/>
    <x v="0"/>
    <s v="Telangana"/>
    <x v="0"/>
    <s v="Binders"/>
    <x v="25"/>
    <n v="1814.5"/>
    <n v="10"/>
    <n v="0.05"/>
    <n v="294.66000000000003"/>
    <x v="9"/>
    <x v="1"/>
    <s v="Bad"/>
    <n v="181.45"/>
    <n v="45884"/>
    <x v="0"/>
    <n v="8"/>
    <x v="11"/>
    <n v="0.16239184348305319"/>
    <s v="Low"/>
  </r>
  <r>
    <s v="ORD100317"/>
    <d v="2024-08-31T00:00:00"/>
    <s v="Customer 9"/>
    <x v="3"/>
    <s v="Bihar"/>
    <x v="1"/>
    <s v="Chairs"/>
    <x v="14"/>
    <n v="1793.56"/>
    <n v="4"/>
    <n v="0.25"/>
    <n v="247.56"/>
    <x v="3"/>
    <x v="3"/>
    <s v="Bad"/>
    <n v="448.39"/>
    <n v="45535"/>
    <x v="1"/>
    <n v="8"/>
    <x v="11"/>
    <n v="0.13802716385289593"/>
    <s v="high"/>
  </r>
  <r>
    <s v="ORD100318"/>
    <d v="2025-12-31T00:00:00"/>
    <s v="Customer 99"/>
    <x v="2"/>
    <s v="Punjab"/>
    <x v="0"/>
    <s v="Paper"/>
    <x v="2"/>
    <n v="9809"/>
    <n v="10"/>
    <n v="0.05"/>
    <n v="261.02999999999997"/>
    <x v="4"/>
    <x v="1"/>
    <s v="Good"/>
    <n v="980.9"/>
    <n v="46022"/>
    <x v="0"/>
    <n v="12"/>
    <x v="4"/>
    <n v="2.6611275359363848E-2"/>
    <s v="Low"/>
  </r>
  <r>
    <s v="ORD100319"/>
    <d v="2025-05-12T00:00:00"/>
    <s v="Customer 71"/>
    <x v="0"/>
    <s v="Karnataka"/>
    <x v="1"/>
    <s v="Storage"/>
    <x v="24"/>
    <n v="6971.58"/>
    <n v="6"/>
    <n v="0.1"/>
    <n v="2152.0700000000002"/>
    <x v="6"/>
    <x v="3"/>
    <s v="Bad"/>
    <n v="1161.93"/>
    <n v="45789"/>
    <x v="0"/>
    <n v="5"/>
    <x v="7"/>
    <n v="0.30869186038172125"/>
    <s v="Low"/>
  </r>
  <r>
    <s v="ORD100320"/>
    <d v="2024-09-02T00:00:00"/>
    <s v="Customer 55"/>
    <x v="1"/>
    <s v="Rajasthan"/>
    <x v="1"/>
    <s v="Tables"/>
    <x v="16"/>
    <n v="7682.58"/>
    <n v="9"/>
    <n v="0.3"/>
    <n v="122.63"/>
    <x v="3"/>
    <x v="2"/>
    <s v="Good"/>
    <n v="853.62"/>
    <n v="45537"/>
    <x v="1"/>
    <n v="9"/>
    <x v="5"/>
    <n v="1.5962085653517439E-2"/>
    <s v="high"/>
  </r>
  <r>
    <s v="ORD100321"/>
    <d v="2024-05-06T00:00:00"/>
    <s v="Customer 172"/>
    <x v="3"/>
    <s v="Assam"/>
    <x v="0"/>
    <s v="Binders"/>
    <x v="0"/>
    <n v="7173.18"/>
    <n v="7"/>
    <n v="0.15"/>
    <n v="581.89"/>
    <x v="5"/>
    <x v="1"/>
    <s v="Bad"/>
    <n v="1024.74"/>
    <n v="45418"/>
    <x v="1"/>
    <n v="5"/>
    <x v="7"/>
    <n v="8.1120228406369274E-2"/>
    <s v="medium"/>
  </r>
  <r>
    <s v="ORD100322"/>
    <d v="2025-11-02T00:00:00"/>
    <s v="Customer 103"/>
    <x v="2"/>
    <s v="Delhi"/>
    <x v="2"/>
    <s v="Computers"/>
    <x v="26"/>
    <n v="1282.68"/>
    <n v="9"/>
    <n v="0.25"/>
    <n v="20.190000000000001"/>
    <x v="4"/>
    <x v="3"/>
    <s v="Bad"/>
    <n v="142.52000000000001"/>
    <n v="45963"/>
    <x v="0"/>
    <n v="11"/>
    <x v="10"/>
    <n v="1.5740480868182243E-2"/>
    <s v="high"/>
  </r>
  <r>
    <s v="ORD100323"/>
    <d v="2025-08-08T00:00:00"/>
    <s v="Customer 121"/>
    <x v="2"/>
    <s v="Uttarakhand"/>
    <x v="1"/>
    <s v="Tables"/>
    <x v="17"/>
    <n v="2711.88"/>
    <n v="9"/>
    <n v="0"/>
    <n v="349.86"/>
    <x v="8"/>
    <x v="1"/>
    <s v="Bad"/>
    <n v="301.32"/>
    <n v="45877"/>
    <x v="0"/>
    <n v="8"/>
    <x v="11"/>
    <n v="0.12901013319173416"/>
    <s v="No Discount"/>
  </r>
  <r>
    <s v="ORD100324"/>
    <d v="2024-08-03T00:00:00"/>
    <s v="Customer 135"/>
    <x v="2"/>
    <s v="Punjab"/>
    <x v="0"/>
    <s v="Binders"/>
    <x v="22"/>
    <n v="605.46"/>
    <n v="6"/>
    <n v="0.1"/>
    <n v="102.6"/>
    <x v="2"/>
    <x v="0"/>
    <s v="Bad"/>
    <n v="100.91000000000001"/>
    <n v="45507"/>
    <x v="1"/>
    <n v="8"/>
    <x v="11"/>
    <n v="0.16945793281141611"/>
    <s v="Low"/>
  </r>
  <r>
    <s v="ORD100325"/>
    <d v="2025-06-16T00:00:00"/>
    <s v="Customer 153"/>
    <x v="3"/>
    <s v="Bihar"/>
    <x v="2"/>
    <s v="Computers"/>
    <x v="10"/>
    <n v="4686.57"/>
    <n v="7"/>
    <n v="0.2"/>
    <n v="911.78"/>
    <x v="2"/>
    <x v="2"/>
    <s v="Bad"/>
    <n v="669.51"/>
    <n v="45824"/>
    <x v="0"/>
    <n v="6"/>
    <x v="9"/>
    <n v="0.19455166571714497"/>
    <s v="medium"/>
  </r>
  <r>
    <s v="ORD100326"/>
    <d v="2024-03-07T00:00:00"/>
    <s v="Customer 23"/>
    <x v="2"/>
    <s v="Uttarakhand"/>
    <x v="0"/>
    <s v="Binders"/>
    <x v="22"/>
    <n v="6021.1"/>
    <n v="10"/>
    <n v="0.25"/>
    <n v="1096.19"/>
    <x v="9"/>
    <x v="0"/>
    <s v="Good"/>
    <n v="602.11"/>
    <n v="45358"/>
    <x v="1"/>
    <n v="3"/>
    <x v="3"/>
    <n v="0.18205809569679959"/>
    <s v="high"/>
  </r>
  <r>
    <s v="ORD100327"/>
    <d v="2024-08-08T00:00:00"/>
    <s v="Customer 85"/>
    <x v="3"/>
    <s v="Assam"/>
    <x v="1"/>
    <s v="Chairs"/>
    <x v="14"/>
    <n v="2159.2199999999998"/>
    <n v="2"/>
    <n v="0.1"/>
    <n v="-94.49"/>
    <x v="4"/>
    <x v="2"/>
    <s v="Bad"/>
    <n v="1079.6099999999999"/>
    <n v="45512"/>
    <x v="1"/>
    <n v="8"/>
    <x v="11"/>
    <n v="-4.3761173016181772E-2"/>
    <s v="Low"/>
  </r>
  <r>
    <s v="ORD100328"/>
    <d v="2025-09-16T00:00:00"/>
    <s v="Customer 74"/>
    <x v="1"/>
    <s v="Rajasthan"/>
    <x v="1"/>
    <s v="Chairs"/>
    <x v="5"/>
    <n v="130.15"/>
    <n v="1"/>
    <n v="0.25"/>
    <n v="5.98"/>
    <x v="7"/>
    <x v="2"/>
    <s v="Bad"/>
    <n v="130.15"/>
    <n v="45916"/>
    <x v="0"/>
    <n v="9"/>
    <x v="5"/>
    <n v="4.5946984248943529E-2"/>
    <s v="high"/>
  </r>
  <r>
    <s v="ORD100329"/>
    <d v="2024-07-31T00:00:00"/>
    <s v="Customer 29"/>
    <x v="1"/>
    <s v="Rajasthan"/>
    <x v="1"/>
    <s v="Tables"/>
    <x v="9"/>
    <n v="4889.04"/>
    <n v="8"/>
    <n v="0.15"/>
    <n v="-184.21"/>
    <x v="0"/>
    <x v="1"/>
    <s v="Bad"/>
    <n v="611.13"/>
    <n v="45504"/>
    <x v="1"/>
    <n v="7"/>
    <x v="6"/>
    <n v="-3.767815358434376E-2"/>
    <s v="medium"/>
  </r>
  <r>
    <s v="ORD100330"/>
    <d v="2025-12-16T00:00:00"/>
    <s v="Customer 74"/>
    <x v="2"/>
    <s v="Uttarakhand"/>
    <x v="1"/>
    <s v="Storage"/>
    <x v="15"/>
    <n v="5888.55"/>
    <n v="5"/>
    <n v="0.25"/>
    <n v="-1095.72"/>
    <x v="9"/>
    <x v="3"/>
    <s v="Bad"/>
    <n v="1177.71"/>
    <n v="46007"/>
    <x v="0"/>
    <n v="12"/>
    <x v="4"/>
    <n v="-0.18607636854573706"/>
    <s v="high"/>
  </r>
  <r>
    <s v="ORD100331"/>
    <d v="2025-06-24T00:00:00"/>
    <s v="Customer 179"/>
    <x v="2"/>
    <s v="Haryana"/>
    <x v="2"/>
    <s v="Accessories"/>
    <x v="12"/>
    <n v="756.2"/>
    <n v="2"/>
    <n v="0.15"/>
    <n v="-0.08"/>
    <x v="2"/>
    <x v="1"/>
    <s v="Bad"/>
    <n v="378.1"/>
    <n v="45832"/>
    <x v="0"/>
    <n v="6"/>
    <x v="9"/>
    <n v="-1.057921184871727E-4"/>
    <s v="medium"/>
  </r>
  <r>
    <s v="ORD100332"/>
    <d v="2024-12-20T00:00:00"/>
    <s v="Customer 118"/>
    <x v="2"/>
    <s v="Uttarakhand"/>
    <x v="0"/>
    <s v="Paper"/>
    <x v="2"/>
    <n v="141.30000000000001"/>
    <n v="2"/>
    <n v="0.1"/>
    <n v="22.34"/>
    <x v="0"/>
    <x v="2"/>
    <s v="Bad"/>
    <n v="70.650000000000006"/>
    <n v="45646"/>
    <x v="1"/>
    <n v="12"/>
    <x v="4"/>
    <n v="0.15810332625619247"/>
    <s v="Low"/>
  </r>
  <r>
    <s v="ORD100333"/>
    <d v="2025-09-02T00:00:00"/>
    <s v="Customer 182"/>
    <x v="0"/>
    <s v="Telangana"/>
    <x v="0"/>
    <s v="Paper"/>
    <x v="11"/>
    <n v="1272.1199999999999"/>
    <n v="6"/>
    <n v="0.3"/>
    <n v="-208.05"/>
    <x v="2"/>
    <x v="0"/>
    <s v="Bad"/>
    <n v="212.01999999999998"/>
    <n v="45902"/>
    <x v="0"/>
    <n v="9"/>
    <x v="5"/>
    <n v="-0.16354589189699087"/>
    <s v="high"/>
  </r>
  <r>
    <s v="ORD100334"/>
    <d v="2024-05-28T00:00:00"/>
    <s v="Customer 19"/>
    <x v="3"/>
    <s v="Odisha"/>
    <x v="0"/>
    <s v="Binders"/>
    <x v="25"/>
    <n v="2941.89"/>
    <n v="3"/>
    <n v="0.2"/>
    <n v="401.47"/>
    <x v="4"/>
    <x v="1"/>
    <s v="Bad"/>
    <n v="980.63"/>
    <n v="45440"/>
    <x v="1"/>
    <n v="5"/>
    <x v="7"/>
    <n v="0.13646669318023449"/>
    <s v="medium"/>
  </r>
  <r>
    <s v="ORD100335"/>
    <d v="2024-07-20T00:00:00"/>
    <s v="Customer 9"/>
    <x v="2"/>
    <s v="Delhi"/>
    <x v="0"/>
    <s v="Paper"/>
    <x v="21"/>
    <n v="5631"/>
    <n v="6"/>
    <n v="0.15"/>
    <n v="1267.9100000000001"/>
    <x v="2"/>
    <x v="3"/>
    <s v="Bad"/>
    <n v="938.5"/>
    <n v="45493"/>
    <x v="1"/>
    <n v="7"/>
    <x v="6"/>
    <n v="0.22516604510744095"/>
    <s v="medium"/>
  </r>
  <r>
    <s v="ORD100336"/>
    <d v="2024-10-28T00:00:00"/>
    <s v="Customer 147"/>
    <x v="3"/>
    <s v="Odisha"/>
    <x v="2"/>
    <s v="Accessories"/>
    <x v="20"/>
    <n v="1340.43"/>
    <n v="7"/>
    <n v="0.2"/>
    <n v="64.430000000000007"/>
    <x v="6"/>
    <x v="0"/>
    <s v="Bad"/>
    <n v="191.49"/>
    <n v="45593"/>
    <x v="1"/>
    <n v="10"/>
    <x v="2"/>
    <n v="4.8066665174608149E-2"/>
    <s v="medium"/>
  </r>
  <r>
    <s v="ORD100337"/>
    <d v="2025-04-21T00:00:00"/>
    <s v="Customer 30"/>
    <x v="1"/>
    <s v="Rajasthan"/>
    <x v="0"/>
    <s v="Binders"/>
    <x v="25"/>
    <n v="11019.7"/>
    <n v="10"/>
    <n v="0.05"/>
    <n v="3253.1"/>
    <x v="7"/>
    <x v="0"/>
    <s v="Good"/>
    <n v="1101.97"/>
    <n v="45768"/>
    <x v="0"/>
    <n v="4"/>
    <x v="8"/>
    <n v="0.29520767353013239"/>
    <s v="Low"/>
  </r>
  <r>
    <s v="ORD100338"/>
    <d v="2025-05-04T00:00:00"/>
    <s v="Customer 48"/>
    <x v="0"/>
    <s v="Tamil Nadu"/>
    <x v="2"/>
    <s v="Phones"/>
    <x v="23"/>
    <n v="10230"/>
    <n v="10"/>
    <n v="0.3"/>
    <n v="-1953.84"/>
    <x v="1"/>
    <x v="2"/>
    <s v="Good"/>
    <n v="1023"/>
    <n v="45781"/>
    <x v="0"/>
    <n v="5"/>
    <x v="7"/>
    <n v="-0.19099120234604106"/>
    <s v="high"/>
  </r>
  <r>
    <s v="ORD100339"/>
    <d v="2024-09-30T00:00:00"/>
    <s v="Customer 68"/>
    <x v="3"/>
    <s v="Odisha"/>
    <x v="2"/>
    <s v="Computers"/>
    <x v="10"/>
    <n v="3400.11"/>
    <n v="9"/>
    <n v="0.15"/>
    <n v="874.13"/>
    <x v="5"/>
    <x v="0"/>
    <s v="Bad"/>
    <n v="377.79"/>
    <n v="45565"/>
    <x v="1"/>
    <n v="9"/>
    <x v="5"/>
    <n v="0.25708874124660669"/>
    <s v="medium"/>
  </r>
  <r>
    <s v="ORD100340"/>
    <d v="2024-07-31T00:00:00"/>
    <s v="Customer 34"/>
    <x v="0"/>
    <s v="Telangana"/>
    <x v="2"/>
    <s v="Phones"/>
    <x v="23"/>
    <n v="519.08000000000004"/>
    <n v="2"/>
    <n v="0.05"/>
    <n v="161.53"/>
    <x v="1"/>
    <x v="2"/>
    <s v="Bad"/>
    <n v="259.54000000000002"/>
    <n v="45504"/>
    <x v="1"/>
    <n v="7"/>
    <x v="6"/>
    <n v="0.31118517376897586"/>
    <s v="Low"/>
  </r>
  <r>
    <s v="ORD100341"/>
    <d v="2024-10-18T00:00:00"/>
    <s v="Customer 15"/>
    <x v="0"/>
    <s v="Telangana"/>
    <x v="1"/>
    <s v="Tables"/>
    <x v="9"/>
    <n v="936.74"/>
    <n v="2"/>
    <n v="0.25"/>
    <n v="50.32"/>
    <x v="5"/>
    <x v="2"/>
    <s v="Bad"/>
    <n v="468.37"/>
    <n v="45583"/>
    <x v="1"/>
    <n v="10"/>
    <x v="2"/>
    <n v="5.3718214232337684E-2"/>
    <s v="high"/>
  </r>
  <r>
    <s v="ORD100342"/>
    <d v="2024-09-29T00:00:00"/>
    <s v="Customer 36"/>
    <x v="3"/>
    <s v="Bihar"/>
    <x v="0"/>
    <s v="Writing"/>
    <x v="19"/>
    <n v="3373.92"/>
    <n v="3"/>
    <n v="0.3"/>
    <n v="-292.88"/>
    <x v="7"/>
    <x v="3"/>
    <s v="Bad"/>
    <n v="1124.6400000000001"/>
    <n v="45564"/>
    <x v="1"/>
    <n v="9"/>
    <x v="5"/>
    <n v="-8.6807037511262855E-2"/>
    <s v="high"/>
  </r>
  <r>
    <s v="ORD100343"/>
    <d v="2025-09-09T00:00:00"/>
    <s v="Customer 190"/>
    <x v="3"/>
    <s v="Bihar"/>
    <x v="2"/>
    <s v="Computers"/>
    <x v="6"/>
    <n v="864.71"/>
    <n v="7"/>
    <n v="0.05"/>
    <n v="171.25"/>
    <x v="6"/>
    <x v="1"/>
    <s v="Bad"/>
    <n v="123.53"/>
    <n v="45909"/>
    <x v="0"/>
    <n v="9"/>
    <x v="5"/>
    <n v="0.19804327462386231"/>
    <s v="Low"/>
  </r>
  <r>
    <s v="ORD100344"/>
    <d v="2025-01-14T00:00:00"/>
    <s v="Customer 161"/>
    <x v="2"/>
    <s v="Haryana"/>
    <x v="1"/>
    <s v="Chairs"/>
    <x v="14"/>
    <n v="9461.0400000000009"/>
    <n v="8"/>
    <n v="0.05"/>
    <n v="3596.88"/>
    <x v="7"/>
    <x v="0"/>
    <s v="Good"/>
    <n v="1182.6300000000001"/>
    <n v="45671"/>
    <x v="0"/>
    <n v="1"/>
    <x v="0"/>
    <n v="0.38017807767433598"/>
    <s v="Low"/>
  </r>
  <r>
    <s v="ORD100345"/>
    <d v="2024-08-23T00:00:00"/>
    <s v="Customer 12"/>
    <x v="1"/>
    <s v="Gujarat"/>
    <x v="0"/>
    <s v="Binders"/>
    <x v="0"/>
    <n v="706.32"/>
    <n v="6"/>
    <n v="0.15"/>
    <n v="175.47"/>
    <x v="5"/>
    <x v="0"/>
    <s v="Bad"/>
    <n v="117.72000000000001"/>
    <n v="45527"/>
    <x v="1"/>
    <n v="8"/>
    <x v="11"/>
    <n v="0.24842847434590551"/>
    <s v="medium"/>
  </r>
  <r>
    <s v="ORD100346"/>
    <d v="2025-04-08T00:00:00"/>
    <s v="Customer 1"/>
    <x v="2"/>
    <s v="Uttarakhand"/>
    <x v="2"/>
    <s v="Computers"/>
    <x v="6"/>
    <n v="617.46"/>
    <n v="3"/>
    <n v="0.05"/>
    <n v="118.29"/>
    <x v="3"/>
    <x v="0"/>
    <s v="Bad"/>
    <n v="205.82000000000002"/>
    <n v="45755"/>
    <x v="0"/>
    <n v="4"/>
    <x v="8"/>
    <n v="0.19157516276357983"/>
    <s v="Low"/>
  </r>
  <r>
    <s v="ORD100347"/>
    <d v="2025-08-11T00:00:00"/>
    <s v="Customer 51"/>
    <x v="2"/>
    <s v="Haryana"/>
    <x v="2"/>
    <s v="Computers"/>
    <x v="26"/>
    <n v="5789.45"/>
    <n v="5"/>
    <n v="0.2"/>
    <n v="-442.27"/>
    <x v="3"/>
    <x v="2"/>
    <s v="Bad"/>
    <n v="1157.8899999999999"/>
    <n v="45880"/>
    <x v="0"/>
    <n v="8"/>
    <x v="11"/>
    <n v="-7.639240342346855E-2"/>
    <s v="medium"/>
  </r>
  <r>
    <s v="ORD100348"/>
    <d v="2025-12-01T00:00:00"/>
    <s v="Customer 147"/>
    <x v="3"/>
    <s v="Assam"/>
    <x v="0"/>
    <s v="Binders"/>
    <x v="0"/>
    <n v="71.16"/>
    <n v="1"/>
    <n v="0.2"/>
    <n v="-9.0500000000000007"/>
    <x v="4"/>
    <x v="1"/>
    <s v="Bad"/>
    <n v="71.16"/>
    <n v="45992"/>
    <x v="0"/>
    <n v="12"/>
    <x v="4"/>
    <n v="-0.12717818999437888"/>
    <s v="medium"/>
  </r>
  <r>
    <s v="ORD100349"/>
    <d v="2025-12-28T00:00:00"/>
    <s v="Customer 65"/>
    <x v="3"/>
    <s v="Odisha"/>
    <x v="0"/>
    <s v="Binders"/>
    <x v="22"/>
    <n v="1045.19"/>
    <n v="1"/>
    <n v="0"/>
    <n v="261.37"/>
    <x v="3"/>
    <x v="3"/>
    <s v="Bad"/>
    <n v="1045.19"/>
    <n v="46019"/>
    <x v="0"/>
    <n v="12"/>
    <x v="4"/>
    <n v="0.25006936537854363"/>
    <s v="No Discount"/>
  </r>
  <r>
    <s v="ORD100350"/>
    <d v="2024-06-27T00:00:00"/>
    <s v="Customer 54"/>
    <x v="0"/>
    <s v="Kerala"/>
    <x v="1"/>
    <s v="Storage"/>
    <x v="15"/>
    <n v="206.46"/>
    <n v="6"/>
    <n v="0"/>
    <n v="89.12"/>
    <x v="3"/>
    <x v="3"/>
    <s v="Bad"/>
    <n v="34.410000000000004"/>
    <n v="45470"/>
    <x v="1"/>
    <n v="6"/>
    <x v="9"/>
    <n v="0.43165746391552845"/>
    <s v="No Discount"/>
  </r>
  <r>
    <s v="ORD100351"/>
    <d v="2025-12-28T00:00:00"/>
    <s v="Customer 147"/>
    <x v="2"/>
    <s v="Uttarakhand"/>
    <x v="0"/>
    <s v="Paper"/>
    <x v="21"/>
    <n v="262.68"/>
    <n v="4"/>
    <n v="0.1"/>
    <n v="83.55"/>
    <x v="2"/>
    <x v="0"/>
    <s v="Bad"/>
    <n v="65.67"/>
    <n v="46019"/>
    <x v="0"/>
    <n v="12"/>
    <x v="4"/>
    <n v="0.31806761078117862"/>
    <s v="Low"/>
  </r>
  <r>
    <s v="ORD100352"/>
    <d v="2025-10-05T00:00:00"/>
    <s v="Customer 171"/>
    <x v="3"/>
    <s v="Assam"/>
    <x v="2"/>
    <s v="Computers"/>
    <x v="10"/>
    <n v="4052.93"/>
    <n v="7"/>
    <n v="0.3"/>
    <n v="253.33"/>
    <x v="5"/>
    <x v="0"/>
    <s v="Bad"/>
    <n v="578.99"/>
    <n v="45935"/>
    <x v="0"/>
    <n v="10"/>
    <x v="2"/>
    <n v="6.2505397329832985E-2"/>
    <s v="high"/>
  </r>
  <r>
    <s v="ORD100353"/>
    <d v="2024-01-19T00:00:00"/>
    <s v="Customer 160"/>
    <x v="1"/>
    <s v="Rajasthan"/>
    <x v="2"/>
    <s v="Accessories"/>
    <x v="12"/>
    <n v="3228.66"/>
    <n v="9"/>
    <n v="0.1"/>
    <n v="467.87"/>
    <x v="6"/>
    <x v="1"/>
    <s v="Bad"/>
    <n v="358.74"/>
    <n v="45310"/>
    <x v="1"/>
    <n v="1"/>
    <x v="0"/>
    <n v="0.14491151127712426"/>
    <s v="Low"/>
  </r>
  <r>
    <s v="ORD100354"/>
    <d v="2024-02-17T00:00:00"/>
    <s v="Customer 192"/>
    <x v="1"/>
    <s v="Maharashtra"/>
    <x v="2"/>
    <s v="Phones"/>
    <x v="13"/>
    <n v="4011.66"/>
    <n v="6"/>
    <n v="0.25"/>
    <n v="-745.53"/>
    <x v="4"/>
    <x v="1"/>
    <s v="Bad"/>
    <n v="668.61"/>
    <n v="45339"/>
    <x v="1"/>
    <n v="2"/>
    <x v="1"/>
    <n v="-0.18584077414337208"/>
    <s v="high"/>
  </r>
  <r>
    <s v="ORD100355"/>
    <d v="2024-10-06T00:00:00"/>
    <s v="Customer 71"/>
    <x v="2"/>
    <s v="Uttarakhand"/>
    <x v="1"/>
    <s v="Chairs"/>
    <x v="14"/>
    <n v="420.4"/>
    <n v="4"/>
    <n v="0.1"/>
    <n v="79.849999999999994"/>
    <x v="7"/>
    <x v="0"/>
    <s v="Bad"/>
    <n v="105.1"/>
    <n v="45571"/>
    <x v="1"/>
    <n v="10"/>
    <x v="2"/>
    <n v="0.18993815413891532"/>
    <s v="Low"/>
  </r>
  <r>
    <s v="ORD100356"/>
    <d v="2025-09-02T00:00:00"/>
    <s v="Customer 138"/>
    <x v="1"/>
    <s v="Goa"/>
    <x v="1"/>
    <s v="Tables"/>
    <x v="9"/>
    <n v="3379.98"/>
    <n v="3"/>
    <n v="0.2"/>
    <n v="-132.01"/>
    <x v="4"/>
    <x v="0"/>
    <s v="Bad"/>
    <n v="1126.6600000000001"/>
    <n v="45902"/>
    <x v="0"/>
    <n v="9"/>
    <x v="5"/>
    <n v="-3.9056444120971125E-2"/>
    <s v="medium"/>
  </r>
  <r>
    <s v="ORD100357"/>
    <d v="2025-01-28T00:00:00"/>
    <s v="Customer 45"/>
    <x v="3"/>
    <s v="Odisha"/>
    <x v="1"/>
    <s v="Storage"/>
    <x v="24"/>
    <n v="9321.2000000000007"/>
    <n v="10"/>
    <n v="0.3"/>
    <n v="-2233.0700000000002"/>
    <x v="9"/>
    <x v="0"/>
    <s v="Good"/>
    <n v="932.12000000000012"/>
    <n v="45685"/>
    <x v="0"/>
    <n v="1"/>
    <x v="0"/>
    <n v="-0.23956893962150796"/>
    <s v="high"/>
  </r>
  <r>
    <s v="ORD100358"/>
    <d v="2025-06-16T00:00:00"/>
    <s v="Customer 132"/>
    <x v="1"/>
    <s v="Rajasthan"/>
    <x v="0"/>
    <s v="Binders"/>
    <x v="25"/>
    <n v="1562.48"/>
    <n v="8"/>
    <n v="0"/>
    <n v="549.61"/>
    <x v="0"/>
    <x v="1"/>
    <s v="Bad"/>
    <n v="195.31"/>
    <n v="45824"/>
    <x v="0"/>
    <n v="6"/>
    <x v="9"/>
    <n v="0.35175490246275154"/>
    <s v="No Discount"/>
  </r>
  <r>
    <s v="ORD100359"/>
    <d v="2025-02-03T00:00:00"/>
    <s v="Customer 175"/>
    <x v="2"/>
    <s v="Punjab"/>
    <x v="1"/>
    <s v="Chairs"/>
    <x v="4"/>
    <n v="11197.8"/>
    <n v="10"/>
    <n v="0.3"/>
    <n v="-106.38"/>
    <x v="0"/>
    <x v="3"/>
    <s v="Good"/>
    <n v="1119.78"/>
    <n v="45691"/>
    <x v="0"/>
    <n v="2"/>
    <x v="1"/>
    <n v="-9.5000803729303977E-3"/>
    <s v="high"/>
  </r>
  <r>
    <s v="ORD100360"/>
    <d v="2024-03-28T00:00:00"/>
    <s v="Customer 61"/>
    <x v="2"/>
    <s v="Haryana"/>
    <x v="0"/>
    <s v="Paper"/>
    <x v="11"/>
    <n v="190.44"/>
    <n v="6"/>
    <n v="0"/>
    <n v="43.34"/>
    <x v="4"/>
    <x v="1"/>
    <s v="Bad"/>
    <n v="31.74"/>
    <n v="45379"/>
    <x v="1"/>
    <n v="3"/>
    <x v="3"/>
    <n v="0.22757823986557449"/>
    <s v="No Discount"/>
  </r>
  <r>
    <s v="ORD100361"/>
    <d v="2024-04-09T00:00:00"/>
    <s v="Customer 154"/>
    <x v="0"/>
    <s v="Tamil Nadu"/>
    <x v="0"/>
    <s v="Paper"/>
    <x v="11"/>
    <n v="6080.85"/>
    <n v="9"/>
    <n v="0.1"/>
    <n v="80.41"/>
    <x v="1"/>
    <x v="0"/>
    <s v="Good"/>
    <n v="675.65000000000009"/>
    <n v="45391"/>
    <x v="1"/>
    <n v="4"/>
    <x v="8"/>
    <n v="1.3223480270028037E-2"/>
    <s v="Low"/>
  </r>
  <r>
    <s v="ORD100362"/>
    <d v="2024-03-23T00:00:00"/>
    <s v="Customer 119"/>
    <x v="2"/>
    <s v="Punjab"/>
    <x v="0"/>
    <s v="Paper"/>
    <x v="21"/>
    <n v="920.82"/>
    <n v="3"/>
    <n v="0.15"/>
    <n v="-60.36"/>
    <x v="6"/>
    <x v="3"/>
    <s v="Bad"/>
    <n v="306.94"/>
    <n v="45374"/>
    <x v="1"/>
    <n v="3"/>
    <x v="3"/>
    <n v="-6.555027041115527E-2"/>
    <s v="medium"/>
  </r>
  <r>
    <s v="ORD100363"/>
    <d v="2025-04-16T00:00:00"/>
    <s v="Customer 22"/>
    <x v="1"/>
    <s v="Goa"/>
    <x v="2"/>
    <s v="Accessories"/>
    <x v="18"/>
    <n v="4115.1000000000004"/>
    <n v="5"/>
    <n v="0.3"/>
    <n v="-766.16"/>
    <x v="4"/>
    <x v="2"/>
    <s v="Bad"/>
    <n v="823.0200000000001"/>
    <n v="45763"/>
    <x v="0"/>
    <n v="4"/>
    <x v="8"/>
    <n v="-0.18618259580569121"/>
    <s v="high"/>
  </r>
  <r>
    <s v="ORD100364"/>
    <d v="2024-05-13T00:00:00"/>
    <s v="Customer 45"/>
    <x v="2"/>
    <s v="Delhi"/>
    <x v="2"/>
    <s v="Phones"/>
    <x v="13"/>
    <n v="77.81"/>
    <n v="1"/>
    <n v="0"/>
    <n v="32.72"/>
    <x v="1"/>
    <x v="2"/>
    <s v="Bad"/>
    <n v="77.81"/>
    <n v="45425"/>
    <x v="1"/>
    <n v="5"/>
    <x v="7"/>
    <n v="0.42051150237758639"/>
    <s v="No Discount"/>
  </r>
  <r>
    <s v="ORD100365"/>
    <d v="2025-06-07T00:00:00"/>
    <s v="Customer 80"/>
    <x v="1"/>
    <s v="Rajasthan"/>
    <x v="0"/>
    <s v="Writing"/>
    <x v="1"/>
    <n v="5690.16"/>
    <n v="8"/>
    <n v="0.05"/>
    <n v="236.39"/>
    <x v="9"/>
    <x v="3"/>
    <s v="Good"/>
    <n v="711.27"/>
    <n v="45815"/>
    <x v="0"/>
    <n v="6"/>
    <x v="9"/>
    <n v="4.1543647278811137E-2"/>
    <s v="Low"/>
  </r>
  <r>
    <s v="ORD100366"/>
    <d v="2024-08-04T00:00:00"/>
    <s v="Customer 35"/>
    <x v="0"/>
    <s v="Kerala"/>
    <x v="0"/>
    <s v="Writing"/>
    <x v="3"/>
    <n v="2428.11"/>
    <n v="9"/>
    <n v="0.1"/>
    <n v="812.06"/>
    <x v="5"/>
    <x v="2"/>
    <s v="Bad"/>
    <n v="269.79000000000002"/>
    <n v="45508"/>
    <x v="1"/>
    <n v="8"/>
    <x v="11"/>
    <n v="0.33444119088509167"/>
    <s v="Low"/>
  </r>
  <r>
    <s v="ORD100367"/>
    <d v="2025-06-09T00:00:00"/>
    <s v="Customer 113"/>
    <x v="2"/>
    <s v="Uttarakhand"/>
    <x v="2"/>
    <s v="Phones"/>
    <x v="8"/>
    <n v="4051.74"/>
    <n v="7"/>
    <n v="0.2"/>
    <n v="888.98"/>
    <x v="0"/>
    <x v="3"/>
    <s v="Bad"/>
    <n v="578.81999999999994"/>
    <n v="45817"/>
    <x v="0"/>
    <n v="6"/>
    <x v="9"/>
    <n v="0.21940697083228441"/>
    <s v="medium"/>
  </r>
  <r>
    <s v="ORD100368"/>
    <d v="2024-10-23T00:00:00"/>
    <s v="Customer 197"/>
    <x v="1"/>
    <s v="Rajasthan"/>
    <x v="1"/>
    <s v="Storage"/>
    <x v="15"/>
    <n v="1722.35"/>
    <n v="5"/>
    <n v="0.05"/>
    <n v="585.01"/>
    <x v="7"/>
    <x v="1"/>
    <s v="Bad"/>
    <n v="344.46999999999997"/>
    <n v="45588"/>
    <x v="1"/>
    <n v="10"/>
    <x v="2"/>
    <n v="0.3396580253723111"/>
    <s v="Low"/>
  </r>
  <r>
    <s v="ORD100369"/>
    <d v="2025-10-24T00:00:00"/>
    <s v="Customer 161"/>
    <x v="1"/>
    <s v="Rajasthan"/>
    <x v="0"/>
    <s v="Writing"/>
    <x v="3"/>
    <n v="2599"/>
    <n v="4"/>
    <n v="0.25"/>
    <n v="-200.76"/>
    <x v="6"/>
    <x v="3"/>
    <s v="Bad"/>
    <n v="649.75"/>
    <n v="45954"/>
    <x v="0"/>
    <n v="10"/>
    <x v="2"/>
    <n v="-7.7245094267025777E-2"/>
    <s v="high"/>
  </r>
  <r>
    <s v="ORD100370"/>
    <d v="2025-12-06T00:00:00"/>
    <s v="Customer 107"/>
    <x v="2"/>
    <s v="Delhi"/>
    <x v="2"/>
    <s v="Phones"/>
    <x v="23"/>
    <n v="776.03"/>
    <n v="1"/>
    <n v="0.05"/>
    <n v="57.34"/>
    <x v="4"/>
    <x v="2"/>
    <s v="Bad"/>
    <n v="776.03"/>
    <n v="45997"/>
    <x v="0"/>
    <n v="12"/>
    <x v="4"/>
    <n v="7.3888896047833205E-2"/>
    <s v="Low"/>
  </r>
  <r>
    <s v="ORD100371"/>
    <d v="2025-04-24T00:00:00"/>
    <s v="Customer 130"/>
    <x v="1"/>
    <s v="Gujarat"/>
    <x v="1"/>
    <s v="Storage"/>
    <x v="15"/>
    <n v="1129.81"/>
    <n v="1"/>
    <n v="0.2"/>
    <n v="5.17"/>
    <x v="5"/>
    <x v="3"/>
    <s v="Bad"/>
    <n v="1129.81"/>
    <n v="45771"/>
    <x v="0"/>
    <n v="4"/>
    <x v="8"/>
    <n v="4.5759906532956869E-3"/>
    <s v="medium"/>
  </r>
  <r>
    <s v="ORD100372"/>
    <d v="2024-09-16T00:00:00"/>
    <s v="Customer 66"/>
    <x v="3"/>
    <s v="Bihar"/>
    <x v="2"/>
    <s v="Computers"/>
    <x v="6"/>
    <n v="1094.04"/>
    <n v="1"/>
    <n v="0.1"/>
    <n v="-33.33"/>
    <x v="2"/>
    <x v="0"/>
    <s v="Bad"/>
    <n v="1094.04"/>
    <n v="45551"/>
    <x v="1"/>
    <n v="9"/>
    <x v="5"/>
    <n v="-3.0465065262696062E-2"/>
    <s v="Low"/>
  </r>
  <r>
    <s v="ORD100373"/>
    <d v="2025-04-17T00:00:00"/>
    <s v="Customer 22"/>
    <x v="3"/>
    <s v="West Bengal"/>
    <x v="1"/>
    <s v="Storage"/>
    <x v="15"/>
    <n v="4809.6000000000004"/>
    <n v="9"/>
    <n v="0.3"/>
    <n v="-127.78"/>
    <x v="5"/>
    <x v="2"/>
    <s v="Bad"/>
    <n v="534.40000000000009"/>
    <n v="45764"/>
    <x v="0"/>
    <n v="4"/>
    <x v="8"/>
    <n v="-2.6567697937458414E-2"/>
    <s v="high"/>
  </r>
  <r>
    <s v="ORD100374"/>
    <d v="2024-02-23T00:00:00"/>
    <s v="Customer 105"/>
    <x v="1"/>
    <s v="Goa"/>
    <x v="2"/>
    <s v="Phones"/>
    <x v="23"/>
    <n v="1902.42"/>
    <n v="9"/>
    <n v="0.2"/>
    <n v="31.01"/>
    <x v="7"/>
    <x v="3"/>
    <s v="Bad"/>
    <n v="211.38"/>
    <n v="45345"/>
    <x v="1"/>
    <n v="2"/>
    <x v="1"/>
    <n v="1.6300291208040284E-2"/>
    <s v="medium"/>
  </r>
  <r>
    <s v="ORD100375"/>
    <d v="2025-11-29T00:00:00"/>
    <s v="Customer 14"/>
    <x v="1"/>
    <s v="Gujarat"/>
    <x v="2"/>
    <s v="Computers"/>
    <x v="26"/>
    <n v="4467.6000000000004"/>
    <n v="4"/>
    <n v="0.3"/>
    <n v="-892.64"/>
    <x v="6"/>
    <x v="1"/>
    <s v="Bad"/>
    <n v="1116.9000000000001"/>
    <n v="45990"/>
    <x v="0"/>
    <n v="11"/>
    <x v="10"/>
    <n v="-0.19980302623332435"/>
    <s v="high"/>
  </r>
  <r>
    <s v="ORD100376"/>
    <d v="2024-07-19T00:00:00"/>
    <s v="Customer 2"/>
    <x v="1"/>
    <s v="Rajasthan"/>
    <x v="0"/>
    <s v="Paper"/>
    <x v="21"/>
    <n v="5519.1"/>
    <n v="5"/>
    <n v="0.3"/>
    <n v="-699.89"/>
    <x v="6"/>
    <x v="1"/>
    <s v="Bad"/>
    <n v="1103.8200000000002"/>
    <n v="45492"/>
    <x v="1"/>
    <n v="7"/>
    <x v="6"/>
    <n v="-0.12681234259208929"/>
    <s v="high"/>
  </r>
  <r>
    <s v="ORD100377"/>
    <d v="2024-09-02T00:00:00"/>
    <s v="Customer 75"/>
    <x v="1"/>
    <s v="Maharashtra"/>
    <x v="2"/>
    <s v="Accessories"/>
    <x v="20"/>
    <n v="927.51"/>
    <n v="1"/>
    <n v="0.05"/>
    <n v="166.03"/>
    <x v="1"/>
    <x v="0"/>
    <s v="Bad"/>
    <n v="927.51"/>
    <n v="45537"/>
    <x v="1"/>
    <n v="9"/>
    <x v="5"/>
    <n v="0.17900615626785696"/>
    <s v="Low"/>
  </r>
  <r>
    <s v="ORD100378"/>
    <d v="2024-12-07T00:00:00"/>
    <s v="Customer 61"/>
    <x v="1"/>
    <s v="Rajasthan"/>
    <x v="1"/>
    <s v="Chairs"/>
    <x v="4"/>
    <n v="1457.25"/>
    <n v="5"/>
    <n v="0.05"/>
    <n v="327.16000000000003"/>
    <x v="2"/>
    <x v="3"/>
    <s v="Bad"/>
    <n v="291.45"/>
    <n v="45633"/>
    <x v="1"/>
    <n v="12"/>
    <x v="4"/>
    <n v="0.22450506090238465"/>
    <s v="Low"/>
  </r>
  <r>
    <s v="ORD100379"/>
    <d v="2025-07-19T00:00:00"/>
    <s v="Customer 60"/>
    <x v="2"/>
    <s v="Uttarakhand"/>
    <x v="2"/>
    <s v="Computers"/>
    <x v="6"/>
    <n v="3953.94"/>
    <n v="6"/>
    <n v="0"/>
    <n v="1452.52"/>
    <x v="5"/>
    <x v="2"/>
    <s v="Bad"/>
    <n v="658.99"/>
    <n v="45857"/>
    <x v="0"/>
    <n v="7"/>
    <x v="6"/>
    <n v="0.36736015215203061"/>
    <s v="No Discount"/>
  </r>
  <r>
    <s v="ORD100380"/>
    <d v="2025-12-17T00:00:00"/>
    <s v="Customer 154"/>
    <x v="1"/>
    <s v="Gujarat"/>
    <x v="1"/>
    <s v="Storage"/>
    <x v="7"/>
    <n v="9544.32"/>
    <n v="9"/>
    <n v="0"/>
    <n v="3838.14"/>
    <x v="9"/>
    <x v="2"/>
    <s v="Good"/>
    <n v="1060.48"/>
    <n v="46008"/>
    <x v="0"/>
    <n v="12"/>
    <x v="4"/>
    <n v="0.40213865419432709"/>
    <s v="No Discount"/>
  </r>
  <r>
    <s v="ORD100381"/>
    <d v="2025-05-26T00:00:00"/>
    <s v="Customer 190"/>
    <x v="0"/>
    <s v="Telangana"/>
    <x v="2"/>
    <s v="Accessories"/>
    <x v="12"/>
    <n v="1246"/>
    <n v="2"/>
    <n v="0"/>
    <n v="545.95000000000005"/>
    <x v="2"/>
    <x v="2"/>
    <s v="Bad"/>
    <n v="623"/>
    <n v="45803"/>
    <x v="0"/>
    <n v="5"/>
    <x v="7"/>
    <n v="0.43816211878009637"/>
    <s v="No Discount"/>
  </r>
  <r>
    <s v="ORD100382"/>
    <d v="2025-06-29T00:00:00"/>
    <s v="Customer 135"/>
    <x v="3"/>
    <s v="Bihar"/>
    <x v="2"/>
    <s v="Phones"/>
    <x v="23"/>
    <n v="2544.9899999999998"/>
    <n v="7"/>
    <n v="0"/>
    <n v="242.95"/>
    <x v="0"/>
    <x v="2"/>
    <s v="Bad"/>
    <n v="363.57"/>
    <n v="45837"/>
    <x v="0"/>
    <n v="6"/>
    <x v="9"/>
    <n v="9.5462064683947676E-2"/>
    <s v="No Discount"/>
  </r>
  <r>
    <s v="ORD100383"/>
    <d v="2024-01-26T00:00:00"/>
    <s v="Customer 54"/>
    <x v="2"/>
    <s v="Delhi"/>
    <x v="2"/>
    <s v="Phones"/>
    <x v="23"/>
    <n v="7918.6"/>
    <n v="10"/>
    <n v="0"/>
    <n v="3551.09"/>
    <x v="0"/>
    <x v="0"/>
    <s v="Good"/>
    <n v="791.86"/>
    <n v="45317"/>
    <x v="1"/>
    <n v="1"/>
    <x v="0"/>
    <n v="0.44844922082186245"/>
    <s v="No Discount"/>
  </r>
  <r>
    <s v="ORD100384"/>
    <d v="2024-10-09T00:00:00"/>
    <s v="Customer 185"/>
    <x v="1"/>
    <s v="Maharashtra"/>
    <x v="2"/>
    <s v="Accessories"/>
    <x v="18"/>
    <n v="6563.6"/>
    <n v="8"/>
    <n v="0.3"/>
    <n v="435.24"/>
    <x v="1"/>
    <x v="1"/>
    <s v="Good"/>
    <n v="820.45"/>
    <n v="45574"/>
    <x v="1"/>
    <n v="10"/>
    <x v="2"/>
    <n v="6.6311170699006647E-2"/>
    <s v="high"/>
  </r>
  <r>
    <s v="ORD100385"/>
    <d v="2024-07-20T00:00:00"/>
    <s v="Customer 187"/>
    <x v="3"/>
    <s v="West Bengal"/>
    <x v="1"/>
    <s v="Tables"/>
    <x v="16"/>
    <n v="619.22"/>
    <n v="1"/>
    <n v="0.2"/>
    <n v="92.4"/>
    <x v="6"/>
    <x v="3"/>
    <s v="Bad"/>
    <n v="619.22"/>
    <n v="45493"/>
    <x v="1"/>
    <n v="7"/>
    <x v="6"/>
    <n v="0.1492199864345467"/>
    <s v="medium"/>
  </r>
  <r>
    <s v="ORD100386"/>
    <d v="2024-06-22T00:00:00"/>
    <s v="Customer 43"/>
    <x v="1"/>
    <s v="Rajasthan"/>
    <x v="0"/>
    <s v="Writing"/>
    <x v="1"/>
    <n v="1987.6"/>
    <n v="4"/>
    <n v="0.3"/>
    <n v="-46.51"/>
    <x v="6"/>
    <x v="1"/>
    <s v="Bad"/>
    <n v="496.9"/>
    <n v="45465"/>
    <x v="1"/>
    <n v="6"/>
    <x v="9"/>
    <n v="-2.3400080499094384E-2"/>
    <s v="high"/>
  </r>
  <r>
    <s v="ORD100387"/>
    <d v="2024-01-02T00:00:00"/>
    <s v="Customer 153"/>
    <x v="1"/>
    <s v="Rajasthan"/>
    <x v="0"/>
    <s v="Paper"/>
    <x v="21"/>
    <n v="2743.74"/>
    <n v="3"/>
    <n v="0.3"/>
    <n v="320.45"/>
    <x v="5"/>
    <x v="0"/>
    <s v="Bad"/>
    <n v="914.57999999999993"/>
    <n v="45293"/>
    <x v="1"/>
    <n v="1"/>
    <x v="0"/>
    <n v="0.11679313637589568"/>
    <s v="high"/>
  </r>
  <r>
    <s v="ORD100388"/>
    <d v="2025-01-21T00:00:00"/>
    <s v="Customer 196"/>
    <x v="3"/>
    <s v="Assam"/>
    <x v="1"/>
    <s v="Storage"/>
    <x v="24"/>
    <n v="4763.9399999999996"/>
    <n v="6"/>
    <n v="0.25"/>
    <n v="-311.02"/>
    <x v="0"/>
    <x v="0"/>
    <s v="Bad"/>
    <n v="793.9899999999999"/>
    <n v="45678"/>
    <x v="0"/>
    <n v="1"/>
    <x v="0"/>
    <n v="-6.5286296636817426E-2"/>
    <s v="high"/>
  </r>
  <r>
    <s v="ORD100389"/>
    <d v="2025-04-27T00:00:00"/>
    <s v="Customer 40"/>
    <x v="0"/>
    <s v="Kerala"/>
    <x v="0"/>
    <s v="Writing"/>
    <x v="3"/>
    <n v="4875.7"/>
    <n v="5"/>
    <n v="0.25"/>
    <n v="314.04000000000002"/>
    <x v="2"/>
    <x v="2"/>
    <s v="Bad"/>
    <n v="975.14"/>
    <n v="45774"/>
    <x v="0"/>
    <n v="4"/>
    <x v="8"/>
    <n v="6.4409213036076884E-2"/>
    <s v="high"/>
  </r>
  <r>
    <s v="ORD100390"/>
    <d v="2024-04-10T00:00:00"/>
    <s v="Customer 120"/>
    <x v="0"/>
    <s v="Tamil Nadu"/>
    <x v="2"/>
    <s v="Accessories"/>
    <x v="12"/>
    <n v="11977.1"/>
    <n v="10"/>
    <n v="0"/>
    <n v="1120.08"/>
    <x v="5"/>
    <x v="1"/>
    <s v="Good"/>
    <n v="1197.71"/>
    <n v="45392"/>
    <x v="1"/>
    <n v="4"/>
    <x v="8"/>
    <n v="9.3518464402902193E-2"/>
    <s v="No Discount"/>
  </r>
  <r>
    <s v="ORD100391"/>
    <d v="2025-06-25T00:00:00"/>
    <s v="Customer 70"/>
    <x v="2"/>
    <s v="Haryana"/>
    <x v="0"/>
    <s v="Paper"/>
    <x v="11"/>
    <n v="222.84"/>
    <n v="3"/>
    <n v="0.2"/>
    <n v="10.35"/>
    <x v="4"/>
    <x v="2"/>
    <s v="Bad"/>
    <n v="74.28"/>
    <n v="45833"/>
    <x v="0"/>
    <n v="6"/>
    <x v="9"/>
    <n v="4.6445880452342485E-2"/>
    <s v="medium"/>
  </r>
  <r>
    <s v="ORD100392"/>
    <d v="2025-03-10T00:00:00"/>
    <s v="Customer 60"/>
    <x v="1"/>
    <s v="Rajasthan"/>
    <x v="1"/>
    <s v="Storage"/>
    <x v="7"/>
    <n v="3795.03"/>
    <n v="9"/>
    <n v="0.15"/>
    <n v="650.94000000000005"/>
    <x v="1"/>
    <x v="1"/>
    <s v="Bad"/>
    <n v="421.67"/>
    <n v="45726"/>
    <x v="0"/>
    <n v="3"/>
    <x v="3"/>
    <n v="0.17152433577600176"/>
    <s v="medium"/>
  </r>
  <r>
    <s v="ORD100393"/>
    <d v="2025-04-02T00:00:00"/>
    <s v="Customer 145"/>
    <x v="1"/>
    <s v="Rajasthan"/>
    <x v="0"/>
    <s v="Paper"/>
    <x v="11"/>
    <n v="1673.07"/>
    <n v="7"/>
    <n v="0"/>
    <n v="412"/>
    <x v="8"/>
    <x v="1"/>
    <s v="Bad"/>
    <n v="239.01"/>
    <n v="45749"/>
    <x v="0"/>
    <n v="4"/>
    <x v="8"/>
    <n v="0.24625389254484273"/>
    <s v="No Discount"/>
  </r>
  <r>
    <s v="ORD100394"/>
    <d v="2024-10-09T00:00:00"/>
    <s v="Customer 43"/>
    <x v="2"/>
    <s v="Punjab"/>
    <x v="0"/>
    <s v="Paper"/>
    <x v="11"/>
    <n v="6213.48"/>
    <n v="6"/>
    <n v="0.15"/>
    <n v="-428.53"/>
    <x v="0"/>
    <x v="1"/>
    <s v="Bad"/>
    <n v="1035.58"/>
    <n v="45574"/>
    <x v="1"/>
    <n v="10"/>
    <x v="2"/>
    <n v="-6.8967792605753947E-2"/>
    <s v="medium"/>
  </r>
  <r>
    <s v="ORD100395"/>
    <d v="2024-04-05T00:00:00"/>
    <s v="Customer 150"/>
    <x v="0"/>
    <s v="Tamil Nadu"/>
    <x v="2"/>
    <s v="Phones"/>
    <x v="13"/>
    <n v="7988.48"/>
    <n v="8"/>
    <n v="0.25"/>
    <n v="-360.36"/>
    <x v="7"/>
    <x v="0"/>
    <s v="Good"/>
    <n v="998.56"/>
    <n v="45387"/>
    <x v="1"/>
    <n v="4"/>
    <x v="8"/>
    <n v="-4.5109958340009616E-2"/>
    <s v="high"/>
  </r>
  <r>
    <s v="ORD100396"/>
    <d v="2024-12-10T00:00:00"/>
    <s v="Customer 127"/>
    <x v="1"/>
    <s v="Maharashtra"/>
    <x v="0"/>
    <s v="Writing"/>
    <x v="1"/>
    <n v="1410"/>
    <n v="6"/>
    <n v="0.15"/>
    <n v="260.58"/>
    <x v="0"/>
    <x v="1"/>
    <s v="Bad"/>
    <n v="235"/>
    <n v="45636"/>
    <x v="1"/>
    <n v="12"/>
    <x v="4"/>
    <n v="0.18480851063829787"/>
    <s v="medium"/>
  </r>
  <r>
    <s v="ORD100397"/>
    <d v="2025-11-06T00:00:00"/>
    <s v="Customer 25"/>
    <x v="1"/>
    <s v="Maharashtra"/>
    <x v="0"/>
    <s v="Paper"/>
    <x v="21"/>
    <n v="4630.38"/>
    <n v="6"/>
    <n v="0.3"/>
    <n v="94.83"/>
    <x v="6"/>
    <x v="0"/>
    <s v="Bad"/>
    <n v="771.73"/>
    <n v="45967"/>
    <x v="0"/>
    <n v="11"/>
    <x v="10"/>
    <n v="2.0479960607984658E-2"/>
    <s v="high"/>
  </r>
  <r>
    <s v="ORD100398"/>
    <d v="2025-12-04T00:00:00"/>
    <s v="Customer 153"/>
    <x v="3"/>
    <s v="Odisha"/>
    <x v="1"/>
    <s v="Storage"/>
    <x v="7"/>
    <n v="4290.4799999999996"/>
    <n v="4"/>
    <n v="0.05"/>
    <n v="1310.92"/>
    <x v="5"/>
    <x v="3"/>
    <s v="Bad"/>
    <n v="1072.6199999999999"/>
    <n v="45995"/>
    <x v="0"/>
    <n v="12"/>
    <x v="4"/>
    <n v="0.30554157110626323"/>
    <s v="Low"/>
  </r>
  <r>
    <s v="ORD100399"/>
    <d v="2025-12-23T00:00:00"/>
    <s v="Customer 173"/>
    <x v="2"/>
    <s v="Uttarakhand"/>
    <x v="0"/>
    <s v="Writing"/>
    <x v="19"/>
    <n v="9198.16"/>
    <n v="8"/>
    <n v="0.25"/>
    <n v="1113.92"/>
    <x v="9"/>
    <x v="3"/>
    <s v="Good"/>
    <n v="1149.77"/>
    <n v="46014"/>
    <x v="0"/>
    <n v="12"/>
    <x v="4"/>
    <n v="0.1211024813658384"/>
    <s v="high"/>
  </r>
  <r>
    <s v="ORD100400"/>
    <d v="2024-03-20T00:00:00"/>
    <s v="Customer 182"/>
    <x v="2"/>
    <s v="Uttarakhand"/>
    <x v="1"/>
    <s v="Tables"/>
    <x v="17"/>
    <n v="1450"/>
    <n v="2"/>
    <n v="0.05"/>
    <n v="512.65"/>
    <x v="9"/>
    <x v="2"/>
    <s v="Bad"/>
    <n v="725"/>
    <n v="45371"/>
    <x v="1"/>
    <n v="3"/>
    <x v="3"/>
    <n v="0.35355172413793101"/>
    <s v="Low"/>
  </r>
  <r>
    <s v="ORD100401"/>
    <d v="2025-10-27T00:00:00"/>
    <s v="Customer 64"/>
    <x v="0"/>
    <s v="Telangana"/>
    <x v="1"/>
    <s v="Chairs"/>
    <x v="5"/>
    <n v="3355.24"/>
    <n v="4"/>
    <n v="0"/>
    <n v="753.71"/>
    <x v="2"/>
    <x v="0"/>
    <s v="Bad"/>
    <n v="838.81"/>
    <n v="45957"/>
    <x v="0"/>
    <n v="10"/>
    <x v="2"/>
    <n v="0.22463668768851114"/>
    <s v="No Discount"/>
  </r>
  <r>
    <s v="ORD100402"/>
    <d v="2024-04-21T00:00:00"/>
    <s v="Customer 159"/>
    <x v="0"/>
    <s v="Tamil Nadu"/>
    <x v="2"/>
    <s v="Computers"/>
    <x v="26"/>
    <n v="1529.88"/>
    <n v="6"/>
    <n v="0.25"/>
    <n v="165.97"/>
    <x v="2"/>
    <x v="0"/>
    <s v="Bad"/>
    <n v="254.98000000000002"/>
    <n v="45403"/>
    <x v="1"/>
    <n v="4"/>
    <x v="8"/>
    <n v="0.10848563286009359"/>
    <s v="high"/>
  </r>
  <r>
    <s v="ORD100403"/>
    <d v="2024-09-12T00:00:00"/>
    <s v="Customer 181"/>
    <x v="3"/>
    <s v="West Bengal"/>
    <x v="2"/>
    <s v="Computers"/>
    <x v="10"/>
    <n v="7087.14"/>
    <n v="9"/>
    <n v="0.15"/>
    <n v="804.4"/>
    <x v="4"/>
    <x v="2"/>
    <s v="Good"/>
    <n v="787.46"/>
    <n v="45547"/>
    <x v="1"/>
    <n v="9"/>
    <x v="5"/>
    <n v="0.11350135597716426"/>
    <s v="medium"/>
  </r>
  <r>
    <s v="ORD100404"/>
    <d v="2025-01-06T00:00:00"/>
    <s v="Customer 187"/>
    <x v="2"/>
    <s v="Delhi"/>
    <x v="0"/>
    <s v="Binders"/>
    <x v="22"/>
    <n v="3653.12"/>
    <n v="4"/>
    <n v="0.15"/>
    <n v="-154.34"/>
    <x v="6"/>
    <x v="2"/>
    <s v="Bad"/>
    <n v="913.28"/>
    <n v="45663"/>
    <x v="0"/>
    <n v="1"/>
    <x v="0"/>
    <n v="-4.2248817449194113E-2"/>
    <s v="medium"/>
  </r>
  <r>
    <s v="ORD100405"/>
    <d v="2024-07-26T00:00:00"/>
    <s v="Customer 104"/>
    <x v="0"/>
    <s v="Tamil Nadu"/>
    <x v="2"/>
    <s v="Accessories"/>
    <x v="20"/>
    <n v="1387.9"/>
    <n v="2"/>
    <n v="0.05"/>
    <n v="263.99"/>
    <x v="3"/>
    <x v="3"/>
    <s v="Bad"/>
    <n v="693.95"/>
    <n v="45499"/>
    <x v="1"/>
    <n v="7"/>
    <x v="6"/>
    <n v="0.19020822825852007"/>
    <s v="Low"/>
  </r>
  <r>
    <s v="ORD100406"/>
    <d v="2024-09-10T00:00:00"/>
    <s v="Customer 119"/>
    <x v="3"/>
    <s v="Bihar"/>
    <x v="1"/>
    <s v="Storage"/>
    <x v="24"/>
    <n v="2789.7"/>
    <n v="3"/>
    <n v="0.05"/>
    <n v="1084.24"/>
    <x v="1"/>
    <x v="1"/>
    <s v="Bad"/>
    <n v="929.9"/>
    <n v="45545"/>
    <x v="1"/>
    <n v="9"/>
    <x v="5"/>
    <n v="0.38865827866795716"/>
    <s v="Low"/>
  </r>
  <r>
    <s v="ORD100407"/>
    <d v="2024-12-19T00:00:00"/>
    <s v="Customer 74"/>
    <x v="3"/>
    <s v="Assam"/>
    <x v="0"/>
    <s v="Paper"/>
    <x v="21"/>
    <n v="1766.78"/>
    <n v="2"/>
    <n v="0.2"/>
    <n v="400.92"/>
    <x v="1"/>
    <x v="3"/>
    <s v="Bad"/>
    <n v="883.39"/>
    <n v="45645"/>
    <x v="1"/>
    <n v="12"/>
    <x v="4"/>
    <n v="0.22692129184165546"/>
    <s v="medium"/>
  </r>
  <r>
    <s v="ORD100408"/>
    <d v="2024-07-21T00:00:00"/>
    <s v="Customer 113"/>
    <x v="3"/>
    <s v="Assam"/>
    <x v="2"/>
    <s v="Accessories"/>
    <x v="12"/>
    <n v="452.67"/>
    <n v="3"/>
    <n v="0.2"/>
    <n v="-36.07"/>
    <x v="5"/>
    <x v="0"/>
    <s v="Bad"/>
    <n v="150.89000000000001"/>
    <n v="45494"/>
    <x v="1"/>
    <n v="7"/>
    <x v="6"/>
    <n v="-7.968277111361477E-2"/>
    <s v="medium"/>
  </r>
  <r>
    <s v="ORD100409"/>
    <d v="2025-03-06T00:00:00"/>
    <s v="Customer 193"/>
    <x v="3"/>
    <s v="Assam"/>
    <x v="0"/>
    <s v="Paper"/>
    <x v="21"/>
    <n v="4280.8999999999996"/>
    <n v="5"/>
    <n v="0.2"/>
    <n v="-253.87"/>
    <x v="3"/>
    <x v="2"/>
    <s v="Bad"/>
    <n v="856.18"/>
    <n v="45722"/>
    <x v="0"/>
    <n v="3"/>
    <x v="3"/>
    <n v="-5.9302950314186274E-2"/>
    <s v="medium"/>
  </r>
  <r>
    <s v="ORD100410"/>
    <d v="2025-04-20T00:00:00"/>
    <s v="Customer 158"/>
    <x v="3"/>
    <s v="Odisha"/>
    <x v="0"/>
    <s v="Writing"/>
    <x v="3"/>
    <n v="2076.1999999999998"/>
    <n v="5"/>
    <n v="0.15"/>
    <n v="-31.49"/>
    <x v="7"/>
    <x v="1"/>
    <s v="Bad"/>
    <n v="415.23999999999995"/>
    <n v="45767"/>
    <x v="0"/>
    <n v="4"/>
    <x v="8"/>
    <n v="-1.516713226086119E-2"/>
    <s v="medium"/>
  </r>
  <r>
    <s v="ORD100411"/>
    <d v="2024-08-09T00:00:00"/>
    <s v="Customer 32"/>
    <x v="0"/>
    <s v="Tamil Nadu"/>
    <x v="2"/>
    <s v="Computers"/>
    <x v="26"/>
    <n v="42.26"/>
    <n v="1"/>
    <n v="0.2"/>
    <n v="4.16"/>
    <x v="3"/>
    <x v="3"/>
    <s v="Bad"/>
    <n v="42.26"/>
    <n v="45513"/>
    <x v="1"/>
    <n v="8"/>
    <x v="11"/>
    <n v="9.8438239469947952E-2"/>
    <s v="medium"/>
  </r>
  <r>
    <s v="ORD100412"/>
    <d v="2025-06-09T00:00:00"/>
    <s v="Customer 39"/>
    <x v="0"/>
    <s v="Karnataka"/>
    <x v="1"/>
    <s v="Storage"/>
    <x v="24"/>
    <n v="3026.55"/>
    <n v="5"/>
    <n v="0.05"/>
    <n v="482.88"/>
    <x v="6"/>
    <x v="0"/>
    <s v="Bad"/>
    <n v="605.31000000000006"/>
    <n v="45817"/>
    <x v="0"/>
    <n v="6"/>
    <x v="9"/>
    <n v="0.15954800019824553"/>
    <s v="Low"/>
  </r>
  <r>
    <s v="ORD100413"/>
    <d v="2024-08-03T00:00:00"/>
    <s v="Customer 100"/>
    <x v="2"/>
    <s v="Punjab"/>
    <x v="0"/>
    <s v="Writing"/>
    <x v="1"/>
    <n v="8243.84"/>
    <n v="8"/>
    <n v="0.3"/>
    <n v="-43.28"/>
    <x v="0"/>
    <x v="1"/>
    <s v="Good"/>
    <n v="1030.48"/>
    <n v="45507"/>
    <x v="1"/>
    <n v="8"/>
    <x v="11"/>
    <n v="-5.2499805915689774E-3"/>
    <s v="high"/>
  </r>
  <r>
    <s v="ORD100414"/>
    <d v="2024-12-04T00:00:00"/>
    <s v="Customer 84"/>
    <x v="0"/>
    <s v="Tamil Nadu"/>
    <x v="1"/>
    <s v="Storage"/>
    <x v="15"/>
    <n v="3262.12"/>
    <n v="4"/>
    <n v="0.25"/>
    <n v="322.81"/>
    <x v="0"/>
    <x v="3"/>
    <s v="Bad"/>
    <n v="815.53"/>
    <n v="45630"/>
    <x v="1"/>
    <n v="12"/>
    <x v="4"/>
    <n v="9.895711990975195E-2"/>
    <s v="high"/>
  </r>
  <r>
    <s v="ORD100415"/>
    <d v="2025-07-04T00:00:00"/>
    <s v="Customer 14"/>
    <x v="0"/>
    <s v="Karnataka"/>
    <x v="1"/>
    <s v="Storage"/>
    <x v="7"/>
    <n v="752.89"/>
    <n v="1"/>
    <n v="0.25"/>
    <n v="-149.37"/>
    <x v="0"/>
    <x v="0"/>
    <s v="Bad"/>
    <n v="752.89"/>
    <n v="45842"/>
    <x v="0"/>
    <n v="7"/>
    <x v="6"/>
    <n v="-0.19839551594522442"/>
    <s v="high"/>
  </r>
  <r>
    <s v="ORD100416"/>
    <d v="2025-08-03T00:00:00"/>
    <s v="Customer 105"/>
    <x v="1"/>
    <s v="Rajasthan"/>
    <x v="1"/>
    <s v="Storage"/>
    <x v="24"/>
    <n v="508.69"/>
    <n v="1"/>
    <n v="0.3"/>
    <n v="74.569999999999993"/>
    <x v="6"/>
    <x v="2"/>
    <s v="Bad"/>
    <n v="508.69"/>
    <n v="45872"/>
    <x v="0"/>
    <n v="8"/>
    <x v="11"/>
    <n v="0.14659222709312153"/>
    <s v="high"/>
  </r>
  <r>
    <s v="ORD100417"/>
    <d v="2025-12-22T00:00:00"/>
    <s v="Customer 200"/>
    <x v="1"/>
    <s v="Rajasthan"/>
    <x v="0"/>
    <s v="Binders"/>
    <x v="0"/>
    <n v="4004.96"/>
    <n v="4"/>
    <n v="0.15"/>
    <n v="1040.3800000000001"/>
    <x v="0"/>
    <x v="3"/>
    <s v="Bad"/>
    <n v="1001.24"/>
    <n v="46013"/>
    <x v="0"/>
    <n v="12"/>
    <x v="4"/>
    <n v="0.2597728816267828"/>
    <s v="medium"/>
  </r>
  <r>
    <s v="ORD100418"/>
    <d v="2024-05-16T00:00:00"/>
    <s v="Customer 62"/>
    <x v="3"/>
    <s v="Assam"/>
    <x v="0"/>
    <s v="Paper"/>
    <x v="2"/>
    <n v="902.06"/>
    <n v="1"/>
    <n v="0.2"/>
    <n v="123.53"/>
    <x v="0"/>
    <x v="0"/>
    <s v="Bad"/>
    <n v="902.06"/>
    <n v="45428"/>
    <x v="1"/>
    <n v="5"/>
    <x v="7"/>
    <n v="0.13694211028091258"/>
    <s v="medium"/>
  </r>
  <r>
    <s v="ORD100419"/>
    <d v="2025-03-09T00:00:00"/>
    <s v="Customer 118"/>
    <x v="2"/>
    <s v="Haryana"/>
    <x v="0"/>
    <s v="Binders"/>
    <x v="22"/>
    <n v="408.2"/>
    <n v="5"/>
    <n v="0.15"/>
    <n v="38.76"/>
    <x v="6"/>
    <x v="1"/>
    <s v="Bad"/>
    <n v="81.64"/>
    <n v="45725"/>
    <x v="0"/>
    <n v="3"/>
    <x v="3"/>
    <n v="9.4953454189122974E-2"/>
    <s v="medium"/>
  </r>
  <r>
    <s v="ORD100420"/>
    <d v="2025-03-22T00:00:00"/>
    <s v="Customer 76"/>
    <x v="0"/>
    <s v="Tamil Nadu"/>
    <x v="0"/>
    <s v="Paper"/>
    <x v="11"/>
    <n v="3865.2"/>
    <n v="10"/>
    <n v="0.05"/>
    <n v="625.72"/>
    <x v="3"/>
    <x v="3"/>
    <s v="Bad"/>
    <n v="386.52"/>
    <n v="45738"/>
    <x v="0"/>
    <n v="3"/>
    <x v="3"/>
    <n v="0.16188554279209358"/>
    <s v="Low"/>
  </r>
  <r>
    <s v="ORD100421"/>
    <d v="2024-12-02T00:00:00"/>
    <s v="Customer 37"/>
    <x v="3"/>
    <s v="Odisha"/>
    <x v="0"/>
    <s v="Binders"/>
    <x v="25"/>
    <n v="2394.36"/>
    <n v="3"/>
    <n v="0"/>
    <n v="261.64999999999998"/>
    <x v="5"/>
    <x v="1"/>
    <s v="Bad"/>
    <n v="798.12"/>
    <n v="45628"/>
    <x v="1"/>
    <n v="12"/>
    <x v="4"/>
    <n v="0.10927763577741023"/>
    <s v="No Discount"/>
  </r>
  <r>
    <s v="ORD100422"/>
    <d v="2025-11-06T00:00:00"/>
    <s v="Customer 149"/>
    <x v="1"/>
    <s v="Rajasthan"/>
    <x v="1"/>
    <s v="Storage"/>
    <x v="7"/>
    <n v="146.54"/>
    <n v="1"/>
    <n v="0.05"/>
    <n v="36.44"/>
    <x v="8"/>
    <x v="2"/>
    <s v="Bad"/>
    <n v="146.54"/>
    <n v="45967"/>
    <x v="0"/>
    <n v="11"/>
    <x v="10"/>
    <n v="0.24866930530913062"/>
    <s v="Low"/>
  </r>
  <r>
    <s v="ORD100423"/>
    <d v="2025-08-22T00:00:00"/>
    <s v="Customer 136"/>
    <x v="3"/>
    <s v="Assam"/>
    <x v="2"/>
    <s v="Computers"/>
    <x v="26"/>
    <n v="5529.66"/>
    <n v="6"/>
    <n v="0.05"/>
    <n v="1605.49"/>
    <x v="6"/>
    <x v="0"/>
    <s v="Bad"/>
    <n v="921.61"/>
    <n v="45891"/>
    <x v="0"/>
    <n v="8"/>
    <x v="11"/>
    <n v="0.29034153998618362"/>
    <s v="Low"/>
  </r>
  <r>
    <s v="ORD100424"/>
    <d v="2025-05-14T00:00:00"/>
    <s v="Customer 95"/>
    <x v="3"/>
    <s v="West Bengal"/>
    <x v="2"/>
    <s v="Accessories"/>
    <x v="12"/>
    <n v="1571.43"/>
    <n v="3"/>
    <n v="0"/>
    <n v="649.99"/>
    <x v="4"/>
    <x v="3"/>
    <s v="Bad"/>
    <n v="523.81000000000006"/>
    <n v="45791"/>
    <x v="0"/>
    <n v="5"/>
    <x v="7"/>
    <n v="0.41362962397306913"/>
    <s v="No Discount"/>
  </r>
  <r>
    <s v="ORD100425"/>
    <d v="2025-09-18T00:00:00"/>
    <s v="Customer 65"/>
    <x v="3"/>
    <s v="Odisha"/>
    <x v="1"/>
    <s v="Chairs"/>
    <x v="5"/>
    <n v="207.7"/>
    <n v="10"/>
    <n v="0"/>
    <n v="43.11"/>
    <x v="8"/>
    <x v="2"/>
    <s v="Bad"/>
    <n v="20.77"/>
    <n v="45918"/>
    <x v="0"/>
    <n v="9"/>
    <x v="5"/>
    <n v="0.20755897929706307"/>
    <s v="No Discount"/>
  </r>
  <r>
    <s v="ORD100426"/>
    <d v="2024-03-01T00:00:00"/>
    <s v="Customer 74"/>
    <x v="0"/>
    <s v="Tamil Nadu"/>
    <x v="2"/>
    <s v="Computers"/>
    <x v="26"/>
    <n v="11497.1"/>
    <n v="10"/>
    <n v="0"/>
    <n v="1824.67"/>
    <x v="6"/>
    <x v="0"/>
    <s v="Good"/>
    <n v="1149.71"/>
    <n v="45352"/>
    <x v="1"/>
    <n v="3"/>
    <x v="3"/>
    <n v="0.15870697828147967"/>
    <s v="No Discount"/>
  </r>
  <r>
    <s v="ORD100427"/>
    <d v="2024-02-17T00:00:00"/>
    <s v="Customer 92"/>
    <x v="3"/>
    <s v="Assam"/>
    <x v="2"/>
    <s v="Computers"/>
    <x v="10"/>
    <n v="507.81"/>
    <n v="3"/>
    <n v="0.25"/>
    <n v="52.99"/>
    <x v="1"/>
    <x v="0"/>
    <s v="Bad"/>
    <n v="169.27"/>
    <n v="45339"/>
    <x v="1"/>
    <n v="2"/>
    <x v="1"/>
    <n v="0.1043500521848723"/>
    <s v="high"/>
  </r>
  <r>
    <s v="ORD100428"/>
    <d v="2024-04-15T00:00:00"/>
    <s v="Customer 63"/>
    <x v="2"/>
    <s v="Delhi"/>
    <x v="2"/>
    <s v="Phones"/>
    <x v="13"/>
    <n v="1157.32"/>
    <n v="2"/>
    <n v="0"/>
    <n v="466.51"/>
    <x v="2"/>
    <x v="2"/>
    <s v="Bad"/>
    <n v="578.66"/>
    <n v="45397"/>
    <x v="1"/>
    <n v="4"/>
    <x v="8"/>
    <n v="0.40309508174057307"/>
    <s v="No Discount"/>
  </r>
  <r>
    <s v="ORD100429"/>
    <d v="2025-09-05T00:00:00"/>
    <s v="Customer 75"/>
    <x v="1"/>
    <s v="Gujarat"/>
    <x v="0"/>
    <s v="Writing"/>
    <x v="19"/>
    <n v="3190.4"/>
    <n v="10"/>
    <n v="0.1"/>
    <n v="736.8"/>
    <x v="7"/>
    <x v="1"/>
    <s v="Bad"/>
    <n v="319.04000000000002"/>
    <n v="45905"/>
    <x v="0"/>
    <n v="9"/>
    <x v="5"/>
    <n v="0.23094282848545636"/>
    <s v="Low"/>
  </r>
  <r>
    <s v="ORD100430"/>
    <d v="2025-12-30T00:00:00"/>
    <s v="Customer 5"/>
    <x v="2"/>
    <s v="Delhi"/>
    <x v="2"/>
    <s v="Accessories"/>
    <x v="12"/>
    <n v="1805.22"/>
    <n v="6"/>
    <n v="0"/>
    <n v="175.7"/>
    <x v="0"/>
    <x v="2"/>
    <s v="Bad"/>
    <n v="300.87"/>
    <n v="46021"/>
    <x v="0"/>
    <n v="12"/>
    <x v="4"/>
    <n v="9.732885742457982E-2"/>
    <s v="No Discount"/>
  </r>
  <r>
    <s v="ORD100431"/>
    <d v="2025-06-07T00:00:00"/>
    <s v="Customer 183"/>
    <x v="2"/>
    <s v="Haryana"/>
    <x v="0"/>
    <s v="Binders"/>
    <x v="25"/>
    <n v="10047.69"/>
    <n v="9"/>
    <n v="0.3"/>
    <n v="844.44"/>
    <x v="7"/>
    <x v="3"/>
    <s v="Good"/>
    <n v="1116.4100000000001"/>
    <n v="45815"/>
    <x v="0"/>
    <n v="6"/>
    <x v="9"/>
    <n v="8.4043197988791452E-2"/>
    <s v="high"/>
  </r>
  <r>
    <s v="ORD100432"/>
    <d v="2025-10-21T00:00:00"/>
    <s v="Customer 54"/>
    <x v="0"/>
    <s v="Tamil Nadu"/>
    <x v="2"/>
    <s v="Phones"/>
    <x v="8"/>
    <n v="1361.52"/>
    <n v="4"/>
    <n v="0.25"/>
    <n v="85.72"/>
    <x v="9"/>
    <x v="3"/>
    <s v="Bad"/>
    <n v="340.38"/>
    <n v="45951"/>
    <x v="0"/>
    <n v="10"/>
    <x v="2"/>
    <n v="6.295904577237206E-2"/>
    <s v="high"/>
  </r>
  <r>
    <s v="ORD100433"/>
    <d v="2024-04-14T00:00:00"/>
    <s v="Customer 162"/>
    <x v="3"/>
    <s v="Bihar"/>
    <x v="1"/>
    <s v="Storage"/>
    <x v="24"/>
    <n v="126.08"/>
    <n v="8"/>
    <n v="0"/>
    <n v="44.9"/>
    <x v="4"/>
    <x v="1"/>
    <s v="Bad"/>
    <n v="15.76"/>
    <n v="45396"/>
    <x v="1"/>
    <n v="4"/>
    <x v="8"/>
    <n v="0.35612309644670048"/>
    <s v="No Discount"/>
  </r>
  <r>
    <s v="ORD100434"/>
    <d v="2024-12-17T00:00:00"/>
    <s v="Customer 126"/>
    <x v="2"/>
    <s v="Delhi"/>
    <x v="2"/>
    <s v="Computers"/>
    <x v="26"/>
    <n v="2997.76"/>
    <n v="4"/>
    <n v="0"/>
    <n v="1220.96"/>
    <x v="5"/>
    <x v="1"/>
    <s v="Bad"/>
    <n v="749.44"/>
    <n v="45643"/>
    <x v="1"/>
    <n v="12"/>
    <x v="4"/>
    <n v="0.40729077711357814"/>
    <s v="No Discount"/>
  </r>
  <r>
    <s v="ORD100435"/>
    <d v="2024-01-30T00:00:00"/>
    <s v="Customer 85"/>
    <x v="3"/>
    <s v="Odisha"/>
    <x v="0"/>
    <s v="Paper"/>
    <x v="21"/>
    <n v="63.45"/>
    <n v="3"/>
    <n v="0"/>
    <n v="11.62"/>
    <x v="3"/>
    <x v="0"/>
    <s v="Bad"/>
    <n v="21.150000000000002"/>
    <n v="45321"/>
    <x v="1"/>
    <n v="1"/>
    <x v="0"/>
    <n v="0.18313632781717887"/>
    <s v="No Discount"/>
  </r>
  <r>
    <s v="ORD100436"/>
    <d v="2025-02-05T00:00:00"/>
    <s v="Customer 186"/>
    <x v="1"/>
    <s v="Rajasthan"/>
    <x v="2"/>
    <s v="Computers"/>
    <x v="26"/>
    <n v="1024.6099999999999"/>
    <n v="1"/>
    <n v="0.1"/>
    <n v="-12.82"/>
    <x v="9"/>
    <x v="0"/>
    <s v="Bad"/>
    <n v="1024.6099999999999"/>
    <n v="45693"/>
    <x v="0"/>
    <n v="2"/>
    <x v="1"/>
    <n v="-1.2512077766174448E-2"/>
    <s v="Low"/>
  </r>
  <r>
    <s v="ORD100437"/>
    <d v="2024-06-08T00:00:00"/>
    <s v="Customer 131"/>
    <x v="2"/>
    <s v="Punjab"/>
    <x v="0"/>
    <s v="Binders"/>
    <x v="0"/>
    <n v="2362.48"/>
    <n v="2"/>
    <n v="0.25"/>
    <n v="418.07"/>
    <x v="1"/>
    <x v="1"/>
    <s v="Bad"/>
    <n v="1181.24"/>
    <n v="45451"/>
    <x v="1"/>
    <n v="6"/>
    <x v="9"/>
    <n v="0.17696234465476957"/>
    <s v="high"/>
  </r>
  <r>
    <s v="ORD100438"/>
    <d v="2024-08-28T00:00:00"/>
    <s v="Customer 72"/>
    <x v="1"/>
    <s v="Goa"/>
    <x v="1"/>
    <s v="Tables"/>
    <x v="17"/>
    <n v="9152.64"/>
    <n v="9"/>
    <n v="0.15"/>
    <n v="1847.76"/>
    <x v="5"/>
    <x v="2"/>
    <s v="Good"/>
    <n v="1016.9599999999999"/>
    <n v="45532"/>
    <x v="1"/>
    <n v="8"/>
    <x v="11"/>
    <n v="0.20188273547304386"/>
    <s v="medium"/>
  </r>
  <r>
    <s v="ORD100439"/>
    <d v="2024-05-25T00:00:00"/>
    <s v="Customer 175"/>
    <x v="3"/>
    <s v="Bihar"/>
    <x v="2"/>
    <s v="Phones"/>
    <x v="8"/>
    <n v="4602.1499999999996"/>
    <n v="5"/>
    <n v="0"/>
    <n v="310.10000000000002"/>
    <x v="8"/>
    <x v="3"/>
    <s v="Bad"/>
    <n v="920.43"/>
    <n v="45437"/>
    <x v="1"/>
    <n v="5"/>
    <x v="7"/>
    <n v="6.7381549927751166E-2"/>
    <s v="No Discount"/>
  </r>
  <r>
    <s v="ORD100440"/>
    <d v="2024-02-03T00:00:00"/>
    <s v="Customer 94"/>
    <x v="3"/>
    <s v="West Bengal"/>
    <x v="0"/>
    <s v="Paper"/>
    <x v="11"/>
    <n v="6929.34"/>
    <n v="6"/>
    <n v="0.1"/>
    <n v="487.61"/>
    <x v="7"/>
    <x v="1"/>
    <s v="Bad"/>
    <n v="1154.8900000000001"/>
    <n v="45325"/>
    <x v="1"/>
    <n v="2"/>
    <x v="1"/>
    <n v="7.0368895161732573E-2"/>
    <s v="Low"/>
  </r>
  <r>
    <s v="ORD100441"/>
    <d v="2024-11-08T00:00:00"/>
    <s v="Customer 118"/>
    <x v="2"/>
    <s v="Uttarakhand"/>
    <x v="1"/>
    <s v="Chairs"/>
    <x v="14"/>
    <n v="75.260000000000005"/>
    <n v="2"/>
    <n v="0.3"/>
    <n v="5.72"/>
    <x v="0"/>
    <x v="2"/>
    <s v="Bad"/>
    <n v="37.630000000000003"/>
    <n v="45604"/>
    <x v="1"/>
    <n v="11"/>
    <x v="10"/>
    <n v="7.6003188944990696E-2"/>
    <s v="high"/>
  </r>
  <r>
    <s v="ORD100442"/>
    <d v="2025-11-27T00:00:00"/>
    <s v="Customer 27"/>
    <x v="1"/>
    <s v="Goa"/>
    <x v="2"/>
    <s v="Phones"/>
    <x v="23"/>
    <n v="1335.36"/>
    <n v="8"/>
    <n v="0.25"/>
    <n v="-219.81"/>
    <x v="9"/>
    <x v="0"/>
    <s v="Bad"/>
    <n v="166.92"/>
    <n v="45988"/>
    <x v="0"/>
    <n v="11"/>
    <x v="10"/>
    <n v="-0.1646072969086988"/>
    <s v="high"/>
  </r>
  <r>
    <s v="ORD100443"/>
    <d v="2024-06-28T00:00:00"/>
    <s v="Customer 117"/>
    <x v="0"/>
    <s v="Telangana"/>
    <x v="1"/>
    <s v="Storage"/>
    <x v="15"/>
    <n v="4524.84"/>
    <n v="6"/>
    <n v="0.1"/>
    <n v="1406.57"/>
    <x v="8"/>
    <x v="0"/>
    <s v="Bad"/>
    <n v="754.14"/>
    <n v="45471"/>
    <x v="1"/>
    <n v="6"/>
    <x v="9"/>
    <n v="0.31085519045977311"/>
    <s v="Low"/>
  </r>
  <r>
    <s v="ORD100444"/>
    <d v="2025-09-06T00:00:00"/>
    <s v="Customer 10"/>
    <x v="2"/>
    <s v="Delhi"/>
    <x v="0"/>
    <s v="Paper"/>
    <x v="21"/>
    <n v="430.1"/>
    <n v="5"/>
    <n v="0"/>
    <n v="67.08"/>
    <x v="1"/>
    <x v="0"/>
    <s v="Bad"/>
    <n v="86.02000000000001"/>
    <n v="45906"/>
    <x v="0"/>
    <n v="9"/>
    <x v="5"/>
    <n v="0.15596372936526387"/>
    <s v="No Discount"/>
  </r>
  <r>
    <s v="ORD100445"/>
    <d v="2025-07-18T00:00:00"/>
    <s v="Customer 120"/>
    <x v="3"/>
    <s v="Bihar"/>
    <x v="2"/>
    <s v="Computers"/>
    <x v="10"/>
    <n v="1966.5"/>
    <n v="6"/>
    <n v="0"/>
    <n v="320.10000000000002"/>
    <x v="2"/>
    <x v="3"/>
    <s v="Bad"/>
    <n v="327.75"/>
    <n v="45856"/>
    <x v="0"/>
    <n v="7"/>
    <x v="6"/>
    <n v="0.16277650648360031"/>
    <s v="No Discount"/>
  </r>
  <r>
    <s v="ORD100446"/>
    <d v="2024-02-28T00:00:00"/>
    <s v="Customer 107"/>
    <x v="1"/>
    <s v="Rajasthan"/>
    <x v="1"/>
    <s v="Storage"/>
    <x v="7"/>
    <n v="1505.16"/>
    <n v="3"/>
    <n v="0.25"/>
    <n v="193.35"/>
    <x v="5"/>
    <x v="1"/>
    <s v="Bad"/>
    <n v="501.72"/>
    <n v="45350"/>
    <x v="1"/>
    <n v="2"/>
    <x v="1"/>
    <n v="0.12845810412182093"/>
    <s v="high"/>
  </r>
  <r>
    <s v="ORD100447"/>
    <d v="2025-01-29T00:00:00"/>
    <s v="Customer 98"/>
    <x v="0"/>
    <s v="Telangana"/>
    <x v="1"/>
    <s v="Storage"/>
    <x v="7"/>
    <n v="2534.1999999999998"/>
    <n v="4"/>
    <n v="0"/>
    <n v="671.25"/>
    <x v="5"/>
    <x v="3"/>
    <s v="Bad"/>
    <n v="633.54999999999995"/>
    <n v="45686"/>
    <x v="0"/>
    <n v="1"/>
    <x v="0"/>
    <n v="0.26487648962197147"/>
    <s v="No Discount"/>
  </r>
  <r>
    <s v="ORD100448"/>
    <d v="2025-04-17T00:00:00"/>
    <s v="Customer 109"/>
    <x v="0"/>
    <s v="Karnataka"/>
    <x v="2"/>
    <s v="Computers"/>
    <x v="10"/>
    <n v="4651.3"/>
    <n v="5"/>
    <n v="0.1"/>
    <n v="821.47"/>
    <x v="6"/>
    <x v="1"/>
    <s v="Bad"/>
    <n v="930.26"/>
    <n v="45764"/>
    <x v="0"/>
    <n v="4"/>
    <x v="8"/>
    <n v="0.17661083998022059"/>
    <s v="Low"/>
  </r>
  <r>
    <s v="ORD100449"/>
    <d v="2024-06-01T00:00:00"/>
    <s v="Customer 109"/>
    <x v="2"/>
    <s v="Haryana"/>
    <x v="1"/>
    <s v="Tables"/>
    <x v="16"/>
    <n v="1077.27"/>
    <n v="1"/>
    <n v="0.05"/>
    <n v="312.87"/>
    <x v="5"/>
    <x v="0"/>
    <s v="Bad"/>
    <n v="1077.27"/>
    <n v="45444"/>
    <x v="1"/>
    <n v="6"/>
    <x v="9"/>
    <n v="0.29042858336350219"/>
    <s v="Low"/>
  </r>
  <r>
    <s v="ORD100450"/>
    <d v="2024-11-17T00:00:00"/>
    <s v="Customer 131"/>
    <x v="0"/>
    <s v="Karnataka"/>
    <x v="1"/>
    <s v="Tables"/>
    <x v="16"/>
    <n v="1477.42"/>
    <n v="7"/>
    <n v="0.1"/>
    <n v="-62.15"/>
    <x v="4"/>
    <x v="1"/>
    <s v="Bad"/>
    <n v="211.06"/>
    <n v="45613"/>
    <x v="1"/>
    <n v="11"/>
    <x v="10"/>
    <n v="-4.2066575516779246E-2"/>
    <s v="Low"/>
  </r>
  <r>
    <s v="ORD100451"/>
    <d v="2025-05-11T00:00:00"/>
    <s v="Customer 116"/>
    <x v="2"/>
    <s v="Uttarakhand"/>
    <x v="0"/>
    <s v="Writing"/>
    <x v="1"/>
    <n v="4982.25"/>
    <n v="5"/>
    <n v="0.2"/>
    <n v="572.66999999999996"/>
    <x v="9"/>
    <x v="2"/>
    <s v="Bad"/>
    <n v="996.45"/>
    <n v="45788"/>
    <x v="0"/>
    <n v="5"/>
    <x v="7"/>
    <n v="0.11494204425711274"/>
    <s v="medium"/>
  </r>
  <r>
    <s v="ORD100452"/>
    <d v="2024-11-28T00:00:00"/>
    <s v="Customer 182"/>
    <x v="3"/>
    <s v="West Bengal"/>
    <x v="2"/>
    <s v="Computers"/>
    <x v="6"/>
    <n v="6558.93"/>
    <n v="7"/>
    <n v="0"/>
    <n v="1672.78"/>
    <x v="8"/>
    <x v="1"/>
    <s v="Bad"/>
    <n v="936.99"/>
    <n v="45624"/>
    <x v="1"/>
    <n v="11"/>
    <x v="10"/>
    <n v="0.25503855049527896"/>
    <s v="No Discount"/>
  </r>
  <r>
    <s v="ORD100453"/>
    <d v="2024-03-30T00:00:00"/>
    <s v="Customer 199"/>
    <x v="2"/>
    <s v="Uttarakhand"/>
    <x v="2"/>
    <s v="Phones"/>
    <x v="8"/>
    <n v="6373.86"/>
    <n v="6"/>
    <n v="0.2"/>
    <n v="1428.36"/>
    <x v="1"/>
    <x v="2"/>
    <s v="Bad"/>
    <n v="1062.31"/>
    <n v="45381"/>
    <x v="1"/>
    <n v="3"/>
    <x v="3"/>
    <n v="0.22409654432322015"/>
    <s v="medium"/>
  </r>
  <r>
    <s v="ORD100454"/>
    <d v="2024-12-13T00:00:00"/>
    <s v="Customer 31"/>
    <x v="1"/>
    <s v="Gujarat"/>
    <x v="0"/>
    <s v="Paper"/>
    <x v="21"/>
    <n v="4868.58"/>
    <n v="6"/>
    <n v="0.05"/>
    <n v="1377.81"/>
    <x v="6"/>
    <x v="2"/>
    <s v="Bad"/>
    <n v="811.43"/>
    <n v="45639"/>
    <x v="1"/>
    <n v="12"/>
    <x v="4"/>
    <n v="0.2830003820415809"/>
    <s v="Low"/>
  </r>
  <r>
    <s v="ORD100455"/>
    <d v="2024-08-18T00:00:00"/>
    <s v="Customer 111"/>
    <x v="0"/>
    <s v="Kerala"/>
    <x v="2"/>
    <s v="Accessories"/>
    <x v="20"/>
    <n v="5996.94"/>
    <n v="6"/>
    <n v="0.25"/>
    <n v="368.3"/>
    <x v="8"/>
    <x v="2"/>
    <s v="Bad"/>
    <n v="999.4899999999999"/>
    <n v="45522"/>
    <x v="1"/>
    <n v="8"/>
    <x v="11"/>
    <n v="6.1414654807285057E-2"/>
    <s v="high"/>
  </r>
  <r>
    <s v="ORD100456"/>
    <d v="2025-03-17T00:00:00"/>
    <s v="Customer 167"/>
    <x v="2"/>
    <s v="Delhi"/>
    <x v="2"/>
    <s v="Phones"/>
    <x v="13"/>
    <n v="1033.98"/>
    <n v="2"/>
    <n v="0.3"/>
    <n v="-142.01"/>
    <x v="9"/>
    <x v="2"/>
    <s v="Bad"/>
    <n v="516.99"/>
    <n v="45733"/>
    <x v="0"/>
    <n v="3"/>
    <x v="3"/>
    <n v="-0.13734308207121992"/>
    <s v="high"/>
  </r>
  <r>
    <s v="ORD100457"/>
    <d v="2024-07-07T00:00:00"/>
    <s v="Customer 103"/>
    <x v="3"/>
    <s v="Assam"/>
    <x v="1"/>
    <s v="Storage"/>
    <x v="7"/>
    <n v="3852.17"/>
    <n v="7"/>
    <n v="0.15"/>
    <n v="521.28"/>
    <x v="1"/>
    <x v="1"/>
    <s v="Bad"/>
    <n v="550.31000000000006"/>
    <n v="45480"/>
    <x v="1"/>
    <n v="7"/>
    <x v="6"/>
    <n v="0.1353211306873788"/>
    <s v="medium"/>
  </r>
  <r>
    <s v="ORD100458"/>
    <d v="2025-08-10T00:00:00"/>
    <s v="Customer 58"/>
    <x v="3"/>
    <s v="West Bengal"/>
    <x v="0"/>
    <s v="Paper"/>
    <x v="2"/>
    <n v="7674.6"/>
    <n v="10"/>
    <n v="0.2"/>
    <n v="8.93"/>
    <x v="1"/>
    <x v="0"/>
    <s v="Good"/>
    <n v="767.46"/>
    <n v="45879"/>
    <x v="0"/>
    <n v="8"/>
    <x v="11"/>
    <n v="1.163578557840148E-3"/>
    <s v="medium"/>
  </r>
  <r>
    <s v="ORD100459"/>
    <d v="2024-10-23T00:00:00"/>
    <s v="Customer 152"/>
    <x v="3"/>
    <s v="Odisha"/>
    <x v="1"/>
    <s v="Chairs"/>
    <x v="14"/>
    <n v="608.88"/>
    <n v="1"/>
    <n v="0"/>
    <n v="92.36"/>
    <x v="2"/>
    <x v="0"/>
    <s v="Bad"/>
    <n v="608.88"/>
    <n v="45588"/>
    <x v="1"/>
    <n v="10"/>
    <x v="2"/>
    <n v="0.15168834581526738"/>
    <s v="No Discount"/>
  </r>
  <r>
    <s v="ORD100460"/>
    <d v="2024-06-09T00:00:00"/>
    <s v="Customer 165"/>
    <x v="3"/>
    <s v="Odisha"/>
    <x v="1"/>
    <s v="Chairs"/>
    <x v="14"/>
    <n v="1004.37"/>
    <n v="3"/>
    <n v="0.25"/>
    <n v="-124.84"/>
    <x v="4"/>
    <x v="3"/>
    <s v="Bad"/>
    <n v="334.79"/>
    <n v="45452"/>
    <x v="1"/>
    <n v="6"/>
    <x v="9"/>
    <n v="-0.12429682288399693"/>
    <s v="high"/>
  </r>
  <r>
    <s v="ORD100461"/>
    <d v="2025-06-18T00:00:00"/>
    <s v="Customer 51"/>
    <x v="2"/>
    <s v="Haryana"/>
    <x v="2"/>
    <s v="Phones"/>
    <x v="8"/>
    <n v="3914.56"/>
    <n v="4"/>
    <n v="0.25"/>
    <n v="650.58000000000004"/>
    <x v="2"/>
    <x v="0"/>
    <s v="Bad"/>
    <n v="978.64"/>
    <n v="45826"/>
    <x v="0"/>
    <n v="6"/>
    <x v="9"/>
    <n v="0.16619492356739968"/>
    <s v="high"/>
  </r>
  <r>
    <s v="ORD100462"/>
    <d v="2025-06-28T00:00:00"/>
    <s v="Customer 72"/>
    <x v="2"/>
    <s v="Delhi"/>
    <x v="2"/>
    <s v="Phones"/>
    <x v="23"/>
    <n v="4566.7299999999996"/>
    <n v="7"/>
    <n v="0.2"/>
    <n v="391.04"/>
    <x v="3"/>
    <x v="3"/>
    <s v="Bad"/>
    <n v="652.39"/>
    <n v="45836"/>
    <x v="0"/>
    <n v="6"/>
    <x v="9"/>
    <n v="8.5628009538553859E-2"/>
    <s v="medium"/>
  </r>
  <r>
    <s v="ORD100463"/>
    <d v="2024-01-02T00:00:00"/>
    <s v="Customer 154"/>
    <x v="1"/>
    <s v="Maharashtra"/>
    <x v="2"/>
    <s v="Accessories"/>
    <x v="20"/>
    <n v="695.28"/>
    <n v="6"/>
    <n v="0.1"/>
    <n v="140.46"/>
    <x v="3"/>
    <x v="3"/>
    <s v="Bad"/>
    <n v="115.88"/>
    <n v="45293"/>
    <x v="1"/>
    <n v="1"/>
    <x v="0"/>
    <n v="0.20201933034173283"/>
    <s v="Low"/>
  </r>
  <r>
    <s v="ORD100464"/>
    <d v="2025-05-26T00:00:00"/>
    <s v="Customer 62"/>
    <x v="1"/>
    <s v="Maharashtra"/>
    <x v="1"/>
    <s v="Storage"/>
    <x v="24"/>
    <n v="5915.65"/>
    <n v="5"/>
    <n v="0.05"/>
    <n v="1116.51"/>
    <x v="2"/>
    <x v="2"/>
    <s v="Bad"/>
    <n v="1183.1299999999999"/>
    <n v="45803"/>
    <x v="0"/>
    <n v="5"/>
    <x v="7"/>
    <n v="0.18873834658913222"/>
    <s v="Low"/>
  </r>
  <r>
    <s v="ORD100465"/>
    <d v="2025-02-18T00:00:00"/>
    <s v="Customer 15"/>
    <x v="1"/>
    <s v="Gujarat"/>
    <x v="2"/>
    <s v="Computers"/>
    <x v="10"/>
    <n v="4114.3900000000003"/>
    <n v="7"/>
    <n v="0.1"/>
    <n v="1110.8900000000001"/>
    <x v="4"/>
    <x v="3"/>
    <s v="Bad"/>
    <n v="587.7700000000001"/>
    <n v="45706"/>
    <x v="0"/>
    <n v="2"/>
    <x v="1"/>
    <n v="0.27000114233215616"/>
    <s v="Low"/>
  </r>
  <r>
    <s v="ORD100466"/>
    <d v="2024-02-02T00:00:00"/>
    <s v="Customer 87"/>
    <x v="1"/>
    <s v="Maharashtra"/>
    <x v="0"/>
    <s v="Paper"/>
    <x v="21"/>
    <n v="3093.75"/>
    <n v="5"/>
    <n v="0.2"/>
    <n v="53.99"/>
    <x v="9"/>
    <x v="3"/>
    <s v="Bad"/>
    <n v="618.75"/>
    <n v="45324"/>
    <x v="1"/>
    <n v="2"/>
    <x v="1"/>
    <n v="1.7451313131313134E-2"/>
    <s v="medium"/>
  </r>
  <r>
    <s v="ORD100467"/>
    <d v="2025-08-27T00:00:00"/>
    <s v="Customer 126"/>
    <x v="1"/>
    <s v="Maharashtra"/>
    <x v="0"/>
    <s v="Binders"/>
    <x v="0"/>
    <n v="3486.8"/>
    <n v="4"/>
    <n v="0.1"/>
    <n v="983.16"/>
    <x v="4"/>
    <x v="0"/>
    <s v="Bad"/>
    <n v="871.7"/>
    <n v="45896"/>
    <x v="0"/>
    <n v="8"/>
    <x v="11"/>
    <n v="0.28196627280027531"/>
    <s v="Low"/>
  </r>
  <r>
    <s v="ORD100468"/>
    <d v="2024-10-27T00:00:00"/>
    <s v="Customer 48"/>
    <x v="1"/>
    <s v="Rajasthan"/>
    <x v="0"/>
    <s v="Writing"/>
    <x v="19"/>
    <n v="788.4"/>
    <n v="1"/>
    <n v="0"/>
    <n v="166.57"/>
    <x v="7"/>
    <x v="0"/>
    <s v="Bad"/>
    <n v="788.4"/>
    <n v="45592"/>
    <x v="1"/>
    <n v="10"/>
    <x v="2"/>
    <n v="0.21127600202942667"/>
    <s v="No Discount"/>
  </r>
  <r>
    <s v="ORD100469"/>
    <d v="2024-03-18T00:00:00"/>
    <s v="Customer 168"/>
    <x v="0"/>
    <s v="Karnataka"/>
    <x v="0"/>
    <s v="Binders"/>
    <x v="22"/>
    <n v="10166.4"/>
    <n v="10"/>
    <n v="0.15"/>
    <n v="333.35"/>
    <x v="5"/>
    <x v="1"/>
    <s v="Good"/>
    <n v="1016.64"/>
    <n v="45369"/>
    <x v="1"/>
    <n v="3"/>
    <x v="3"/>
    <n v="3.2789384639597109E-2"/>
    <s v="medium"/>
  </r>
  <r>
    <s v="ORD100470"/>
    <d v="2024-10-29T00:00:00"/>
    <s v="Customer 145"/>
    <x v="0"/>
    <s v="Kerala"/>
    <x v="2"/>
    <s v="Computers"/>
    <x v="10"/>
    <n v="1423.02"/>
    <n v="3"/>
    <n v="0.1"/>
    <n v="-21.26"/>
    <x v="0"/>
    <x v="0"/>
    <s v="Bad"/>
    <n v="474.34"/>
    <n v="45594"/>
    <x v="1"/>
    <n v="10"/>
    <x v="2"/>
    <n v="-1.4940057061741931E-2"/>
    <s v="Low"/>
  </r>
  <r>
    <s v="ORD100471"/>
    <d v="2024-11-06T00:00:00"/>
    <s v="Customer 128"/>
    <x v="2"/>
    <s v="Uttarakhand"/>
    <x v="0"/>
    <s v="Paper"/>
    <x v="21"/>
    <n v="1286.01"/>
    <n v="3"/>
    <n v="0.25"/>
    <n v="103.06"/>
    <x v="6"/>
    <x v="1"/>
    <s v="Bad"/>
    <n v="428.67"/>
    <n v="45602"/>
    <x v="1"/>
    <n v="11"/>
    <x v="10"/>
    <n v="8.0139345728260286E-2"/>
    <s v="high"/>
  </r>
  <r>
    <s v="ORD100472"/>
    <d v="2024-04-13T00:00:00"/>
    <s v="Customer 118"/>
    <x v="3"/>
    <s v="West Bengal"/>
    <x v="0"/>
    <s v="Binders"/>
    <x v="25"/>
    <n v="8850.6"/>
    <n v="9"/>
    <n v="0.25"/>
    <n v="1647.86"/>
    <x v="9"/>
    <x v="1"/>
    <s v="Good"/>
    <n v="983.40000000000009"/>
    <n v="45395"/>
    <x v="1"/>
    <n v="4"/>
    <x v="8"/>
    <n v="0.18618624726007274"/>
    <s v="high"/>
  </r>
  <r>
    <s v="ORD100473"/>
    <d v="2024-05-05T00:00:00"/>
    <s v="Customer 7"/>
    <x v="1"/>
    <s v="Maharashtra"/>
    <x v="2"/>
    <s v="Phones"/>
    <x v="8"/>
    <n v="1180.1400000000001"/>
    <n v="3"/>
    <n v="0.05"/>
    <n v="81.94"/>
    <x v="4"/>
    <x v="3"/>
    <s v="Bad"/>
    <n v="393.38000000000005"/>
    <n v="45417"/>
    <x v="1"/>
    <n v="5"/>
    <x v="7"/>
    <n v="6.9432440218957059E-2"/>
    <s v="Low"/>
  </r>
  <r>
    <s v="ORD100474"/>
    <d v="2024-07-28T00:00:00"/>
    <s v="Customer 3"/>
    <x v="2"/>
    <s v="Punjab"/>
    <x v="1"/>
    <s v="Tables"/>
    <x v="16"/>
    <n v="7931.61"/>
    <n v="9"/>
    <n v="0"/>
    <n v="1564.09"/>
    <x v="2"/>
    <x v="1"/>
    <s v="Good"/>
    <n v="881.29"/>
    <n v="45501"/>
    <x v="1"/>
    <n v="7"/>
    <x v="6"/>
    <n v="0.1971970381801425"/>
    <s v="No Discount"/>
  </r>
  <r>
    <s v="ORD100475"/>
    <d v="2025-07-29T00:00:00"/>
    <s v="Customer 143"/>
    <x v="2"/>
    <s v="Delhi"/>
    <x v="2"/>
    <s v="Phones"/>
    <x v="13"/>
    <n v="9247.41"/>
    <n v="9"/>
    <n v="0.15"/>
    <n v="381.51"/>
    <x v="4"/>
    <x v="2"/>
    <s v="Good"/>
    <n v="1027.49"/>
    <n v="45867"/>
    <x v="0"/>
    <n v="7"/>
    <x v="6"/>
    <n v="4.1255875969595811E-2"/>
    <s v="medium"/>
  </r>
  <r>
    <s v="ORD100476"/>
    <d v="2025-01-02T00:00:00"/>
    <s v="Customer 34"/>
    <x v="1"/>
    <s v="Gujarat"/>
    <x v="1"/>
    <s v="Chairs"/>
    <x v="4"/>
    <n v="2335.48"/>
    <n v="4"/>
    <n v="0.15"/>
    <n v="59.81"/>
    <x v="9"/>
    <x v="1"/>
    <s v="Bad"/>
    <n v="583.87"/>
    <n v="45659"/>
    <x v="0"/>
    <n v="1"/>
    <x v="0"/>
    <n v="2.5609296589994349E-2"/>
    <s v="medium"/>
  </r>
  <r>
    <s v="ORD100477"/>
    <d v="2024-12-14T00:00:00"/>
    <s v="Customer 83"/>
    <x v="3"/>
    <s v="West Bengal"/>
    <x v="1"/>
    <s v="Chairs"/>
    <x v="14"/>
    <n v="1310.76"/>
    <n v="2"/>
    <n v="0.3"/>
    <n v="-102.92"/>
    <x v="9"/>
    <x v="1"/>
    <s v="Bad"/>
    <n v="655.38"/>
    <n v="45640"/>
    <x v="1"/>
    <n v="12"/>
    <x v="4"/>
    <n v="-7.8519332295767338E-2"/>
    <s v="high"/>
  </r>
  <r>
    <s v="ORD100478"/>
    <d v="2024-09-16T00:00:00"/>
    <s v="Customer 17"/>
    <x v="2"/>
    <s v="Delhi"/>
    <x v="2"/>
    <s v="Accessories"/>
    <x v="20"/>
    <n v="1003.82"/>
    <n v="1"/>
    <n v="0.3"/>
    <n v="-33.39"/>
    <x v="1"/>
    <x v="1"/>
    <s v="Bad"/>
    <n v="1003.82"/>
    <n v="45551"/>
    <x v="1"/>
    <n v="9"/>
    <x v="5"/>
    <n v="-3.3262935586061242E-2"/>
    <s v="high"/>
  </r>
  <r>
    <s v="ORD100479"/>
    <d v="2024-09-05T00:00:00"/>
    <s v="Customer 8"/>
    <x v="3"/>
    <s v="Odisha"/>
    <x v="2"/>
    <s v="Accessories"/>
    <x v="18"/>
    <n v="1354.74"/>
    <n v="2"/>
    <n v="0.2"/>
    <n v="-69.84"/>
    <x v="3"/>
    <x v="2"/>
    <s v="Bad"/>
    <n v="677.37"/>
    <n v="45540"/>
    <x v="1"/>
    <n v="9"/>
    <x v="5"/>
    <n v="-5.1552327383852257E-2"/>
    <s v="medium"/>
  </r>
  <r>
    <s v="ORD100480"/>
    <d v="2024-04-18T00:00:00"/>
    <s v="Customer 198"/>
    <x v="1"/>
    <s v="Rajasthan"/>
    <x v="1"/>
    <s v="Tables"/>
    <x v="17"/>
    <n v="5809.86"/>
    <n v="6"/>
    <n v="0.15"/>
    <n v="-469.45"/>
    <x v="1"/>
    <x v="3"/>
    <s v="Bad"/>
    <n v="968.31"/>
    <n v="45400"/>
    <x v="1"/>
    <n v="4"/>
    <x v="8"/>
    <n v="-8.0802291277242477E-2"/>
    <s v="medium"/>
  </r>
  <r>
    <s v="ORD100481"/>
    <d v="2024-05-28T00:00:00"/>
    <s v="Customer 34"/>
    <x v="2"/>
    <s v="Uttarakhand"/>
    <x v="0"/>
    <s v="Binders"/>
    <x v="25"/>
    <n v="1242.6400000000001"/>
    <n v="8"/>
    <n v="0.05"/>
    <n v="58.03"/>
    <x v="2"/>
    <x v="1"/>
    <s v="Bad"/>
    <n v="155.33000000000001"/>
    <n v="45440"/>
    <x v="1"/>
    <n v="5"/>
    <x v="7"/>
    <n v="4.6698963497070749E-2"/>
    <s v="Low"/>
  </r>
  <r>
    <s v="ORD100482"/>
    <d v="2025-10-28T00:00:00"/>
    <s v="Customer 106"/>
    <x v="3"/>
    <s v="Assam"/>
    <x v="2"/>
    <s v="Accessories"/>
    <x v="12"/>
    <n v="2919.12"/>
    <n v="3"/>
    <n v="0.15"/>
    <n v="140.53"/>
    <x v="6"/>
    <x v="0"/>
    <s v="Bad"/>
    <n v="973.04"/>
    <n v="45958"/>
    <x v="0"/>
    <n v="10"/>
    <x v="2"/>
    <n v="4.8141220641837269E-2"/>
    <s v="medium"/>
  </r>
  <r>
    <s v="ORD100483"/>
    <d v="2024-11-03T00:00:00"/>
    <s v="Customer 121"/>
    <x v="2"/>
    <s v="Delhi"/>
    <x v="1"/>
    <s v="Tables"/>
    <x v="17"/>
    <n v="2424.39"/>
    <n v="3"/>
    <n v="0.1"/>
    <n v="370.12"/>
    <x v="9"/>
    <x v="1"/>
    <s v="Bad"/>
    <n v="808.13"/>
    <n v="45599"/>
    <x v="1"/>
    <n v="11"/>
    <x v="10"/>
    <n v="0.15266520650555399"/>
    <s v="Low"/>
  </r>
  <r>
    <s v="ORD100484"/>
    <d v="2024-10-27T00:00:00"/>
    <s v="Customer 44"/>
    <x v="3"/>
    <s v="Assam"/>
    <x v="1"/>
    <s v="Storage"/>
    <x v="24"/>
    <n v="4942.5"/>
    <n v="5"/>
    <n v="0.05"/>
    <n v="1137.3699999999999"/>
    <x v="2"/>
    <x v="3"/>
    <s v="Bad"/>
    <n v="988.5"/>
    <n v="45592"/>
    <x v="1"/>
    <n v="10"/>
    <x v="2"/>
    <n v="0.23012038442083962"/>
    <s v="Low"/>
  </r>
  <r>
    <s v="ORD100485"/>
    <d v="2025-01-05T00:00:00"/>
    <s v="Customer 34"/>
    <x v="0"/>
    <s v="Kerala"/>
    <x v="1"/>
    <s v="Tables"/>
    <x v="17"/>
    <n v="6463.38"/>
    <n v="7"/>
    <n v="0"/>
    <n v="2258.39"/>
    <x v="0"/>
    <x v="1"/>
    <s v="Bad"/>
    <n v="923.34"/>
    <n v="45662"/>
    <x v="0"/>
    <n v="1"/>
    <x v="0"/>
    <n v="0.34941315534596445"/>
    <s v="No Discount"/>
  </r>
  <r>
    <s v="ORD100486"/>
    <d v="2024-07-14T00:00:00"/>
    <s v="Customer 21"/>
    <x v="1"/>
    <s v="Gujarat"/>
    <x v="1"/>
    <s v="Tables"/>
    <x v="9"/>
    <n v="239.2"/>
    <n v="10"/>
    <n v="0"/>
    <n v="95.36"/>
    <x v="4"/>
    <x v="3"/>
    <s v="Bad"/>
    <n v="23.919999999999998"/>
    <n v="45487"/>
    <x v="1"/>
    <n v="7"/>
    <x v="6"/>
    <n v="0.39866220735785957"/>
    <s v="No Discount"/>
  </r>
  <r>
    <s v="ORD100487"/>
    <d v="2025-05-20T00:00:00"/>
    <s v="Customer 72"/>
    <x v="1"/>
    <s v="Rajasthan"/>
    <x v="0"/>
    <s v="Paper"/>
    <x v="11"/>
    <n v="8023.4"/>
    <n v="10"/>
    <n v="0.15"/>
    <n v="273.51"/>
    <x v="7"/>
    <x v="1"/>
    <s v="Good"/>
    <n v="802.33999999999992"/>
    <n v="45797"/>
    <x v="0"/>
    <n v="5"/>
    <x v="7"/>
    <n v="3.4089039559289082E-2"/>
    <s v="medium"/>
  </r>
  <r>
    <s v="ORD100488"/>
    <d v="2025-04-14T00:00:00"/>
    <s v="Customer 183"/>
    <x v="3"/>
    <s v="Bihar"/>
    <x v="0"/>
    <s v="Writing"/>
    <x v="1"/>
    <n v="4682.45"/>
    <n v="5"/>
    <n v="0.05"/>
    <n v="395.89"/>
    <x v="4"/>
    <x v="1"/>
    <s v="Bad"/>
    <n v="936.49"/>
    <n v="45761"/>
    <x v="0"/>
    <n v="4"/>
    <x v="8"/>
    <n v="8.4547619301861207E-2"/>
    <s v="Low"/>
  </r>
  <r>
    <s v="ORD100489"/>
    <d v="2025-01-16T00:00:00"/>
    <s v="Customer 24"/>
    <x v="2"/>
    <s v="Haryana"/>
    <x v="2"/>
    <s v="Accessories"/>
    <x v="20"/>
    <n v="1015.16"/>
    <n v="1"/>
    <n v="0.25"/>
    <n v="2.0299999999999998"/>
    <x v="6"/>
    <x v="3"/>
    <s v="Bad"/>
    <n v="1015.16"/>
    <n v="45673"/>
    <x v="0"/>
    <n v="1"/>
    <x v="0"/>
    <n v="1.999684778754088E-3"/>
    <s v="high"/>
  </r>
  <r>
    <s v="ORD100490"/>
    <d v="2024-05-12T00:00:00"/>
    <s v="Customer 84"/>
    <x v="1"/>
    <s v="Gujarat"/>
    <x v="2"/>
    <s v="Computers"/>
    <x v="6"/>
    <n v="4673.55"/>
    <n v="5"/>
    <n v="0.15"/>
    <n v="-435.35"/>
    <x v="3"/>
    <x v="2"/>
    <s v="Bad"/>
    <n v="934.71"/>
    <n v="45424"/>
    <x v="1"/>
    <n v="5"/>
    <x v="7"/>
    <n v="-9.315188668143061E-2"/>
    <s v="medium"/>
  </r>
  <r>
    <s v="ORD100491"/>
    <d v="2024-08-10T00:00:00"/>
    <s v="Customer 136"/>
    <x v="1"/>
    <s v="Gujarat"/>
    <x v="0"/>
    <s v="Writing"/>
    <x v="1"/>
    <n v="2475.9"/>
    <n v="3"/>
    <n v="0.25"/>
    <n v="-76.069999999999993"/>
    <x v="0"/>
    <x v="3"/>
    <s v="Bad"/>
    <n v="825.30000000000007"/>
    <n v="45514"/>
    <x v="1"/>
    <n v="8"/>
    <x v="11"/>
    <n v="-3.072418110586049E-2"/>
    <s v="high"/>
  </r>
  <r>
    <s v="ORD100492"/>
    <d v="2025-03-31T00:00:00"/>
    <s v="Customer 19"/>
    <x v="1"/>
    <s v="Gujarat"/>
    <x v="1"/>
    <s v="Tables"/>
    <x v="16"/>
    <n v="609.57000000000005"/>
    <n v="1"/>
    <n v="0.05"/>
    <n v="118.43"/>
    <x v="7"/>
    <x v="0"/>
    <s v="Bad"/>
    <n v="609.57000000000005"/>
    <n v="45747"/>
    <x v="0"/>
    <n v="3"/>
    <x v="3"/>
    <n v="0.19428449562806568"/>
    <s v="Low"/>
  </r>
  <r>
    <s v="ORD100493"/>
    <d v="2025-09-25T00:00:00"/>
    <s v="Customer 186"/>
    <x v="2"/>
    <s v="Uttarakhand"/>
    <x v="2"/>
    <s v="Computers"/>
    <x v="6"/>
    <n v="1613.16"/>
    <n v="3"/>
    <n v="0"/>
    <n v="481.21"/>
    <x v="4"/>
    <x v="3"/>
    <s v="Bad"/>
    <n v="537.72"/>
    <n v="45925"/>
    <x v="0"/>
    <n v="9"/>
    <x v="5"/>
    <n v="0.29830271020853477"/>
    <s v="No Discount"/>
  </r>
  <r>
    <s v="ORD100494"/>
    <d v="2025-11-13T00:00:00"/>
    <s v="Customer 189"/>
    <x v="0"/>
    <s v="Tamil Nadu"/>
    <x v="1"/>
    <s v="Chairs"/>
    <x v="14"/>
    <n v="4130.5600000000004"/>
    <n v="8"/>
    <n v="0.3"/>
    <n v="530.76"/>
    <x v="7"/>
    <x v="3"/>
    <s v="Bad"/>
    <n v="516.32000000000005"/>
    <n v="45974"/>
    <x v="0"/>
    <n v="11"/>
    <x v="10"/>
    <n v="0.12849589401921288"/>
    <s v="high"/>
  </r>
  <r>
    <s v="ORD100495"/>
    <d v="2024-03-12T00:00:00"/>
    <s v="Customer 116"/>
    <x v="3"/>
    <s v="Odisha"/>
    <x v="1"/>
    <s v="Storage"/>
    <x v="24"/>
    <n v="928.89"/>
    <n v="9"/>
    <n v="0.1"/>
    <n v="272"/>
    <x v="8"/>
    <x v="3"/>
    <s v="Bad"/>
    <n v="103.21"/>
    <n v="45363"/>
    <x v="1"/>
    <n v="3"/>
    <x v="3"/>
    <n v="0.29282261624088968"/>
    <s v="Low"/>
  </r>
  <r>
    <s v="ORD100496"/>
    <d v="2025-06-13T00:00:00"/>
    <s v="Customer 9"/>
    <x v="0"/>
    <s v="Tamil Nadu"/>
    <x v="0"/>
    <s v="Writing"/>
    <x v="3"/>
    <n v="2542.86"/>
    <n v="9"/>
    <n v="0.15"/>
    <n v="-171.97"/>
    <x v="6"/>
    <x v="1"/>
    <s v="Bad"/>
    <n v="282.54000000000002"/>
    <n v="45821"/>
    <x v="0"/>
    <n v="6"/>
    <x v="9"/>
    <n v="-6.7628575698229554E-2"/>
    <s v="medium"/>
  </r>
  <r>
    <s v="ORD100497"/>
    <d v="2024-08-27T00:00:00"/>
    <s v="Customer 24"/>
    <x v="0"/>
    <s v="Tamil Nadu"/>
    <x v="0"/>
    <s v="Writing"/>
    <x v="3"/>
    <n v="2045.12"/>
    <n v="2"/>
    <n v="0.1"/>
    <n v="224.35"/>
    <x v="3"/>
    <x v="3"/>
    <s v="Bad"/>
    <n v="1022.56"/>
    <n v="45531"/>
    <x v="1"/>
    <n v="8"/>
    <x v="11"/>
    <n v="0.10970016429353779"/>
    <s v="Low"/>
  </r>
  <r>
    <s v="ORD100498"/>
    <d v="2024-11-24T00:00:00"/>
    <s v="Customer 188"/>
    <x v="3"/>
    <s v="West Bengal"/>
    <x v="2"/>
    <s v="Accessories"/>
    <x v="18"/>
    <n v="259.10000000000002"/>
    <n v="5"/>
    <n v="0.05"/>
    <n v="52.34"/>
    <x v="9"/>
    <x v="2"/>
    <s v="Bad"/>
    <n v="51.820000000000007"/>
    <n v="45620"/>
    <x v="1"/>
    <n v="11"/>
    <x v="10"/>
    <n v="0.2020069471246623"/>
    <s v="Low"/>
  </r>
  <r>
    <s v="ORD100499"/>
    <d v="2024-12-11T00:00:00"/>
    <s v="Customer 175"/>
    <x v="0"/>
    <s v="Kerala"/>
    <x v="2"/>
    <s v="Accessories"/>
    <x v="18"/>
    <n v="3064.02"/>
    <n v="6"/>
    <n v="0.25"/>
    <n v="-445.34"/>
    <x v="1"/>
    <x v="2"/>
    <s v="Bad"/>
    <n v="510.67"/>
    <n v="45637"/>
    <x v="1"/>
    <n v="12"/>
    <x v="4"/>
    <n v="-0.14534500427542901"/>
    <s v="high"/>
  </r>
  <r>
    <s v="ORD100500"/>
    <d v="2024-03-30T00:00:00"/>
    <s v="Customer 46"/>
    <x v="3"/>
    <s v="Bihar"/>
    <x v="0"/>
    <s v="Binders"/>
    <x v="22"/>
    <n v="4347.55"/>
    <n v="5"/>
    <n v="0.3"/>
    <n v="427.34"/>
    <x v="7"/>
    <x v="3"/>
    <s v="Bad"/>
    <n v="869.51"/>
    <n v="45381"/>
    <x v="1"/>
    <n v="3"/>
    <x v="3"/>
    <n v="9.8294441697047749E-2"/>
    <s v="high"/>
  </r>
  <r>
    <s v="ORD100501"/>
    <d v="2025-05-28T00:00:00"/>
    <s v="Customer 187"/>
    <x v="2"/>
    <s v="Delhi"/>
    <x v="0"/>
    <s v="Writing"/>
    <x v="1"/>
    <n v="524.20000000000005"/>
    <n v="2"/>
    <n v="0.1"/>
    <n v="107.96"/>
    <x v="3"/>
    <x v="2"/>
    <s v="Bad"/>
    <n v="262.10000000000002"/>
    <n v="45805"/>
    <x v="0"/>
    <n v="5"/>
    <x v="7"/>
    <n v="0.20595192674551696"/>
    <s v="Low"/>
  </r>
  <r>
    <s v="ORD100502"/>
    <d v="2024-12-13T00:00:00"/>
    <s v="Customer 35"/>
    <x v="0"/>
    <s v="Tamil Nadu"/>
    <x v="1"/>
    <s v="Storage"/>
    <x v="24"/>
    <n v="948.69"/>
    <n v="3"/>
    <n v="0.3"/>
    <n v="58.21"/>
    <x v="4"/>
    <x v="1"/>
    <s v="Bad"/>
    <n v="316.23"/>
    <n v="45639"/>
    <x v="1"/>
    <n v="12"/>
    <x v="4"/>
    <n v="6.1358294068663104E-2"/>
    <s v="high"/>
  </r>
  <r>
    <s v="ORD100503"/>
    <d v="2025-01-17T00:00:00"/>
    <s v="Customer 182"/>
    <x v="1"/>
    <s v="Gujarat"/>
    <x v="0"/>
    <s v="Binders"/>
    <x v="0"/>
    <n v="6138.48"/>
    <n v="8"/>
    <n v="0.25"/>
    <n v="680.39"/>
    <x v="1"/>
    <x v="2"/>
    <s v="Good"/>
    <n v="767.31"/>
    <n v="45674"/>
    <x v="0"/>
    <n v="1"/>
    <x v="0"/>
    <n v="0.11084014283666316"/>
    <s v="high"/>
  </r>
  <r>
    <s v="ORD100504"/>
    <d v="2024-10-19T00:00:00"/>
    <s v="Customer 190"/>
    <x v="0"/>
    <s v="Karnataka"/>
    <x v="0"/>
    <s v="Binders"/>
    <x v="0"/>
    <n v="1347.44"/>
    <n v="4"/>
    <n v="0.2"/>
    <n v="241.67"/>
    <x v="5"/>
    <x v="3"/>
    <s v="Bad"/>
    <n v="336.86"/>
    <n v="45584"/>
    <x v="1"/>
    <n v="10"/>
    <x v="2"/>
    <n v="0.17935492489461496"/>
    <s v="medium"/>
  </r>
  <r>
    <s v="ORD100505"/>
    <d v="2024-08-10T00:00:00"/>
    <s v="Customer 176"/>
    <x v="1"/>
    <s v="Maharashtra"/>
    <x v="1"/>
    <s v="Chairs"/>
    <x v="4"/>
    <n v="3934.32"/>
    <n v="6"/>
    <n v="0.3"/>
    <n v="-120.02"/>
    <x v="3"/>
    <x v="1"/>
    <s v="Bad"/>
    <n v="655.72"/>
    <n v="45514"/>
    <x v="1"/>
    <n v="8"/>
    <x v="11"/>
    <n v="-3.0505906992822136E-2"/>
    <s v="high"/>
  </r>
  <r>
    <s v="ORD100506"/>
    <d v="2025-02-26T00:00:00"/>
    <s v="Customer 124"/>
    <x v="2"/>
    <s v="Haryana"/>
    <x v="2"/>
    <s v="Accessories"/>
    <x v="12"/>
    <n v="80.19"/>
    <n v="1"/>
    <n v="0.3"/>
    <n v="-4.24"/>
    <x v="5"/>
    <x v="3"/>
    <s v="Bad"/>
    <n v="80.19"/>
    <n v="45714"/>
    <x v="0"/>
    <n v="2"/>
    <x v="1"/>
    <n v="-5.287442324479362E-2"/>
    <s v="high"/>
  </r>
  <r>
    <s v="ORD100507"/>
    <d v="2024-09-19T00:00:00"/>
    <s v="Customer 58"/>
    <x v="3"/>
    <s v="Bihar"/>
    <x v="0"/>
    <s v="Paper"/>
    <x v="11"/>
    <n v="823.72"/>
    <n v="1"/>
    <n v="0.1"/>
    <n v="133.78"/>
    <x v="3"/>
    <x v="0"/>
    <s v="Bad"/>
    <n v="823.72"/>
    <n v="45554"/>
    <x v="1"/>
    <n v="9"/>
    <x v="5"/>
    <n v="0.16240955664546206"/>
    <s v="Low"/>
  </r>
  <r>
    <s v="ORD100508"/>
    <d v="2024-08-30T00:00:00"/>
    <s v="Customer 116"/>
    <x v="3"/>
    <s v="Bihar"/>
    <x v="1"/>
    <s v="Tables"/>
    <x v="17"/>
    <n v="3125.1"/>
    <n v="5"/>
    <n v="0.2"/>
    <n v="361.14"/>
    <x v="6"/>
    <x v="0"/>
    <s v="Bad"/>
    <n v="625.02"/>
    <n v="45534"/>
    <x v="1"/>
    <n v="8"/>
    <x v="11"/>
    <n v="0.11556110204473456"/>
    <s v="medium"/>
  </r>
  <r>
    <s v="ORD100509"/>
    <d v="2024-03-14T00:00:00"/>
    <s v="Customer 153"/>
    <x v="3"/>
    <s v="Assam"/>
    <x v="2"/>
    <s v="Accessories"/>
    <x v="12"/>
    <n v="6036.31"/>
    <n v="7"/>
    <n v="0.05"/>
    <n v="1409.16"/>
    <x v="3"/>
    <x v="1"/>
    <s v="Bad"/>
    <n v="862.33"/>
    <n v="45365"/>
    <x v="1"/>
    <n v="3"/>
    <x v="3"/>
    <n v="0.23344725502832028"/>
    <s v="Low"/>
  </r>
  <r>
    <s v="ORD100510"/>
    <d v="2024-06-10T00:00:00"/>
    <s v="Customer 84"/>
    <x v="3"/>
    <s v="Bihar"/>
    <x v="0"/>
    <s v="Binders"/>
    <x v="25"/>
    <n v="310.16000000000003"/>
    <n v="1"/>
    <n v="0.3"/>
    <n v="-11.54"/>
    <x v="0"/>
    <x v="1"/>
    <s v="Bad"/>
    <n v="310.16000000000003"/>
    <n v="45453"/>
    <x v="1"/>
    <n v="6"/>
    <x v="9"/>
    <n v="-3.72066030435904E-2"/>
    <s v="high"/>
  </r>
  <r>
    <s v="ORD100511"/>
    <d v="2025-11-04T00:00:00"/>
    <s v="Customer 125"/>
    <x v="1"/>
    <s v="Maharashtra"/>
    <x v="2"/>
    <s v="Accessories"/>
    <x v="18"/>
    <n v="1033.27"/>
    <n v="1"/>
    <n v="0.2"/>
    <n v="-20.239999999999998"/>
    <x v="8"/>
    <x v="1"/>
    <s v="Bad"/>
    <n v="1033.27"/>
    <n v="45965"/>
    <x v="0"/>
    <n v="11"/>
    <x v="10"/>
    <n v="-1.9588297347256766E-2"/>
    <s v="medium"/>
  </r>
  <r>
    <s v="ORD100512"/>
    <d v="2024-03-12T00:00:00"/>
    <s v="Customer 6"/>
    <x v="2"/>
    <s v="Delhi"/>
    <x v="1"/>
    <s v="Tables"/>
    <x v="17"/>
    <n v="11825.9"/>
    <n v="10"/>
    <n v="0.25"/>
    <n v="1707.36"/>
    <x v="3"/>
    <x v="1"/>
    <s v="Good"/>
    <n v="1182.5899999999999"/>
    <n v="45363"/>
    <x v="1"/>
    <n v="3"/>
    <x v="3"/>
    <n v="0.14437463533430858"/>
    <s v="high"/>
  </r>
  <r>
    <s v="ORD100513"/>
    <d v="2025-01-04T00:00:00"/>
    <s v="Customer 45"/>
    <x v="2"/>
    <s v="Uttarakhand"/>
    <x v="2"/>
    <s v="Accessories"/>
    <x v="12"/>
    <n v="2221.71"/>
    <n v="3"/>
    <n v="0.25"/>
    <n v="-363.35"/>
    <x v="6"/>
    <x v="1"/>
    <s v="Bad"/>
    <n v="740.57"/>
    <n v="45661"/>
    <x v="0"/>
    <n v="1"/>
    <x v="0"/>
    <n v="-0.16354519716794721"/>
    <s v="high"/>
  </r>
  <r>
    <s v="ORD100514"/>
    <d v="2025-01-04T00:00:00"/>
    <s v="Customer 64"/>
    <x v="2"/>
    <s v="Delhi"/>
    <x v="0"/>
    <s v="Writing"/>
    <x v="3"/>
    <n v="7722.89"/>
    <n v="7"/>
    <n v="0.2"/>
    <n v="-20.260000000000002"/>
    <x v="9"/>
    <x v="1"/>
    <s v="Bad"/>
    <n v="1103.27"/>
    <n v="45661"/>
    <x v="0"/>
    <n v="1"/>
    <x v="0"/>
    <n v="-2.6233702668301633E-3"/>
    <s v="medium"/>
  </r>
  <r>
    <s v="ORD100515"/>
    <d v="2024-12-27T00:00:00"/>
    <s v="Customer 130"/>
    <x v="2"/>
    <s v="Haryana"/>
    <x v="1"/>
    <s v="Storage"/>
    <x v="15"/>
    <n v="8494.7999999999993"/>
    <n v="10"/>
    <n v="0.1"/>
    <n v="2876.41"/>
    <x v="5"/>
    <x v="1"/>
    <s v="Good"/>
    <n v="849.4799999999999"/>
    <n v="45653"/>
    <x v="1"/>
    <n v="12"/>
    <x v="4"/>
    <n v="0.3386083250929981"/>
    <s v="Low"/>
  </r>
  <r>
    <s v="ORD100516"/>
    <d v="2025-12-06T00:00:00"/>
    <s v="Customer 183"/>
    <x v="1"/>
    <s v="Goa"/>
    <x v="0"/>
    <s v="Binders"/>
    <x v="22"/>
    <n v="1761.54"/>
    <n v="2"/>
    <n v="0.1"/>
    <n v="81.790000000000006"/>
    <x v="9"/>
    <x v="2"/>
    <s v="Bad"/>
    <n v="880.77"/>
    <n v="45997"/>
    <x v="0"/>
    <n v="12"/>
    <x v="4"/>
    <n v="4.6430963815752131E-2"/>
    <s v="Low"/>
  </r>
  <r>
    <s v="ORD100517"/>
    <d v="2025-05-19T00:00:00"/>
    <s v="Customer 47"/>
    <x v="3"/>
    <s v="Assam"/>
    <x v="0"/>
    <s v="Binders"/>
    <x v="25"/>
    <n v="6688.4"/>
    <n v="10"/>
    <n v="0.25"/>
    <n v="-1000.38"/>
    <x v="0"/>
    <x v="0"/>
    <s v="Good"/>
    <n v="668.83999999999992"/>
    <n v="45796"/>
    <x v="0"/>
    <n v="5"/>
    <x v="7"/>
    <n v="-0.14956940374379524"/>
    <s v="high"/>
  </r>
  <r>
    <s v="ORD100518"/>
    <d v="2024-08-07T00:00:00"/>
    <s v="Customer 6"/>
    <x v="1"/>
    <s v="Rajasthan"/>
    <x v="0"/>
    <s v="Writing"/>
    <x v="1"/>
    <n v="10965.9"/>
    <n v="10"/>
    <n v="0"/>
    <n v="1138.44"/>
    <x v="9"/>
    <x v="0"/>
    <s v="Good"/>
    <n v="1096.5899999999999"/>
    <n v="45511"/>
    <x v="1"/>
    <n v="8"/>
    <x v="11"/>
    <n v="0.10381637622083004"/>
    <s v="No Discount"/>
  </r>
  <r>
    <s v="ORD100519"/>
    <d v="2025-10-09T00:00:00"/>
    <s v="Customer 55"/>
    <x v="2"/>
    <s v="Uttarakhand"/>
    <x v="2"/>
    <s v="Computers"/>
    <x v="26"/>
    <n v="800.77"/>
    <n v="1"/>
    <n v="0.3"/>
    <n v="-76.14"/>
    <x v="9"/>
    <x v="0"/>
    <s v="Bad"/>
    <n v="800.77"/>
    <n v="45939"/>
    <x v="0"/>
    <n v="10"/>
    <x v="2"/>
    <n v="-9.5083482148432139E-2"/>
    <s v="high"/>
  </r>
  <r>
    <s v="ORD100520"/>
    <d v="2024-04-01T00:00:00"/>
    <s v="Customer 49"/>
    <x v="3"/>
    <s v="Odisha"/>
    <x v="2"/>
    <s v="Computers"/>
    <x v="26"/>
    <n v="2831.04"/>
    <n v="3"/>
    <n v="0.05"/>
    <n v="669.24"/>
    <x v="1"/>
    <x v="0"/>
    <s v="Bad"/>
    <n v="943.68"/>
    <n v="45383"/>
    <x v="1"/>
    <n v="4"/>
    <x v="8"/>
    <n v="0.23639369277721262"/>
    <s v="Low"/>
  </r>
  <r>
    <s v="ORD100521"/>
    <d v="2025-03-15T00:00:00"/>
    <s v="Customer 96"/>
    <x v="2"/>
    <s v="Haryana"/>
    <x v="2"/>
    <s v="Accessories"/>
    <x v="18"/>
    <n v="4318.88"/>
    <n v="8"/>
    <n v="0.25"/>
    <n v="-236.15"/>
    <x v="4"/>
    <x v="2"/>
    <s v="Bad"/>
    <n v="539.86"/>
    <n v="45731"/>
    <x v="0"/>
    <n v="3"/>
    <x v="3"/>
    <n v="-5.4678527766457971E-2"/>
    <s v="high"/>
  </r>
  <r>
    <s v="ORD100522"/>
    <d v="2025-09-27T00:00:00"/>
    <s v="Customer 189"/>
    <x v="3"/>
    <s v="Odisha"/>
    <x v="0"/>
    <s v="Binders"/>
    <x v="22"/>
    <n v="3093.09"/>
    <n v="7"/>
    <n v="0.1"/>
    <n v="-150.43"/>
    <x v="5"/>
    <x v="1"/>
    <s v="Bad"/>
    <n v="441.87"/>
    <n v="45927"/>
    <x v="0"/>
    <n v="9"/>
    <x v="5"/>
    <n v="-4.8634213682757374E-2"/>
    <s v="Low"/>
  </r>
  <r>
    <s v="ORD100523"/>
    <d v="2024-09-25T00:00:00"/>
    <s v="Customer 171"/>
    <x v="3"/>
    <s v="Odisha"/>
    <x v="2"/>
    <s v="Accessories"/>
    <x v="18"/>
    <n v="4013.76"/>
    <n v="6"/>
    <n v="0.15"/>
    <n v="150.80000000000001"/>
    <x v="7"/>
    <x v="0"/>
    <s v="Bad"/>
    <n v="668.96"/>
    <n v="45560"/>
    <x v="1"/>
    <n v="9"/>
    <x v="5"/>
    <n v="3.7570756597305272E-2"/>
    <s v="medium"/>
  </r>
  <r>
    <s v="ORD100524"/>
    <d v="2024-10-09T00:00:00"/>
    <s v="Customer 99"/>
    <x v="2"/>
    <s v="Uttarakhand"/>
    <x v="0"/>
    <s v="Writing"/>
    <x v="1"/>
    <n v="3529.1"/>
    <n v="5"/>
    <n v="0.05"/>
    <n v="1135.56"/>
    <x v="2"/>
    <x v="2"/>
    <s v="Bad"/>
    <n v="705.81999999999994"/>
    <n v="45574"/>
    <x v="1"/>
    <n v="10"/>
    <x v="2"/>
    <n v="0.32177042305403641"/>
    <s v="Low"/>
  </r>
  <r>
    <s v="ORD100525"/>
    <d v="2024-01-08T00:00:00"/>
    <s v="Customer 55"/>
    <x v="1"/>
    <s v="Rajasthan"/>
    <x v="0"/>
    <s v="Binders"/>
    <x v="22"/>
    <n v="2052.7199999999998"/>
    <n v="9"/>
    <n v="0.25"/>
    <n v="330.96"/>
    <x v="5"/>
    <x v="2"/>
    <s v="Bad"/>
    <n v="228.07999999999998"/>
    <n v="45299"/>
    <x v="1"/>
    <n v="1"/>
    <x v="0"/>
    <n v="0.16122997778557233"/>
    <s v="high"/>
  </r>
  <r>
    <s v="ORD100526"/>
    <d v="2025-10-07T00:00:00"/>
    <s v="Customer 84"/>
    <x v="3"/>
    <s v="Bihar"/>
    <x v="1"/>
    <s v="Chairs"/>
    <x v="5"/>
    <n v="4233.0600000000004"/>
    <n v="6"/>
    <n v="0.25"/>
    <n v="159.13999999999999"/>
    <x v="1"/>
    <x v="0"/>
    <s v="Bad"/>
    <n v="705.5100000000001"/>
    <n v="45937"/>
    <x v="0"/>
    <n v="10"/>
    <x v="2"/>
    <n v="3.7594553349113873E-2"/>
    <s v="high"/>
  </r>
  <r>
    <s v="ORD100527"/>
    <d v="2025-11-02T00:00:00"/>
    <s v="Customer 116"/>
    <x v="1"/>
    <s v="Maharashtra"/>
    <x v="2"/>
    <s v="Computers"/>
    <x v="26"/>
    <n v="8134.63"/>
    <n v="7"/>
    <n v="0.25"/>
    <n v="478.37"/>
    <x v="2"/>
    <x v="0"/>
    <s v="Bad"/>
    <n v="1162.0899999999999"/>
    <n v="45963"/>
    <x v="0"/>
    <n v="11"/>
    <x v="10"/>
    <n v="5.8806608290727418E-2"/>
    <s v="high"/>
  </r>
  <r>
    <s v="ORD100528"/>
    <d v="2024-09-13T00:00:00"/>
    <s v="Customer 122"/>
    <x v="0"/>
    <s v="Kerala"/>
    <x v="1"/>
    <s v="Storage"/>
    <x v="7"/>
    <n v="2526.3000000000002"/>
    <n v="7"/>
    <n v="0.15"/>
    <n v="719.03"/>
    <x v="0"/>
    <x v="3"/>
    <s v="Bad"/>
    <n v="360.90000000000003"/>
    <n v="45548"/>
    <x v="1"/>
    <n v="9"/>
    <x v="5"/>
    <n v="0.28461782052804496"/>
    <s v="medium"/>
  </r>
  <r>
    <s v="ORD100529"/>
    <d v="2025-09-28T00:00:00"/>
    <s v="Customer 154"/>
    <x v="0"/>
    <s v="Telangana"/>
    <x v="1"/>
    <s v="Storage"/>
    <x v="7"/>
    <n v="2790.24"/>
    <n v="8"/>
    <n v="0.1"/>
    <n v="-57.58"/>
    <x v="8"/>
    <x v="2"/>
    <s v="Bad"/>
    <n v="348.78"/>
    <n v="45928"/>
    <x v="0"/>
    <n v="9"/>
    <x v="5"/>
    <n v="-2.0636217673031712E-2"/>
    <s v="Low"/>
  </r>
  <r>
    <s v="ORD100530"/>
    <d v="2024-10-11T00:00:00"/>
    <s v="Customer 190"/>
    <x v="1"/>
    <s v="Rajasthan"/>
    <x v="2"/>
    <s v="Phones"/>
    <x v="23"/>
    <n v="3135.06"/>
    <n v="9"/>
    <n v="0.2"/>
    <n v="-281.49"/>
    <x v="6"/>
    <x v="2"/>
    <s v="Bad"/>
    <n v="348.34"/>
    <n v="45576"/>
    <x v="1"/>
    <n v="10"/>
    <x v="2"/>
    <n v="-8.9787755258272567E-2"/>
    <s v="medium"/>
  </r>
  <r>
    <s v="ORD100531"/>
    <d v="2025-12-09T00:00:00"/>
    <s v="Customer 149"/>
    <x v="2"/>
    <s v="Haryana"/>
    <x v="0"/>
    <s v="Paper"/>
    <x v="21"/>
    <n v="8340.85"/>
    <n v="7"/>
    <n v="0.2"/>
    <n v="1818.2"/>
    <x v="6"/>
    <x v="3"/>
    <s v="Bad"/>
    <n v="1191.55"/>
    <n v="46000"/>
    <x v="0"/>
    <n v="12"/>
    <x v="4"/>
    <n v="0.21798737538740057"/>
    <s v="medium"/>
  </r>
  <r>
    <s v="ORD100532"/>
    <d v="2025-06-12T00:00:00"/>
    <s v="Customer 128"/>
    <x v="0"/>
    <s v="Karnataka"/>
    <x v="0"/>
    <s v="Writing"/>
    <x v="1"/>
    <n v="217.53"/>
    <n v="1"/>
    <n v="0.05"/>
    <n v="67.45"/>
    <x v="3"/>
    <x v="2"/>
    <s v="Bad"/>
    <n v="217.53"/>
    <n v="45820"/>
    <x v="0"/>
    <n v="6"/>
    <x v="9"/>
    <n v="0.310072173953018"/>
    <s v="Low"/>
  </r>
  <r>
    <s v="ORD100533"/>
    <d v="2024-06-05T00:00:00"/>
    <s v="Customer 71"/>
    <x v="1"/>
    <s v="Maharashtra"/>
    <x v="0"/>
    <s v="Writing"/>
    <x v="1"/>
    <n v="2001.48"/>
    <n v="3"/>
    <n v="0"/>
    <n v="729.08"/>
    <x v="6"/>
    <x v="3"/>
    <s v="Bad"/>
    <n v="667.16"/>
    <n v="45448"/>
    <x v="1"/>
    <n v="6"/>
    <x v="9"/>
    <n v="0.36427043987449287"/>
    <s v="No Discount"/>
  </r>
  <r>
    <s v="ORD100534"/>
    <d v="2024-06-12T00:00:00"/>
    <s v="Customer 108"/>
    <x v="2"/>
    <s v="Punjab"/>
    <x v="1"/>
    <s v="Storage"/>
    <x v="7"/>
    <n v="1284.8"/>
    <n v="10"/>
    <n v="0.2"/>
    <n v="262.14"/>
    <x v="7"/>
    <x v="0"/>
    <s v="Bad"/>
    <n v="128.47999999999999"/>
    <n v="45455"/>
    <x v="1"/>
    <n v="6"/>
    <x v="9"/>
    <n v="0.20403175591531755"/>
    <s v="medium"/>
  </r>
  <r>
    <s v="ORD100535"/>
    <d v="2024-12-26T00:00:00"/>
    <s v="Customer 192"/>
    <x v="0"/>
    <s v="Tamil Nadu"/>
    <x v="0"/>
    <s v="Writing"/>
    <x v="1"/>
    <n v="1904.5"/>
    <n v="5"/>
    <n v="0.3"/>
    <n v="-370.84"/>
    <x v="7"/>
    <x v="1"/>
    <s v="Bad"/>
    <n v="380.9"/>
    <n v="45652"/>
    <x v="1"/>
    <n v="12"/>
    <x v="4"/>
    <n v="-0.19471777369388291"/>
    <s v="high"/>
  </r>
  <r>
    <s v="ORD100536"/>
    <d v="2024-12-03T00:00:00"/>
    <s v="Customer 152"/>
    <x v="0"/>
    <s v="Karnataka"/>
    <x v="1"/>
    <s v="Chairs"/>
    <x v="14"/>
    <n v="3844.15"/>
    <n v="5"/>
    <n v="0.2"/>
    <n v="285.85000000000002"/>
    <x v="3"/>
    <x v="1"/>
    <s v="Bad"/>
    <n v="768.83"/>
    <n v="45629"/>
    <x v="1"/>
    <n v="12"/>
    <x v="4"/>
    <n v="7.435974142528258E-2"/>
    <s v="medium"/>
  </r>
  <r>
    <s v="ORD100537"/>
    <d v="2024-06-28T00:00:00"/>
    <s v="Customer 175"/>
    <x v="1"/>
    <s v="Rajasthan"/>
    <x v="2"/>
    <s v="Accessories"/>
    <x v="12"/>
    <n v="3909.96"/>
    <n v="9"/>
    <n v="0"/>
    <n v="872.82"/>
    <x v="2"/>
    <x v="2"/>
    <s v="Bad"/>
    <n v="434.44"/>
    <n v="45471"/>
    <x v="1"/>
    <n v="6"/>
    <x v="9"/>
    <n v="0.22322990516527025"/>
    <s v="No Discount"/>
  </r>
  <r>
    <s v="ORD100538"/>
    <d v="2024-12-21T00:00:00"/>
    <s v="Customer 102"/>
    <x v="0"/>
    <s v="Telangana"/>
    <x v="0"/>
    <s v="Writing"/>
    <x v="19"/>
    <n v="7361.84"/>
    <n v="8"/>
    <n v="0.05"/>
    <n v="524.84"/>
    <x v="0"/>
    <x v="0"/>
    <s v="Good"/>
    <n v="920.23"/>
    <n v="45647"/>
    <x v="1"/>
    <n v="12"/>
    <x v="4"/>
    <n v="7.1291959618790951E-2"/>
    <s v="Low"/>
  </r>
  <r>
    <s v="ORD100539"/>
    <d v="2024-04-29T00:00:00"/>
    <s v="Customer 158"/>
    <x v="0"/>
    <s v="Tamil Nadu"/>
    <x v="0"/>
    <s v="Paper"/>
    <x v="11"/>
    <n v="2156.88"/>
    <n v="3"/>
    <n v="0.1"/>
    <n v="218.13"/>
    <x v="5"/>
    <x v="2"/>
    <s v="Bad"/>
    <n v="718.96"/>
    <n v="45411"/>
    <x v="1"/>
    <n v="4"/>
    <x v="8"/>
    <n v="0.10113219094247246"/>
    <s v="Low"/>
  </r>
  <r>
    <s v="ORD100540"/>
    <d v="2025-12-19T00:00:00"/>
    <s v="Customer 31"/>
    <x v="1"/>
    <s v="Goa"/>
    <x v="2"/>
    <s v="Accessories"/>
    <x v="12"/>
    <n v="3635.45"/>
    <n v="7"/>
    <n v="0.25"/>
    <n v="105.07"/>
    <x v="1"/>
    <x v="1"/>
    <s v="Bad"/>
    <n v="519.35"/>
    <n v="46010"/>
    <x v="0"/>
    <n v="12"/>
    <x v="4"/>
    <n v="2.8901511504765571E-2"/>
    <s v="high"/>
  </r>
  <r>
    <s v="ORD100541"/>
    <d v="2024-12-09T00:00:00"/>
    <s v="Customer 21"/>
    <x v="0"/>
    <s v="Telangana"/>
    <x v="2"/>
    <s v="Computers"/>
    <x v="6"/>
    <n v="8849.25"/>
    <n v="9"/>
    <n v="0.15"/>
    <n v="-501.77"/>
    <x v="5"/>
    <x v="3"/>
    <s v="Good"/>
    <n v="983.25"/>
    <n v="45635"/>
    <x v="1"/>
    <n v="12"/>
    <x v="4"/>
    <n v="-5.6701980393818685E-2"/>
    <s v="medium"/>
  </r>
  <r>
    <s v="ORD100542"/>
    <d v="2024-06-18T00:00:00"/>
    <s v="Customer 22"/>
    <x v="0"/>
    <s v="Karnataka"/>
    <x v="1"/>
    <s v="Storage"/>
    <x v="24"/>
    <n v="1021.31"/>
    <n v="1"/>
    <n v="0.25"/>
    <n v="-203.53"/>
    <x v="7"/>
    <x v="0"/>
    <s v="Bad"/>
    <n v="1021.31"/>
    <n v="45461"/>
    <x v="1"/>
    <n v="6"/>
    <x v="9"/>
    <n v="-0.19928327344293115"/>
    <s v="high"/>
  </r>
  <r>
    <s v="ORD100543"/>
    <d v="2024-06-08T00:00:00"/>
    <s v="Customer 189"/>
    <x v="1"/>
    <s v="Rajasthan"/>
    <x v="0"/>
    <s v="Writing"/>
    <x v="19"/>
    <n v="3788.4"/>
    <n v="7"/>
    <n v="0.05"/>
    <n v="1409.88"/>
    <x v="9"/>
    <x v="1"/>
    <s v="Bad"/>
    <n v="541.20000000000005"/>
    <n v="45451"/>
    <x v="1"/>
    <n v="6"/>
    <x v="9"/>
    <n v="0.37215711118150147"/>
    <s v="Low"/>
  </r>
  <r>
    <s v="ORD100544"/>
    <d v="2024-09-22T00:00:00"/>
    <s v="Customer 155"/>
    <x v="2"/>
    <s v="Delhi"/>
    <x v="1"/>
    <s v="Storage"/>
    <x v="7"/>
    <n v="478.08"/>
    <n v="8"/>
    <n v="0.25"/>
    <n v="-60.34"/>
    <x v="6"/>
    <x v="1"/>
    <s v="Bad"/>
    <n v="59.76"/>
    <n v="45557"/>
    <x v="1"/>
    <n v="9"/>
    <x v="5"/>
    <n v="-0.12621318607764392"/>
    <s v="high"/>
  </r>
  <r>
    <s v="ORD100545"/>
    <d v="2025-12-06T00:00:00"/>
    <s v="Customer 190"/>
    <x v="1"/>
    <s v="Rajasthan"/>
    <x v="2"/>
    <s v="Phones"/>
    <x v="13"/>
    <n v="274.41000000000003"/>
    <n v="1"/>
    <n v="0.1"/>
    <n v="17.14"/>
    <x v="2"/>
    <x v="1"/>
    <s v="Bad"/>
    <n v="274.41000000000003"/>
    <n v="45997"/>
    <x v="0"/>
    <n v="12"/>
    <x v="4"/>
    <n v="6.2461280565577051E-2"/>
    <s v="Low"/>
  </r>
  <r>
    <s v="ORD100546"/>
    <d v="2025-09-26T00:00:00"/>
    <s v="Customer 161"/>
    <x v="2"/>
    <s v="Haryana"/>
    <x v="1"/>
    <s v="Chairs"/>
    <x v="4"/>
    <n v="8345.7000000000007"/>
    <n v="9"/>
    <n v="0"/>
    <n v="1095.27"/>
    <x v="9"/>
    <x v="2"/>
    <s v="Good"/>
    <n v="927.30000000000007"/>
    <n v="45926"/>
    <x v="0"/>
    <n v="9"/>
    <x v="5"/>
    <n v="0.13123764333728746"/>
    <s v="No Discount"/>
  </r>
  <r>
    <s v="ORD100547"/>
    <d v="2025-09-25T00:00:00"/>
    <s v="Customer 119"/>
    <x v="3"/>
    <s v="Odisha"/>
    <x v="1"/>
    <s v="Tables"/>
    <x v="17"/>
    <n v="1964.58"/>
    <n v="2"/>
    <n v="0.3"/>
    <n v="-330.67"/>
    <x v="8"/>
    <x v="0"/>
    <s v="Bad"/>
    <n v="982.29"/>
    <n v="45925"/>
    <x v="0"/>
    <n v="9"/>
    <x v="5"/>
    <n v="-0.1683158741308575"/>
    <s v="high"/>
  </r>
  <r>
    <s v="ORD100548"/>
    <d v="2024-06-20T00:00:00"/>
    <s v="Customer 164"/>
    <x v="0"/>
    <s v="Tamil Nadu"/>
    <x v="2"/>
    <s v="Phones"/>
    <x v="13"/>
    <n v="1921.92"/>
    <n v="8"/>
    <n v="0"/>
    <n v="470.38"/>
    <x v="4"/>
    <x v="2"/>
    <s v="Bad"/>
    <n v="240.24"/>
    <n v="45463"/>
    <x v="1"/>
    <n v="6"/>
    <x v="9"/>
    <n v="0.2447448384948385"/>
    <s v="No Discount"/>
  </r>
  <r>
    <s v="ORD100549"/>
    <d v="2025-10-18T00:00:00"/>
    <s v="Customer 156"/>
    <x v="2"/>
    <s v="Uttarakhand"/>
    <x v="0"/>
    <s v="Writing"/>
    <x v="1"/>
    <n v="366.1"/>
    <n v="5"/>
    <n v="0"/>
    <n v="106.37"/>
    <x v="7"/>
    <x v="0"/>
    <s v="Bad"/>
    <n v="73.22"/>
    <n v="45948"/>
    <x v="0"/>
    <n v="10"/>
    <x v="2"/>
    <n v="0.29054903031958479"/>
    <s v="No Discount"/>
  </r>
  <r>
    <s v="ORD100550"/>
    <d v="2024-04-23T00:00:00"/>
    <s v="Customer 192"/>
    <x v="1"/>
    <s v="Goa"/>
    <x v="1"/>
    <s v="Tables"/>
    <x v="16"/>
    <n v="5232.2"/>
    <n v="10"/>
    <n v="0.1"/>
    <n v="54.66"/>
    <x v="7"/>
    <x v="0"/>
    <s v="Good"/>
    <n v="523.22"/>
    <n v="45405"/>
    <x v="1"/>
    <n v="4"/>
    <x v="8"/>
    <n v="1.0446848362065671E-2"/>
    <s v="Low"/>
  </r>
  <r>
    <s v="ORD100551"/>
    <d v="2024-08-26T00:00:00"/>
    <s v="Customer 6"/>
    <x v="3"/>
    <s v="Bihar"/>
    <x v="0"/>
    <s v="Binders"/>
    <x v="0"/>
    <n v="2300.04"/>
    <n v="9"/>
    <n v="0.15"/>
    <n v="41.67"/>
    <x v="8"/>
    <x v="3"/>
    <s v="Bad"/>
    <n v="255.56"/>
    <n v="45530"/>
    <x v="1"/>
    <n v="8"/>
    <x v="11"/>
    <n v="1.811707622476131E-2"/>
    <s v="medium"/>
  </r>
  <r>
    <s v="ORD100552"/>
    <d v="2025-10-24T00:00:00"/>
    <s v="Customer 143"/>
    <x v="2"/>
    <s v="Delhi"/>
    <x v="2"/>
    <s v="Accessories"/>
    <x v="20"/>
    <n v="713.92"/>
    <n v="4"/>
    <n v="0.3"/>
    <n v="-81.11"/>
    <x v="9"/>
    <x v="0"/>
    <s v="Bad"/>
    <n v="178.48"/>
    <n v="45954"/>
    <x v="0"/>
    <n v="10"/>
    <x v="2"/>
    <n v="-0.11361216943074855"/>
    <s v="high"/>
  </r>
  <r>
    <s v="ORD100553"/>
    <d v="2024-09-06T00:00:00"/>
    <s v="Customer 47"/>
    <x v="0"/>
    <s v="Kerala"/>
    <x v="0"/>
    <s v="Binders"/>
    <x v="25"/>
    <n v="9642"/>
    <n v="10"/>
    <n v="0.05"/>
    <n v="3118.83"/>
    <x v="7"/>
    <x v="1"/>
    <s v="Good"/>
    <n v="964.2"/>
    <n v="45541"/>
    <x v="1"/>
    <n v="9"/>
    <x v="5"/>
    <n v="0.32346297448662104"/>
    <s v="Low"/>
  </r>
  <r>
    <s v="ORD100554"/>
    <d v="2024-11-30T00:00:00"/>
    <s v="Customer 7"/>
    <x v="0"/>
    <s v="Tamil Nadu"/>
    <x v="1"/>
    <s v="Chairs"/>
    <x v="5"/>
    <n v="6976.6"/>
    <n v="10"/>
    <n v="0.1"/>
    <n v="104.48"/>
    <x v="7"/>
    <x v="1"/>
    <s v="Good"/>
    <n v="697.66000000000008"/>
    <n v="45626"/>
    <x v="1"/>
    <n v="11"/>
    <x v="10"/>
    <n v="1.4975776166040764E-2"/>
    <s v="Low"/>
  </r>
  <r>
    <s v="ORD100555"/>
    <d v="2025-04-05T00:00:00"/>
    <s v="Customer 167"/>
    <x v="1"/>
    <s v="Gujarat"/>
    <x v="2"/>
    <s v="Accessories"/>
    <x v="18"/>
    <n v="730.54"/>
    <n v="1"/>
    <n v="0.3"/>
    <n v="-52.12"/>
    <x v="4"/>
    <x v="2"/>
    <s v="Bad"/>
    <n v="730.54"/>
    <n v="45752"/>
    <x v="0"/>
    <n v="4"/>
    <x v="8"/>
    <n v="-7.1344484901579658E-2"/>
    <s v="high"/>
  </r>
  <r>
    <s v="ORD100556"/>
    <d v="2025-06-01T00:00:00"/>
    <s v="Customer 60"/>
    <x v="3"/>
    <s v="Bihar"/>
    <x v="0"/>
    <s v="Writing"/>
    <x v="19"/>
    <n v="11849.4"/>
    <n v="10"/>
    <n v="0.05"/>
    <n v="3045.5"/>
    <x v="2"/>
    <x v="3"/>
    <s v="Good"/>
    <n v="1184.94"/>
    <n v="45809"/>
    <x v="0"/>
    <n v="6"/>
    <x v="9"/>
    <n v="0.25701723294006451"/>
    <s v="Low"/>
  </r>
  <r>
    <s v="ORD100557"/>
    <d v="2024-03-12T00:00:00"/>
    <s v="Customer 197"/>
    <x v="1"/>
    <s v="Rajasthan"/>
    <x v="2"/>
    <s v="Accessories"/>
    <x v="18"/>
    <n v="5109.68"/>
    <n v="8"/>
    <n v="0.15"/>
    <n v="1053.33"/>
    <x v="7"/>
    <x v="3"/>
    <s v="Good"/>
    <n v="638.71"/>
    <n v="45363"/>
    <x v="1"/>
    <n v="3"/>
    <x v="3"/>
    <n v="0.206144024674735"/>
    <s v="medium"/>
  </r>
  <r>
    <s v="ORD100558"/>
    <d v="2024-09-24T00:00:00"/>
    <s v="Customer 147"/>
    <x v="2"/>
    <s v="Haryana"/>
    <x v="1"/>
    <s v="Chairs"/>
    <x v="5"/>
    <n v="3538.53"/>
    <n v="9"/>
    <n v="0.05"/>
    <n v="1201.26"/>
    <x v="4"/>
    <x v="1"/>
    <s v="Bad"/>
    <n v="393.17"/>
    <n v="45559"/>
    <x v="1"/>
    <n v="9"/>
    <x v="5"/>
    <n v="0.3394799535400293"/>
    <s v="Low"/>
  </r>
  <r>
    <s v="ORD100559"/>
    <d v="2024-08-14T00:00:00"/>
    <s v="Customer 84"/>
    <x v="3"/>
    <s v="West Bengal"/>
    <x v="2"/>
    <s v="Phones"/>
    <x v="13"/>
    <n v="329.82"/>
    <n v="3"/>
    <n v="0.3"/>
    <n v="46.13"/>
    <x v="2"/>
    <x v="0"/>
    <s v="Bad"/>
    <n v="109.94"/>
    <n v="45518"/>
    <x v="1"/>
    <n v="8"/>
    <x v="11"/>
    <n v="0.13986416833424292"/>
    <s v="high"/>
  </r>
  <r>
    <s v="ORD100560"/>
    <d v="2025-06-19T00:00:00"/>
    <s v="Customer 193"/>
    <x v="1"/>
    <s v="Maharashtra"/>
    <x v="1"/>
    <s v="Tables"/>
    <x v="9"/>
    <n v="7660"/>
    <n v="10"/>
    <n v="0.3"/>
    <n v="-782"/>
    <x v="0"/>
    <x v="2"/>
    <s v="Good"/>
    <n v="766"/>
    <n v="45827"/>
    <x v="0"/>
    <n v="6"/>
    <x v="9"/>
    <n v="-0.102088772845953"/>
    <s v="high"/>
  </r>
  <r>
    <s v="ORD100561"/>
    <d v="2025-02-11T00:00:00"/>
    <s v="Customer 59"/>
    <x v="0"/>
    <s v="Tamil Nadu"/>
    <x v="2"/>
    <s v="Computers"/>
    <x v="26"/>
    <n v="6266.26"/>
    <n v="7"/>
    <n v="0.3"/>
    <n v="922.6"/>
    <x v="1"/>
    <x v="1"/>
    <s v="Bad"/>
    <n v="895.18000000000006"/>
    <n v="45699"/>
    <x v="0"/>
    <n v="2"/>
    <x v="1"/>
    <n v="0.14723295873455619"/>
    <s v="high"/>
  </r>
  <r>
    <s v="ORD100562"/>
    <d v="2025-07-04T00:00:00"/>
    <s v="Customer 173"/>
    <x v="2"/>
    <s v="Delhi"/>
    <x v="1"/>
    <s v="Tables"/>
    <x v="9"/>
    <n v="541.08000000000004"/>
    <n v="1"/>
    <n v="0.1"/>
    <n v="108.78"/>
    <x v="9"/>
    <x v="0"/>
    <s v="Bad"/>
    <n v="541.08000000000004"/>
    <n v="45842"/>
    <x v="0"/>
    <n v="7"/>
    <x v="6"/>
    <n v="0.20104235972499443"/>
    <s v="Low"/>
  </r>
  <r>
    <s v="ORD100563"/>
    <d v="2024-09-29T00:00:00"/>
    <s v="Customer 97"/>
    <x v="2"/>
    <s v="Delhi"/>
    <x v="0"/>
    <s v="Writing"/>
    <x v="3"/>
    <n v="6984.72"/>
    <n v="6"/>
    <n v="0"/>
    <n v="2118.85"/>
    <x v="8"/>
    <x v="1"/>
    <s v="Bad"/>
    <n v="1164.1200000000001"/>
    <n v="45564"/>
    <x v="1"/>
    <n v="9"/>
    <x v="5"/>
    <n v="0.30335503785405854"/>
    <s v="No Discount"/>
  </r>
  <r>
    <s v="ORD100564"/>
    <d v="2025-01-07T00:00:00"/>
    <s v="Customer 27"/>
    <x v="3"/>
    <s v="Bihar"/>
    <x v="0"/>
    <s v="Writing"/>
    <x v="3"/>
    <n v="656.9"/>
    <n v="5"/>
    <n v="0.05"/>
    <n v="242.98"/>
    <x v="7"/>
    <x v="2"/>
    <s v="Bad"/>
    <n v="131.38"/>
    <n v="45664"/>
    <x v="0"/>
    <n v="1"/>
    <x v="0"/>
    <n v="0.36988887197442533"/>
    <s v="Low"/>
  </r>
  <r>
    <s v="ORD100565"/>
    <d v="2025-04-01T00:00:00"/>
    <s v="Customer 17"/>
    <x v="3"/>
    <s v="Assam"/>
    <x v="1"/>
    <s v="Storage"/>
    <x v="24"/>
    <n v="4073.23"/>
    <n v="7"/>
    <n v="0.25"/>
    <n v="-342.41"/>
    <x v="4"/>
    <x v="2"/>
    <s v="Bad"/>
    <n v="581.89"/>
    <n v="45748"/>
    <x v="0"/>
    <n v="4"/>
    <x v="8"/>
    <n v="-8.4063507339384225E-2"/>
    <s v="high"/>
  </r>
  <r>
    <s v="ORD100566"/>
    <d v="2024-06-10T00:00:00"/>
    <s v="Customer 17"/>
    <x v="2"/>
    <s v="Punjab"/>
    <x v="2"/>
    <s v="Accessories"/>
    <x v="12"/>
    <n v="2134.12"/>
    <n v="2"/>
    <n v="0.2"/>
    <n v="64.67"/>
    <x v="2"/>
    <x v="0"/>
    <s v="Bad"/>
    <n v="1067.06"/>
    <n v="45453"/>
    <x v="1"/>
    <n v="6"/>
    <x v="9"/>
    <n v="3.0302888309935713E-2"/>
    <s v="medium"/>
  </r>
  <r>
    <s v="ORD100567"/>
    <d v="2024-02-23T00:00:00"/>
    <s v="Customer 101"/>
    <x v="3"/>
    <s v="Assam"/>
    <x v="0"/>
    <s v="Binders"/>
    <x v="0"/>
    <n v="3297.12"/>
    <n v="8"/>
    <n v="0"/>
    <n v="1153.0999999999999"/>
    <x v="1"/>
    <x v="2"/>
    <s v="Bad"/>
    <n v="412.14"/>
    <n v="45345"/>
    <x v="1"/>
    <n v="2"/>
    <x v="1"/>
    <n v="0.34972946086281359"/>
    <s v="No Discount"/>
  </r>
  <r>
    <s v="ORD100568"/>
    <d v="2024-10-10T00:00:00"/>
    <s v="Customer 59"/>
    <x v="3"/>
    <s v="Odisha"/>
    <x v="2"/>
    <s v="Phones"/>
    <x v="23"/>
    <n v="2884.64"/>
    <n v="4"/>
    <n v="0"/>
    <n v="734.3"/>
    <x v="3"/>
    <x v="2"/>
    <s v="Bad"/>
    <n v="721.16"/>
    <n v="45575"/>
    <x v="1"/>
    <n v="10"/>
    <x v="2"/>
    <n v="0.25455516112929172"/>
    <s v="No Discount"/>
  </r>
  <r>
    <s v="ORD100569"/>
    <d v="2025-04-26T00:00:00"/>
    <s v="Customer 194"/>
    <x v="2"/>
    <s v="Delhi"/>
    <x v="0"/>
    <s v="Binders"/>
    <x v="22"/>
    <n v="2458.56"/>
    <n v="6"/>
    <n v="0.2"/>
    <n v="-193.21"/>
    <x v="0"/>
    <x v="3"/>
    <s v="Bad"/>
    <n v="409.76"/>
    <n v="45773"/>
    <x v="0"/>
    <n v="4"/>
    <x v="8"/>
    <n v="-7.8586652349342714E-2"/>
    <s v="medium"/>
  </r>
  <r>
    <s v="ORD100570"/>
    <d v="2025-11-24T00:00:00"/>
    <s v="Customer 23"/>
    <x v="1"/>
    <s v="Rajasthan"/>
    <x v="0"/>
    <s v="Binders"/>
    <x v="22"/>
    <n v="2110.1999999999998"/>
    <n v="6"/>
    <n v="0.05"/>
    <n v="648.38"/>
    <x v="4"/>
    <x v="2"/>
    <s v="Bad"/>
    <n v="351.7"/>
    <n v="45985"/>
    <x v="0"/>
    <n v="11"/>
    <x v="10"/>
    <n v="0.30725997535778604"/>
    <s v="Low"/>
  </r>
  <r>
    <s v="ORD100571"/>
    <d v="2025-05-04T00:00:00"/>
    <s v="Customer 134"/>
    <x v="2"/>
    <s v="Delhi"/>
    <x v="1"/>
    <s v="Chairs"/>
    <x v="14"/>
    <n v="2165.15"/>
    <n v="5"/>
    <n v="0.05"/>
    <n v="125"/>
    <x v="3"/>
    <x v="2"/>
    <s v="Bad"/>
    <n v="433.03000000000003"/>
    <n v="45781"/>
    <x v="0"/>
    <n v="5"/>
    <x v="7"/>
    <n v="5.77327205967254E-2"/>
    <s v="Low"/>
  </r>
  <r>
    <s v="ORD100572"/>
    <d v="2025-07-24T00:00:00"/>
    <s v="Customer 140"/>
    <x v="0"/>
    <s v="Kerala"/>
    <x v="1"/>
    <s v="Storage"/>
    <x v="15"/>
    <n v="7786.98"/>
    <n v="9"/>
    <n v="0.25"/>
    <n v="1492.1"/>
    <x v="0"/>
    <x v="0"/>
    <s v="Good"/>
    <n v="865.21999999999991"/>
    <n v="45862"/>
    <x v="0"/>
    <n v="7"/>
    <x v="6"/>
    <n v="0.19161472098297413"/>
    <s v="high"/>
  </r>
  <r>
    <s v="ORD100573"/>
    <d v="2024-07-07T00:00:00"/>
    <s v="Customer 6"/>
    <x v="3"/>
    <s v="Assam"/>
    <x v="1"/>
    <s v="Chairs"/>
    <x v="4"/>
    <n v="735.29"/>
    <n v="1"/>
    <n v="0"/>
    <n v="190.92"/>
    <x v="5"/>
    <x v="0"/>
    <s v="Bad"/>
    <n v="735.29"/>
    <n v="45480"/>
    <x v="1"/>
    <n v="7"/>
    <x v="6"/>
    <n v="0.25965265405486271"/>
    <s v="No Discount"/>
  </r>
  <r>
    <s v="ORD100574"/>
    <d v="2025-03-19T00:00:00"/>
    <s v="Customer 164"/>
    <x v="2"/>
    <s v="Haryana"/>
    <x v="2"/>
    <s v="Phones"/>
    <x v="23"/>
    <n v="4776.4399999999996"/>
    <n v="4"/>
    <n v="0.05"/>
    <n v="758.17"/>
    <x v="7"/>
    <x v="1"/>
    <s v="Bad"/>
    <n v="1194.1099999999999"/>
    <n v="45735"/>
    <x v="0"/>
    <n v="3"/>
    <x v="3"/>
    <n v="0.15873118891894383"/>
    <s v="Low"/>
  </r>
  <r>
    <s v="ORD100575"/>
    <d v="2024-07-15T00:00:00"/>
    <s v="Customer 134"/>
    <x v="3"/>
    <s v="Odisha"/>
    <x v="2"/>
    <s v="Computers"/>
    <x v="26"/>
    <n v="11398.4"/>
    <n v="10"/>
    <n v="0.3"/>
    <n v="-2535.5500000000002"/>
    <x v="9"/>
    <x v="1"/>
    <s v="Good"/>
    <n v="1139.8399999999999"/>
    <n v="45488"/>
    <x v="1"/>
    <n v="7"/>
    <x v="6"/>
    <n v="-0.2224478874227962"/>
    <s v="high"/>
  </r>
  <r>
    <s v="ORD100576"/>
    <d v="2024-10-11T00:00:00"/>
    <s v="Customer 152"/>
    <x v="3"/>
    <s v="West Bengal"/>
    <x v="2"/>
    <s v="Phones"/>
    <x v="8"/>
    <n v="6016.02"/>
    <n v="6"/>
    <n v="0"/>
    <n v="1184.03"/>
    <x v="6"/>
    <x v="3"/>
    <s v="Bad"/>
    <n v="1002.6700000000001"/>
    <n v="45576"/>
    <x v="1"/>
    <n v="10"/>
    <x v="2"/>
    <n v="0.19681284304241009"/>
    <s v="No Discount"/>
  </r>
  <r>
    <s v="ORD100577"/>
    <d v="2024-12-15T00:00:00"/>
    <s v="Customer 61"/>
    <x v="1"/>
    <s v="Gujarat"/>
    <x v="1"/>
    <s v="Chairs"/>
    <x v="4"/>
    <n v="2420.4299999999998"/>
    <n v="3"/>
    <n v="0.05"/>
    <n v="273.44"/>
    <x v="8"/>
    <x v="0"/>
    <s v="Bad"/>
    <n v="806.81"/>
    <n v="45641"/>
    <x v="1"/>
    <n v="12"/>
    <x v="4"/>
    <n v="0.11297166206004719"/>
    <s v="Low"/>
  </r>
  <r>
    <s v="ORD100578"/>
    <d v="2025-11-09T00:00:00"/>
    <s v="Customer 165"/>
    <x v="0"/>
    <s v="Telangana"/>
    <x v="2"/>
    <s v="Phones"/>
    <x v="13"/>
    <n v="1615.76"/>
    <n v="2"/>
    <n v="0"/>
    <n v="711.25"/>
    <x v="9"/>
    <x v="2"/>
    <s v="Bad"/>
    <n v="807.88"/>
    <n v="45970"/>
    <x v="0"/>
    <n v="11"/>
    <x v="10"/>
    <n v="0.44019532603852057"/>
    <s v="No Discount"/>
  </r>
  <r>
    <s v="ORD100579"/>
    <d v="2025-04-14T00:00:00"/>
    <s v="Customer 158"/>
    <x v="2"/>
    <s v="Punjab"/>
    <x v="1"/>
    <s v="Storage"/>
    <x v="24"/>
    <n v="2312.31"/>
    <n v="3"/>
    <n v="0.25"/>
    <n v="-26.53"/>
    <x v="0"/>
    <x v="0"/>
    <s v="Bad"/>
    <n v="770.77"/>
    <n v="45761"/>
    <x v="0"/>
    <n v="4"/>
    <x v="8"/>
    <n v="-1.1473375109738747E-2"/>
    <s v="high"/>
  </r>
  <r>
    <s v="ORD100580"/>
    <d v="2024-08-04T00:00:00"/>
    <s v="Customer 189"/>
    <x v="1"/>
    <s v="Gujarat"/>
    <x v="2"/>
    <s v="Phones"/>
    <x v="23"/>
    <n v="235.8"/>
    <n v="9"/>
    <n v="0.2"/>
    <n v="-21.01"/>
    <x v="4"/>
    <x v="2"/>
    <s v="Bad"/>
    <n v="26.200000000000003"/>
    <n v="45508"/>
    <x v="1"/>
    <n v="8"/>
    <x v="11"/>
    <n v="-8.910093299406277E-2"/>
    <s v="medium"/>
  </r>
  <r>
    <s v="ORD100581"/>
    <d v="2025-09-03T00:00:00"/>
    <s v="Customer 62"/>
    <x v="3"/>
    <s v="West Bengal"/>
    <x v="0"/>
    <s v="Paper"/>
    <x v="2"/>
    <n v="1544.34"/>
    <n v="3"/>
    <n v="0"/>
    <n v="157.1"/>
    <x v="9"/>
    <x v="0"/>
    <s v="Bad"/>
    <n v="514.78"/>
    <n v="45903"/>
    <x v="0"/>
    <n v="9"/>
    <x v="5"/>
    <n v="0.10172630379320616"/>
    <s v="No Discount"/>
  </r>
  <r>
    <s v="ORD100582"/>
    <d v="2025-01-29T00:00:00"/>
    <s v="Customer 98"/>
    <x v="0"/>
    <s v="Telangana"/>
    <x v="2"/>
    <s v="Accessories"/>
    <x v="12"/>
    <n v="5492.3"/>
    <n v="10"/>
    <n v="0.15"/>
    <n v="391.49"/>
    <x v="6"/>
    <x v="0"/>
    <s v="Good"/>
    <n v="549.23"/>
    <n v="45686"/>
    <x v="0"/>
    <n v="1"/>
    <x v="0"/>
    <n v="7.1279791708391743E-2"/>
    <s v="medium"/>
  </r>
  <r>
    <s v="ORD100583"/>
    <d v="2024-07-18T00:00:00"/>
    <s v="Customer 132"/>
    <x v="0"/>
    <s v="Telangana"/>
    <x v="2"/>
    <s v="Phones"/>
    <x v="13"/>
    <n v="1119.06"/>
    <n v="6"/>
    <n v="0"/>
    <n v="190.93"/>
    <x v="2"/>
    <x v="2"/>
    <s v="Bad"/>
    <n v="186.51"/>
    <n v="45491"/>
    <x v="1"/>
    <n v="7"/>
    <x v="6"/>
    <n v="0.17061641020141907"/>
    <s v="No Discount"/>
  </r>
  <r>
    <s v="ORD100584"/>
    <d v="2024-02-05T00:00:00"/>
    <s v="Customer 11"/>
    <x v="2"/>
    <s v="Haryana"/>
    <x v="2"/>
    <s v="Accessories"/>
    <x v="12"/>
    <n v="177.39"/>
    <n v="3"/>
    <n v="0.15"/>
    <n v="20.99"/>
    <x v="5"/>
    <x v="0"/>
    <s v="Bad"/>
    <n v="59.129999999999995"/>
    <n v="45327"/>
    <x v="1"/>
    <n v="2"/>
    <x v="1"/>
    <n v="0.11832685044252776"/>
    <s v="medium"/>
  </r>
  <r>
    <s v="ORD100585"/>
    <d v="2024-08-04T00:00:00"/>
    <s v="Customer 45"/>
    <x v="2"/>
    <s v="Delhi"/>
    <x v="1"/>
    <s v="Storage"/>
    <x v="15"/>
    <n v="516.47"/>
    <n v="1"/>
    <n v="0"/>
    <n v="35.159999999999997"/>
    <x v="0"/>
    <x v="0"/>
    <s v="Bad"/>
    <n v="516.47"/>
    <n v="45508"/>
    <x v="1"/>
    <n v="8"/>
    <x v="11"/>
    <n v="6.8077526284198497E-2"/>
    <s v="No Discount"/>
  </r>
  <r>
    <s v="ORD100586"/>
    <d v="2024-05-15T00:00:00"/>
    <s v="Customer 24"/>
    <x v="3"/>
    <s v="West Bengal"/>
    <x v="0"/>
    <s v="Binders"/>
    <x v="0"/>
    <n v="3250.38"/>
    <n v="7"/>
    <n v="0.05"/>
    <n v="989.87"/>
    <x v="8"/>
    <x v="0"/>
    <s v="Bad"/>
    <n v="464.34000000000003"/>
    <n v="45427"/>
    <x v="1"/>
    <n v="5"/>
    <x v="7"/>
    <n v="0.30453977688762546"/>
    <s v="Low"/>
  </r>
  <r>
    <s v="ORD100587"/>
    <d v="2025-08-27T00:00:00"/>
    <s v="Customer 71"/>
    <x v="2"/>
    <s v="Delhi"/>
    <x v="0"/>
    <s v="Paper"/>
    <x v="21"/>
    <n v="1838.61"/>
    <n v="9"/>
    <n v="0.05"/>
    <n v="609.54999999999995"/>
    <x v="4"/>
    <x v="3"/>
    <s v="Bad"/>
    <n v="204.29"/>
    <n v="45896"/>
    <x v="0"/>
    <n v="8"/>
    <x v="11"/>
    <n v="0.33152762140965186"/>
    <s v="Low"/>
  </r>
  <r>
    <s v="ORD100588"/>
    <d v="2025-05-18T00:00:00"/>
    <s v="Customer 78"/>
    <x v="2"/>
    <s v="Haryana"/>
    <x v="1"/>
    <s v="Tables"/>
    <x v="16"/>
    <n v="4197.97"/>
    <n v="7"/>
    <n v="0.1"/>
    <n v="-159.44999999999999"/>
    <x v="1"/>
    <x v="3"/>
    <s v="Bad"/>
    <n v="599.71"/>
    <n v="45795"/>
    <x v="0"/>
    <n v="5"/>
    <x v="7"/>
    <n v="-3.7982643992215279E-2"/>
    <s v="Low"/>
  </r>
  <r>
    <s v="ORD100589"/>
    <d v="2024-08-12T00:00:00"/>
    <s v="Customer 135"/>
    <x v="3"/>
    <s v="Odisha"/>
    <x v="2"/>
    <s v="Computers"/>
    <x v="6"/>
    <n v="444.37"/>
    <n v="1"/>
    <n v="0.25"/>
    <n v="13.42"/>
    <x v="6"/>
    <x v="2"/>
    <s v="Bad"/>
    <n v="444.37"/>
    <n v="45516"/>
    <x v="1"/>
    <n v="8"/>
    <x v="11"/>
    <n v="3.0200058509800391E-2"/>
    <s v="high"/>
  </r>
  <r>
    <s v="ORD100590"/>
    <d v="2024-03-19T00:00:00"/>
    <s v="Customer 115"/>
    <x v="3"/>
    <s v="Odisha"/>
    <x v="1"/>
    <s v="Tables"/>
    <x v="16"/>
    <n v="2002.5"/>
    <n v="5"/>
    <n v="0.1"/>
    <n v="166.99"/>
    <x v="0"/>
    <x v="1"/>
    <s v="Bad"/>
    <n v="400.5"/>
    <n v="45370"/>
    <x v="1"/>
    <n v="3"/>
    <x v="3"/>
    <n v="8.3390761548064921E-2"/>
    <s v="Low"/>
  </r>
  <r>
    <s v="ORD100591"/>
    <d v="2024-07-22T00:00:00"/>
    <s v="Customer 99"/>
    <x v="2"/>
    <s v="Haryana"/>
    <x v="0"/>
    <s v="Paper"/>
    <x v="21"/>
    <n v="638.76"/>
    <n v="4"/>
    <n v="0.3"/>
    <n v="-115.34"/>
    <x v="0"/>
    <x v="1"/>
    <s v="Bad"/>
    <n v="159.69"/>
    <n v="45495"/>
    <x v="1"/>
    <n v="7"/>
    <x v="6"/>
    <n v="-0.18056860166572736"/>
    <s v="high"/>
  </r>
  <r>
    <s v="ORD100592"/>
    <d v="2024-08-02T00:00:00"/>
    <s v="Customer 188"/>
    <x v="1"/>
    <s v="Goa"/>
    <x v="1"/>
    <s v="Storage"/>
    <x v="7"/>
    <n v="5114.41"/>
    <n v="7"/>
    <n v="0.15"/>
    <n v="567.77"/>
    <x v="4"/>
    <x v="3"/>
    <s v="Bad"/>
    <n v="730.63"/>
    <n v="45506"/>
    <x v="1"/>
    <n v="8"/>
    <x v="11"/>
    <n v="0.11101378262595295"/>
    <s v="medium"/>
  </r>
  <r>
    <s v="ORD100593"/>
    <d v="2024-09-22T00:00:00"/>
    <s v="Customer 17"/>
    <x v="2"/>
    <s v="Delhi"/>
    <x v="0"/>
    <s v="Writing"/>
    <x v="1"/>
    <n v="1392.8"/>
    <n v="2"/>
    <n v="0.2"/>
    <n v="306.72000000000003"/>
    <x v="3"/>
    <x v="3"/>
    <s v="Bad"/>
    <n v="696.4"/>
    <n v="45557"/>
    <x v="1"/>
    <n v="9"/>
    <x v="5"/>
    <n v="0.22021826536473293"/>
    <s v="medium"/>
  </r>
  <r>
    <s v="ORD100594"/>
    <d v="2024-09-13T00:00:00"/>
    <s v="Customer 131"/>
    <x v="3"/>
    <s v="West Bengal"/>
    <x v="2"/>
    <s v="Accessories"/>
    <x v="12"/>
    <n v="4124.16"/>
    <n v="9"/>
    <n v="0.15"/>
    <n v="509.96"/>
    <x v="6"/>
    <x v="2"/>
    <s v="Bad"/>
    <n v="458.24"/>
    <n v="45548"/>
    <x v="1"/>
    <n v="9"/>
    <x v="5"/>
    <n v="0.12365184667908131"/>
    <s v="medium"/>
  </r>
  <r>
    <s v="ORD100595"/>
    <d v="2025-02-26T00:00:00"/>
    <s v="Customer 46"/>
    <x v="1"/>
    <s v="Goa"/>
    <x v="0"/>
    <s v="Binders"/>
    <x v="0"/>
    <n v="2343.5300000000002"/>
    <n v="7"/>
    <n v="0.25"/>
    <n v="-358.01"/>
    <x v="4"/>
    <x v="0"/>
    <s v="Bad"/>
    <n v="334.79"/>
    <n v="45714"/>
    <x v="0"/>
    <n v="2"/>
    <x v="1"/>
    <n v="-0.15276527290028288"/>
    <s v="high"/>
  </r>
  <r>
    <s v="ORD100596"/>
    <d v="2024-01-08T00:00:00"/>
    <s v="Customer 28"/>
    <x v="1"/>
    <s v="Gujarat"/>
    <x v="0"/>
    <s v="Paper"/>
    <x v="11"/>
    <n v="7065.84"/>
    <n v="8"/>
    <n v="0.05"/>
    <n v="112.31"/>
    <x v="9"/>
    <x v="2"/>
    <s v="Good"/>
    <n v="883.23"/>
    <n v="45299"/>
    <x v="1"/>
    <n v="1"/>
    <x v="0"/>
    <n v="1.5894783918118723E-2"/>
    <s v="Low"/>
  </r>
  <r>
    <s v="ORD100597"/>
    <d v="2025-05-01T00:00:00"/>
    <s v="Customer 45"/>
    <x v="3"/>
    <s v="West Bengal"/>
    <x v="2"/>
    <s v="Computers"/>
    <x v="6"/>
    <n v="2349.85"/>
    <n v="5"/>
    <n v="0.1"/>
    <n v="767"/>
    <x v="0"/>
    <x v="0"/>
    <s v="Bad"/>
    <n v="469.96999999999997"/>
    <n v="45778"/>
    <x v="0"/>
    <n v="5"/>
    <x v="7"/>
    <n v="0.32640381300934102"/>
    <s v="Low"/>
  </r>
  <r>
    <s v="ORD100598"/>
    <d v="2024-01-09T00:00:00"/>
    <s v="Customer 196"/>
    <x v="1"/>
    <s v="Rajasthan"/>
    <x v="0"/>
    <s v="Binders"/>
    <x v="25"/>
    <n v="2595.65"/>
    <n v="5"/>
    <n v="0.1"/>
    <n v="-9.84"/>
    <x v="0"/>
    <x v="2"/>
    <s v="Bad"/>
    <n v="519.13"/>
    <n v="45300"/>
    <x v="1"/>
    <n v="1"/>
    <x v="0"/>
    <n v="-3.790957948876004E-3"/>
    <s v="Low"/>
  </r>
  <r>
    <s v="ORD100599"/>
    <d v="2025-10-27T00:00:00"/>
    <s v="Customer 167"/>
    <x v="0"/>
    <s v="Karnataka"/>
    <x v="2"/>
    <s v="Accessories"/>
    <x v="12"/>
    <n v="670.55"/>
    <n v="5"/>
    <n v="0"/>
    <n v="239.03"/>
    <x v="9"/>
    <x v="0"/>
    <s v="Bad"/>
    <n v="134.10999999999999"/>
    <n v="45957"/>
    <x v="0"/>
    <n v="10"/>
    <x v="2"/>
    <n v="0.35646857057639253"/>
    <s v="No Discount"/>
  </r>
  <r>
    <s v="ORD100600"/>
    <d v="2024-07-28T00:00:00"/>
    <s v="Customer 54"/>
    <x v="0"/>
    <s v="Tamil Nadu"/>
    <x v="2"/>
    <s v="Computers"/>
    <x v="26"/>
    <n v="1326.36"/>
    <n v="7"/>
    <n v="0.3"/>
    <n v="-10.119999999999999"/>
    <x v="3"/>
    <x v="2"/>
    <s v="Bad"/>
    <n v="189.48"/>
    <n v="45501"/>
    <x v="1"/>
    <n v="7"/>
    <x v="6"/>
    <n v="-7.6299044000120633E-3"/>
    <s v="high"/>
  </r>
  <r>
    <s v="ORD100601"/>
    <d v="2024-01-16T00:00:00"/>
    <s v="Customer 149"/>
    <x v="2"/>
    <s v="Haryana"/>
    <x v="2"/>
    <s v="Accessories"/>
    <x v="20"/>
    <n v="7943.11"/>
    <n v="7"/>
    <n v="0.25"/>
    <n v="-1363.76"/>
    <x v="3"/>
    <x v="1"/>
    <s v="Bad"/>
    <n v="1134.73"/>
    <n v="45307"/>
    <x v="1"/>
    <n v="1"/>
    <x v="0"/>
    <n v="-0.17169093717699996"/>
    <s v="high"/>
  </r>
  <r>
    <s v="ORD100602"/>
    <d v="2024-03-05T00:00:00"/>
    <s v="Customer 78"/>
    <x v="3"/>
    <s v="Odisha"/>
    <x v="1"/>
    <s v="Storage"/>
    <x v="24"/>
    <n v="5981.34"/>
    <n v="6"/>
    <n v="0.2"/>
    <n v="467.52"/>
    <x v="1"/>
    <x v="0"/>
    <s v="Bad"/>
    <n v="996.89"/>
    <n v="45356"/>
    <x v="1"/>
    <n v="3"/>
    <x v="3"/>
    <n v="7.8163087201195719E-2"/>
    <s v="medium"/>
  </r>
  <r>
    <s v="ORD100603"/>
    <d v="2024-01-08T00:00:00"/>
    <s v="Customer 3"/>
    <x v="2"/>
    <s v="Punjab"/>
    <x v="2"/>
    <s v="Phones"/>
    <x v="13"/>
    <n v="209.72"/>
    <n v="2"/>
    <n v="0.05"/>
    <n v="4.6900000000000004"/>
    <x v="4"/>
    <x v="0"/>
    <s v="Bad"/>
    <n v="104.86"/>
    <n v="45299"/>
    <x v="1"/>
    <n v="1"/>
    <x v="0"/>
    <n v="2.2363150867823766E-2"/>
    <s v="Low"/>
  </r>
  <r>
    <s v="ORD100604"/>
    <d v="2025-03-02T00:00:00"/>
    <s v="Customer 2"/>
    <x v="2"/>
    <s v="Haryana"/>
    <x v="1"/>
    <s v="Tables"/>
    <x v="9"/>
    <n v="1101.76"/>
    <n v="2"/>
    <n v="0.25"/>
    <n v="35.380000000000003"/>
    <x v="8"/>
    <x v="0"/>
    <s v="Bad"/>
    <n v="550.88"/>
    <n v="45718"/>
    <x v="0"/>
    <n v="3"/>
    <x v="3"/>
    <n v="3.2112256752831837E-2"/>
    <s v="high"/>
  </r>
  <r>
    <s v="ORD100605"/>
    <d v="2024-10-15T00:00:00"/>
    <s v="Customer 196"/>
    <x v="2"/>
    <s v="Delhi"/>
    <x v="2"/>
    <s v="Accessories"/>
    <x v="20"/>
    <n v="424.4"/>
    <n v="5"/>
    <n v="0.15"/>
    <n v="91.88"/>
    <x v="2"/>
    <x v="3"/>
    <s v="Bad"/>
    <n v="84.88"/>
    <n v="45580"/>
    <x v="1"/>
    <n v="10"/>
    <x v="2"/>
    <n v="0.21649387370405279"/>
    <s v="medium"/>
  </r>
  <r>
    <s v="ORD100606"/>
    <d v="2025-04-09T00:00:00"/>
    <s v="Customer 9"/>
    <x v="3"/>
    <s v="West Bengal"/>
    <x v="1"/>
    <s v="Storage"/>
    <x v="15"/>
    <n v="124.72"/>
    <n v="4"/>
    <n v="0.15"/>
    <n v="-3.76"/>
    <x v="0"/>
    <x v="0"/>
    <s v="Bad"/>
    <n v="31.18"/>
    <n v="45756"/>
    <x v="0"/>
    <n v="4"/>
    <x v="8"/>
    <n v="-3.0147530468248876E-2"/>
    <s v="medium"/>
  </r>
  <r>
    <s v="ORD100607"/>
    <d v="2024-08-15T00:00:00"/>
    <s v="Customer 57"/>
    <x v="2"/>
    <s v="Delhi"/>
    <x v="0"/>
    <s v="Binders"/>
    <x v="25"/>
    <n v="638.91"/>
    <n v="3"/>
    <n v="0.15"/>
    <n v="124.97"/>
    <x v="1"/>
    <x v="2"/>
    <s v="Bad"/>
    <n v="212.97"/>
    <n v="45519"/>
    <x v="1"/>
    <n v="8"/>
    <x v="11"/>
    <n v="0.19559875412812447"/>
    <s v="medium"/>
  </r>
  <r>
    <s v="ORD100608"/>
    <d v="2024-05-29T00:00:00"/>
    <s v="Customer 164"/>
    <x v="3"/>
    <s v="Odisha"/>
    <x v="1"/>
    <s v="Chairs"/>
    <x v="4"/>
    <n v="121.08"/>
    <n v="4"/>
    <n v="0.2"/>
    <n v="6.65"/>
    <x v="3"/>
    <x v="3"/>
    <s v="Bad"/>
    <n v="30.27"/>
    <n v="45441"/>
    <x v="1"/>
    <n v="5"/>
    <x v="7"/>
    <n v="5.4922365378262311E-2"/>
    <s v="medium"/>
  </r>
  <r>
    <s v="ORD100609"/>
    <d v="2024-12-29T00:00:00"/>
    <s v="Customer 37"/>
    <x v="3"/>
    <s v="Odisha"/>
    <x v="1"/>
    <s v="Chairs"/>
    <x v="4"/>
    <n v="3495.92"/>
    <n v="4"/>
    <n v="0.3"/>
    <n v="-379.17"/>
    <x v="9"/>
    <x v="3"/>
    <s v="Bad"/>
    <n v="873.98"/>
    <n v="45655"/>
    <x v="1"/>
    <n v="12"/>
    <x v="4"/>
    <n v="-0.10846071992494108"/>
    <s v="high"/>
  </r>
  <r>
    <s v="ORD100610"/>
    <d v="2024-08-10T00:00:00"/>
    <s v="Customer 90"/>
    <x v="0"/>
    <s v="Karnataka"/>
    <x v="0"/>
    <s v="Paper"/>
    <x v="11"/>
    <n v="5155.3"/>
    <n v="10"/>
    <n v="0.25"/>
    <n v="-942.51"/>
    <x v="1"/>
    <x v="0"/>
    <s v="Good"/>
    <n v="515.53"/>
    <n v="45514"/>
    <x v="1"/>
    <n v="8"/>
    <x v="11"/>
    <n v="-0.18282350202704012"/>
    <s v="high"/>
  </r>
  <r>
    <s v="ORD100611"/>
    <d v="2025-07-24T00:00:00"/>
    <s v="Customer 142"/>
    <x v="1"/>
    <s v="Rajasthan"/>
    <x v="2"/>
    <s v="Phones"/>
    <x v="8"/>
    <n v="4143.5600000000004"/>
    <n v="4"/>
    <n v="0.2"/>
    <n v="63.35"/>
    <x v="4"/>
    <x v="3"/>
    <s v="Bad"/>
    <n v="1035.8900000000001"/>
    <n v="45862"/>
    <x v="0"/>
    <n v="7"/>
    <x v="6"/>
    <n v="1.5288785488806725E-2"/>
    <s v="medium"/>
  </r>
  <r>
    <s v="ORD100612"/>
    <d v="2025-12-01T00:00:00"/>
    <s v="Customer 148"/>
    <x v="2"/>
    <s v="Haryana"/>
    <x v="1"/>
    <s v="Storage"/>
    <x v="15"/>
    <n v="8462.8799999999992"/>
    <n v="9"/>
    <n v="0.05"/>
    <n v="2387.1999999999998"/>
    <x v="6"/>
    <x v="3"/>
    <s v="Good"/>
    <n v="940.31999999999994"/>
    <n v="45992"/>
    <x v="0"/>
    <n v="12"/>
    <x v="4"/>
    <n v="0.28207891403399316"/>
    <s v="Low"/>
  </r>
  <r>
    <s v="ORD100613"/>
    <d v="2024-12-20T00:00:00"/>
    <s v="Customer 115"/>
    <x v="3"/>
    <s v="Assam"/>
    <x v="1"/>
    <s v="Tables"/>
    <x v="9"/>
    <n v="708.66"/>
    <n v="3"/>
    <n v="0.15"/>
    <n v="108.53"/>
    <x v="6"/>
    <x v="2"/>
    <s v="Bad"/>
    <n v="236.22"/>
    <n v="45646"/>
    <x v="1"/>
    <n v="12"/>
    <x v="4"/>
    <n v="0.15314819518527928"/>
    <s v="medium"/>
  </r>
  <r>
    <s v="ORD100614"/>
    <d v="2025-03-21T00:00:00"/>
    <s v="Customer 139"/>
    <x v="3"/>
    <s v="Odisha"/>
    <x v="0"/>
    <s v="Writing"/>
    <x v="3"/>
    <n v="6601.5"/>
    <n v="10"/>
    <n v="0.1"/>
    <n v="1066.8499999999999"/>
    <x v="8"/>
    <x v="1"/>
    <s v="Good"/>
    <n v="660.15"/>
    <n v="45737"/>
    <x v="0"/>
    <n v="3"/>
    <x v="3"/>
    <n v="0.1616072104824661"/>
    <s v="Low"/>
  </r>
  <r>
    <s v="ORD100615"/>
    <d v="2025-05-23T00:00:00"/>
    <s v="Customer 167"/>
    <x v="1"/>
    <s v="Maharashtra"/>
    <x v="2"/>
    <s v="Phones"/>
    <x v="13"/>
    <n v="3207.42"/>
    <n v="6"/>
    <n v="0.15"/>
    <n v="-100.21"/>
    <x v="5"/>
    <x v="1"/>
    <s v="Bad"/>
    <n v="534.57000000000005"/>
    <n v="45800"/>
    <x v="0"/>
    <n v="5"/>
    <x v="7"/>
    <n v="-3.124317987666099E-2"/>
    <s v="medium"/>
  </r>
  <r>
    <s v="ORD100616"/>
    <d v="2025-03-23T00:00:00"/>
    <s v="Customer 23"/>
    <x v="0"/>
    <s v="Telangana"/>
    <x v="2"/>
    <s v="Phones"/>
    <x v="8"/>
    <n v="477.98"/>
    <n v="2"/>
    <n v="0.3"/>
    <n v="-27.44"/>
    <x v="8"/>
    <x v="3"/>
    <s v="Bad"/>
    <n v="238.99"/>
    <n v="45739"/>
    <x v="0"/>
    <n v="3"/>
    <x v="3"/>
    <n v="-5.740825975982259E-2"/>
    <s v="high"/>
  </r>
  <r>
    <s v="ORD100617"/>
    <d v="2024-01-10T00:00:00"/>
    <s v="Customer 23"/>
    <x v="0"/>
    <s v="Karnataka"/>
    <x v="1"/>
    <s v="Storage"/>
    <x v="24"/>
    <n v="8957.52"/>
    <n v="9"/>
    <n v="0.05"/>
    <n v="2687.85"/>
    <x v="2"/>
    <x v="0"/>
    <s v="Good"/>
    <n v="995.28000000000009"/>
    <n v="45301"/>
    <x v="1"/>
    <n v="1"/>
    <x v="0"/>
    <n v="0.30006631299734743"/>
    <s v="Low"/>
  </r>
  <r>
    <s v="ORD100618"/>
    <d v="2024-07-03T00:00:00"/>
    <s v="Customer 173"/>
    <x v="1"/>
    <s v="Maharashtra"/>
    <x v="2"/>
    <s v="Computers"/>
    <x v="10"/>
    <n v="234.84"/>
    <n v="6"/>
    <n v="0.1"/>
    <n v="20.02"/>
    <x v="3"/>
    <x v="3"/>
    <s v="Bad"/>
    <n v="39.14"/>
    <n v="45476"/>
    <x v="1"/>
    <n v="7"/>
    <x v="6"/>
    <n v="8.5249531595980241E-2"/>
    <s v="Low"/>
  </r>
  <r>
    <s v="ORD100619"/>
    <d v="2025-08-07T00:00:00"/>
    <s v="Customer 80"/>
    <x v="2"/>
    <s v="Haryana"/>
    <x v="2"/>
    <s v="Phones"/>
    <x v="23"/>
    <n v="1061.58"/>
    <n v="6"/>
    <n v="0.25"/>
    <n v="-95.35"/>
    <x v="7"/>
    <x v="1"/>
    <s v="Bad"/>
    <n v="176.92999999999998"/>
    <n v="45876"/>
    <x v="0"/>
    <n v="8"/>
    <x v="11"/>
    <n v="-8.9818949113585414E-2"/>
    <s v="high"/>
  </r>
  <r>
    <s v="ORD100620"/>
    <d v="2024-04-29T00:00:00"/>
    <s v="Customer 154"/>
    <x v="2"/>
    <s v="Delhi"/>
    <x v="2"/>
    <s v="Computers"/>
    <x v="10"/>
    <n v="1102.8499999999999"/>
    <n v="7"/>
    <n v="0"/>
    <n v="490.92"/>
    <x v="8"/>
    <x v="2"/>
    <s v="Bad"/>
    <n v="157.54999999999998"/>
    <n v="45411"/>
    <x v="1"/>
    <n v="4"/>
    <x v="8"/>
    <n v="0.44513759804143815"/>
    <s v="No Discount"/>
  </r>
  <r>
    <s v="ORD100621"/>
    <d v="2025-07-20T00:00:00"/>
    <s v="Customer 37"/>
    <x v="0"/>
    <s v="Telangana"/>
    <x v="1"/>
    <s v="Chairs"/>
    <x v="14"/>
    <n v="628.94000000000005"/>
    <n v="1"/>
    <n v="0.25"/>
    <n v="-59.35"/>
    <x v="8"/>
    <x v="2"/>
    <s v="Bad"/>
    <n v="628.94000000000005"/>
    <n v="45858"/>
    <x v="0"/>
    <n v="7"/>
    <x v="6"/>
    <n v="-9.4365122269214868E-2"/>
    <s v="high"/>
  </r>
  <r>
    <s v="ORD100622"/>
    <d v="2024-11-17T00:00:00"/>
    <s v="Customer 126"/>
    <x v="3"/>
    <s v="Odisha"/>
    <x v="2"/>
    <s v="Computers"/>
    <x v="6"/>
    <n v="5274.08"/>
    <n v="7"/>
    <n v="0.2"/>
    <n v="786.64"/>
    <x v="6"/>
    <x v="0"/>
    <s v="Bad"/>
    <n v="753.43999999999994"/>
    <n v="45613"/>
    <x v="1"/>
    <n v="11"/>
    <x v="10"/>
    <n v="0.14915207960440494"/>
    <s v="medium"/>
  </r>
  <r>
    <s v="ORD100623"/>
    <d v="2025-10-18T00:00:00"/>
    <s v="Customer 131"/>
    <x v="0"/>
    <s v="Kerala"/>
    <x v="1"/>
    <s v="Tables"/>
    <x v="17"/>
    <n v="3317.4"/>
    <n v="5"/>
    <n v="0.3"/>
    <n v="-370.43"/>
    <x v="5"/>
    <x v="2"/>
    <s v="Bad"/>
    <n v="663.48"/>
    <n v="45948"/>
    <x v="0"/>
    <n v="10"/>
    <x v="2"/>
    <n v="-0.11166274793512992"/>
    <s v="high"/>
  </r>
  <r>
    <s v="ORD100624"/>
    <d v="2024-04-03T00:00:00"/>
    <s v="Customer 60"/>
    <x v="1"/>
    <s v="Rajasthan"/>
    <x v="2"/>
    <s v="Accessories"/>
    <x v="18"/>
    <n v="8726.58"/>
    <n v="9"/>
    <n v="0.3"/>
    <n v="-1012.32"/>
    <x v="6"/>
    <x v="1"/>
    <s v="Good"/>
    <n v="969.62"/>
    <n v="45385"/>
    <x v="1"/>
    <n v="4"/>
    <x v="8"/>
    <n v="-0.11600420783399683"/>
    <s v="high"/>
  </r>
  <r>
    <s v="ORD100625"/>
    <d v="2025-03-25T00:00:00"/>
    <s v="Customer 43"/>
    <x v="1"/>
    <s v="Gujarat"/>
    <x v="0"/>
    <s v="Binders"/>
    <x v="0"/>
    <n v="401.73"/>
    <n v="1"/>
    <n v="0.15"/>
    <n v="-7.94"/>
    <x v="0"/>
    <x v="1"/>
    <s v="Bad"/>
    <n v="401.73"/>
    <n v="45741"/>
    <x v="0"/>
    <n v="3"/>
    <x v="3"/>
    <n v="-1.9764518457670573E-2"/>
    <s v="medium"/>
  </r>
  <r>
    <s v="ORD100626"/>
    <d v="2025-08-22T00:00:00"/>
    <s v="Customer 92"/>
    <x v="0"/>
    <s v="Kerala"/>
    <x v="2"/>
    <s v="Computers"/>
    <x v="6"/>
    <n v="919.94"/>
    <n v="7"/>
    <n v="0.1"/>
    <n v="69.42"/>
    <x v="3"/>
    <x v="0"/>
    <s v="Bad"/>
    <n v="131.42000000000002"/>
    <n v="45891"/>
    <x v="0"/>
    <n v="8"/>
    <x v="11"/>
    <n v="7.5461443137595924E-2"/>
    <s v="Low"/>
  </r>
  <r>
    <s v="ORD100627"/>
    <d v="2025-04-07T00:00:00"/>
    <s v="Customer 49"/>
    <x v="3"/>
    <s v="Assam"/>
    <x v="1"/>
    <s v="Tables"/>
    <x v="17"/>
    <n v="11195.2"/>
    <n v="10"/>
    <n v="0.2"/>
    <n v="-778.78"/>
    <x v="8"/>
    <x v="0"/>
    <s v="Good"/>
    <n v="1119.52"/>
    <n v="45754"/>
    <x v="0"/>
    <n v="4"/>
    <x v="8"/>
    <n v="-6.9563741603544366E-2"/>
    <s v="medium"/>
  </r>
  <r>
    <s v="ORD100628"/>
    <d v="2024-10-01T00:00:00"/>
    <s v="Customer 136"/>
    <x v="2"/>
    <s v="Haryana"/>
    <x v="0"/>
    <s v="Binders"/>
    <x v="25"/>
    <n v="4920.03"/>
    <n v="9"/>
    <n v="0.25"/>
    <n v="357.74"/>
    <x v="9"/>
    <x v="0"/>
    <s v="Bad"/>
    <n v="546.66999999999996"/>
    <n v="45566"/>
    <x v="1"/>
    <n v="10"/>
    <x v="2"/>
    <n v="7.2710938754438501E-2"/>
    <s v="high"/>
  </r>
  <r>
    <s v="ORD100629"/>
    <d v="2024-11-24T00:00:00"/>
    <s v="Customer 83"/>
    <x v="2"/>
    <s v="Uttarakhand"/>
    <x v="2"/>
    <s v="Computers"/>
    <x v="6"/>
    <n v="9882.18"/>
    <n v="9"/>
    <n v="0.2"/>
    <n v="-637.38"/>
    <x v="6"/>
    <x v="0"/>
    <s v="Good"/>
    <n v="1098.02"/>
    <n v="45620"/>
    <x v="1"/>
    <n v="11"/>
    <x v="10"/>
    <n v="-6.4497914427788197E-2"/>
    <s v="medium"/>
  </r>
  <r>
    <s v="ORD100630"/>
    <d v="2025-10-25T00:00:00"/>
    <s v="Customer 92"/>
    <x v="2"/>
    <s v="Punjab"/>
    <x v="2"/>
    <s v="Computers"/>
    <x v="26"/>
    <n v="286.83999999999997"/>
    <n v="4"/>
    <n v="0.15"/>
    <n v="45.37"/>
    <x v="4"/>
    <x v="0"/>
    <s v="Bad"/>
    <n v="71.709999999999994"/>
    <n v="45955"/>
    <x v="0"/>
    <n v="10"/>
    <x v="2"/>
    <n v="0.15817180309580253"/>
    <s v="medium"/>
  </r>
  <r>
    <s v="ORD100631"/>
    <d v="2024-10-02T00:00:00"/>
    <s v="Customer 101"/>
    <x v="2"/>
    <s v="Haryana"/>
    <x v="0"/>
    <s v="Paper"/>
    <x v="11"/>
    <n v="8572.23"/>
    <n v="9"/>
    <n v="0.1"/>
    <n v="443.72"/>
    <x v="1"/>
    <x v="1"/>
    <s v="Good"/>
    <n v="952.46999999999991"/>
    <n v="45567"/>
    <x v="1"/>
    <n v="10"/>
    <x v="2"/>
    <n v="5.1762493540187332E-2"/>
    <s v="Low"/>
  </r>
  <r>
    <s v="ORD100632"/>
    <d v="2025-01-09T00:00:00"/>
    <s v="Customer 8"/>
    <x v="0"/>
    <s v="Tamil Nadu"/>
    <x v="0"/>
    <s v="Paper"/>
    <x v="2"/>
    <n v="4252.59"/>
    <n v="9"/>
    <n v="0.25"/>
    <n v="828.49"/>
    <x v="2"/>
    <x v="3"/>
    <s v="Bad"/>
    <n v="472.51"/>
    <n v="45666"/>
    <x v="0"/>
    <n v="1"/>
    <x v="0"/>
    <n v="0.19482009786976878"/>
    <s v="high"/>
  </r>
  <r>
    <s v="ORD100633"/>
    <d v="2024-06-06T00:00:00"/>
    <s v="Customer 24"/>
    <x v="1"/>
    <s v="Maharashtra"/>
    <x v="0"/>
    <s v="Paper"/>
    <x v="21"/>
    <n v="4932"/>
    <n v="5"/>
    <n v="0.25"/>
    <n v="-299.17"/>
    <x v="7"/>
    <x v="0"/>
    <s v="Bad"/>
    <n v="986.4"/>
    <n v="45449"/>
    <x v="1"/>
    <n v="6"/>
    <x v="9"/>
    <n v="-6.0658961881589625E-2"/>
    <s v="high"/>
  </r>
  <r>
    <s v="ORD100634"/>
    <d v="2024-01-09T00:00:00"/>
    <s v="Customer 81"/>
    <x v="0"/>
    <s v="Telangana"/>
    <x v="1"/>
    <s v="Tables"/>
    <x v="9"/>
    <n v="4775.26"/>
    <n v="7"/>
    <n v="0.1"/>
    <n v="988.97"/>
    <x v="0"/>
    <x v="2"/>
    <s v="Bad"/>
    <n v="682.18000000000006"/>
    <n v="45300"/>
    <x v="1"/>
    <n v="1"/>
    <x v="0"/>
    <n v="0.20710285932074901"/>
    <s v="Low"/>
  </r>
  <r>
    <s v="ORD100635"/>
    <d v="2025-12-19T00:00:00"/>
    <s v="Customer 9"/>
    <x v="2"/>
    <s v="Punjab"/>
    <x v="0"/>
    <s v="Binders"/>
    <x v="25"/>
    <n v="6775.28"/>
    <n v="8"/>
    <n v="0.05"/>
    <n v="2213.81"/>
    <x v="9"/>
    <x v="0"/>
    <s v="Good"/>
    <n v="846.91"/>
    <n v="46010"/>
    <x v="0"/>
    <n v="12"/>
    <x v="4"/>
    <n v="0.32674811963490807"/>
    <s v="Low"/>
  </r>
  <r>
    <s v="ORD100636"/>
    <d v="2025-06-27T00:00:00"/>
    <s v="Customer 168"/>
    <x v="3"/>
    <s v="Assam"/>
    <x v="2"/>
    <s v="Accessories"/>
    <x v="12"/>
    <n v="11325.1"/>
    <n v="10"/>
    <n v="0.25"/>
    <n v="775.22"/>
    <x v="0"/>
    <x v="1"/>
    <s v="Good"/>
    <n v="1132.51"/>
    <n v="45835"/>
    <x v="0"/>
    <n v="6"/>
    <x v="9"/>
    <n v="6.8451492702051198E-2"/>
    <s v="high"/>
  </r>
  <r>
    <s v="ORD100637"/>
    <d v="2024-12-31T00:00:00"/>
    <s v="Customer 104"/>
    <x v="3"/>
    <s v="West Bengal"/>
    <x v="0"/>
    <s v="Binders"/>
    <x v="22"/>
    <n v="4778.3599999999997"/>
    <n v="4"/>
    <n v="0.25"/>
    <n v="939.71"/>
    <x v="7"/>
    <x v="2"/>
    <s v="Bad"/>
    <n v="1194.5899999999999"/>
    <n v="45657"/>
    <x v="1"/>
    <n v="12"/>
    <x v="4"/>
    <n v="0.19665952335110792"/>
    <s v="high"/>
  </r>
  <r>
    <s v="ORD100638"/>
    <d v="2024-12-24T00:00:00"/>
    <s v="Customer 8"/>
    <x v="3"/>
    <s v="Odisha"/>
    <x v="0"/>
    <s v="Paper"/>
    <x v="11"/>
    <n v="3493.44"/>
    <n v="3"/>
    <n v="0.25"/>
    <n v="-384.47"/>
    <x v="5"/>
    <x v="2"/>
    <s v="Bad"/>
    <n v="1164.48"/>
    <n v="45650"/>
    <x v="1"/>
    <n v="12"/>
    <x v="4"/>
    <n v="-0.11005484565356784"/>
    <s v="high"/>
  </r>
  <r>
    <s v="ORD100639"/>
    <d v="2025-12-17T00:00:00"/>
    <s v="Customer 99"/>
    <x v="3"/>
    <s v="Odisha"/>
    <x v="0"/>
    <s v="Paper"/>
    <x v="21"/>
    <n v="528.78"/>
    <n v="3"/>
    <n v="0.2"/>
    <n v="77.349999999999994"/>
    <x v="3"/>
    <x v="3"/>
    <s v="Bad"/>
    <n v="176.26"/>
    <n v="46008"/>
    <x v="0"/>
    <n v="12"/>
    <x v="4"/>
    <n v="0.1462801164945724"/>
    <s v="medium"/>
  </r>
  <r>
    <s v="ORD100640"/>
    <d v="2024-05-04T00:00:00"/>
    <s v="Customer 38"/>
    <x v="1"/>
    <s v="Gujarat"/>
    <x v="2"/>
    <s v="Phones"/>
    <x v="13"/>
    <n v="5847.8"/>
    <n v="5"/>
    <n v="0.1"/>
    <n v="1776.8"/>
    <x v="5"/>
    <x v="2"/>
    <s v="Bad"/>
    <n v="1169.56"/>
    <n v="45416"/>
    <x v="1"/>
    <n v="5"/>
    <x v="7"/>
    <n v="0.30384076062792842"/>
    <s v="Low"/>
  </r>
  <r>
    <s v="ORD100641"/>
    <d v="2025-04-03T00:00:00"/>
    <s v="Customer 135"/>
    <x v="0"/>
    <s v="Karnataka"/>
    <x v="1"/>
    <s v="Tables"/>
    <x v="9"/>
    <n v="3363.81"/>
    <n v="3"/>
    <n v="0.25"/>
    <n v="500.79"/>
    <x v="4"/>
    <x v="2"/>
    <s v="Bad"/>
    <n v="1121.27"/>
    <n v="45750"/>
    <x v="0"/>
    <n v="4"/>
    <x v="8"/>
    <n v="0.14887582830183632"/>
    <s v="high"/>
  </r>
  <r>
    <s v="ORD100642"/>
    <d v="2025-08-05T00:00:00"/>
    <s v="Customer 73"/>
    <x v="0"/>
    <s v="Karnataka"/>
    <x v="2"/>
    <s v="Phones"/>
    <x v="13"/>
    <n v="6961.52"/>
    <n v="8"/>
    <n v="0.15"/>
    <n v="2065.69"/>
    <x v="5"/>
    <x v="0"/>
    <s v="Good"/>
    <n v="870.19"/>
    <n v="45874"/>
    <x v="0"/>
    <n v="8"/>
    <x v="11"/>
    <n v="0.29672973718383339"/>
    <s v="medium"/>
  </r>
  <r>
    <s v="ORD100643"/>
    <d v="2025-04-08T00:00:00"/>
    <s v="Customer 177"/>
    <x v="2"/>
    <s v="Punjab"/>
    <x v="2"/>
    <s v="Computers"/>
    <x v="10"/>
    <n v="10626.6"/>
    <n v="10"/>
    <n v="0.3"/>
    <n v="-297.55"/>
    <x v="8"/>
    <x v="2"/>
    <s v="Good"/>
    <n v="1062.6600000000001"/>
    <n v="45755"/>
    <x v="0"/>
    <n v="4"/>
    <x v="8"/>
    <n v="-2.800048933807615E-2"/>
    <s v="high"/>
  </r>
  <r>
    <s v="ORD100644"/>
    <d v="2024-03-07T00:00:00"/>
    <s v="Customer 115"/>
    <x v="1"/>
    <s v="Rajasthan"/>
    <x v="2"/>
    <s v="Phones"/>
    <x v="23"/>
    <n v="2613.48"/>
    <n v="3"/>
    <n v="0.1"/>
    <n v="245.82"/>
    <x v="6"/>
    <x v="3"/>
    <s v="Bad"/>
    <n v="871.16"/>
    <n v="45358"/>
    <x v="1"/>
    <n v="3"/>
    <x v="3"/>
    <n v="9.4058496717020976E-2"/>
    <s v="Low"/>
  </r>
  <r>
    <s v="ORD100645"/>
    <d v="2024-10-21T00:00:00"/>
    <s v="Customer 75"/>
    <x v="0"/>
    <s v="Telangana"/>
    <x v="2"/>
    <s v="Computers"/>
    <x v="26"/>
    <n v="892.48"/>
    <n v="2"/>
    <n v="0.05"/>
    <n v="120.83"/>
    <x v="5"/>
    <x v="1"/>
    <s v="Bad"/>
    <n v="446.24"/>
    <n v="45586"/>
    <x v="1"/>
    <n v="10"/>
    <x v="2"/>
    <n v="0.13538678737898888"/>
    <s v="Low"/>
  </r>
  <r>
    <s v="ORD100646"/>
    <d v="2024-07-12T00:00:00"/>
    <s v="Customer 91"/>
    <x v="3"/>
    <s v="Assam"/>
    <x v="0"/>
    <s v="Binders"/>
    <x v="0"/>
    <n v="3232.2"/>
    <n v="3"/>
    <n v="0.05"/>
    <n v="844.98"/>
    <x v="0"/>
    <x v="0"/>
    <s v="Bad"/>
    <n v="1077.3999999999999"/>
    <n v="45485"/>
    <x v="1"/>
    <n v="7"/>
    <x v="6"/>
    <n v="0.26142565435307225"/>
    <s v="Low"/>
  </r>
  <r>
    <s v="ORD100647"/>
    <d v="2025-02-18T00:00:00"/>
    <s v="Customer 17"/>
    <x v="0"/>
    <s v="Telangana"/>
    <x v="1"/>
    <s v="Storage"/>
    <x v="24"/>
    <n v="2752.44"/>
    <n v="4"/>
    <n v="0.15"/>
    <n v="-271.36"/>
    <x v="6"/>
    <x v="3"/>
    <s v="Bad"/>
    <n v="688.11"/>
    <n v="45706"/>
    <x v="0"/>
    <n v="2"/>
    <x v="1"/>
    <n v="-9.8588888404470221E-2"/>
    <s v="medium"/>
  </r>
  <r>
    <s v="ORD100648"/>
    <d v="2024-08-20T00:00:00"/>
    <s v="Customer 136"/>
    <x v="2"/>
    <s v="Uttarakhand"/>
    <x v="0"/>
    <s v="Paper"/>
    <x v="11"/>
    <n v="7049.34"/>
    <n v="6"/>
    <n v="0.2"/>
    <n v="1539.25"/>
    <x v="1"/>
    <x v="2"/>
    <s v="Bad"/>
    <n v="1174.8900000000001"/>
    <n v="45524"/>
    <x v="1"/>
    <n v="8"/>
    <x v="11"/>
    <n v="0.21835377496332989"/>
    <s v="medium"/>
  </r>
  <r>
    <s v="ORD100649"/>
    <d v="2025-02-19T00:00:00"/>
    <s v="Customer 13"/>
    <x v="0"/>
    <s v="Karnataka"/>
    <x v="0"/>
    <s v="Writing"/>
    <x v="1"/>
    <n v="3526.02"/>
    <n v="9"/>
    <n v="0.2"/>
    <n v="236.86"/>
    <x v="7"/>
    <x v="3"/>
    <s v="Bad"/>
    <n v="391.78"/>
    <n v="45707"/>
    <x v="0"/>
    <n v="2"/>
    <x v="1"/>
    <n v="6.7174888401086777E-2"/>
    <s v="medium"/>
  </r>
  <r>
    <s v="ORD100650"/>
    <d v="2024-07-14T00:00:00"/>
    <s v="Customer 105"/>
    <x v="1"/>
    <s v="Gujarat"/>
    <x v="1"/>
    <s v="Storage"/>
    <x v="24"/>
    <n v="260.01"/>
    <n v="9"/>
    <n v="0"/>
    <n v="68.900000000000006"/>
    <x v="6"/>
    <x v="2"/>
    <s v="Bad"/>
    <n v="28.89"/>
    <n v="45487"/>
    <x v="1"/>
    <n v="7"/>
    <x v="6"/>
    <n v="0.2649898080843045"/>
    <s v="No Discount"/>
  </r>
  <r>
    <s v="ORD100651"/>
    <d v="2024-07-14T00:00:00"/>
    <s v="Customer 1"/>
    <x v="0"/>
    <s v="Karnataka"/>
    <x v="1"/>
    <s v="Chairs"/>
    <x v="14"/>
    <n v="817.08"/>
    <n v="4"/>
    <n v="0.2"/>
    <n v="-106.36"/>
    <x v="1"/>
    <x v="1"/>
    <s v="Bad"/>
    <n v="204.27"/>
    <n v="45487"/>
    <x v="1"/>
    <n v="7"/>
    <x v="6"/>
    <n v="-0.13017085230332404"/>
    <s v="medium"/>
  </r>
  <r>
    <s v="ORD100652"/>
    <d v="2024-07-01T00:00:00"/>
    <s v="Customer 57"/>
    <x v="3"/>
    <s v="Odisha"/>
    <x v="0"/>
    <s v="Binders"/>
    <x v="22"/>
    <n v="5958.7"/>
    <n v="5"/>
    <n v="0"/>
    <n v="1683.94"/>
    <x v="7"/>
    <x v="0"/>
    <s v="Bad"/>
    <n v="1191.74"/>
    <n v="45474"/>
    <x v="1"/>
    <n v="7"/>
    <x v="6"/>
    <n v="0.28260190981254302"/>
    <s v="No Discount"/>
  </r>
  <r>
    <s v="ORD100653"/>
    <d v="2025-11-29T00:00:00"/>
    <s v="Customer 29"/>
    <x v="0"/>
    <s v="Tamil Nadu"/>
    <x v="1"/>
    <s v="Storage"/>
    <x v="24"/>
    <n v="4756.8"/>
    <n v="10"/>
    <n v="0.05"/>
    <n v="1652.38"/>
    <x v="3"/>
    <x v="3"/>
    <s v="Bad"/>
    <n v="475.68"/>
    <n v="45990"/>
    <x v="0"/>
    <n v="11"/>
    <x v="10"/>
    <n v="0.34737218298015471"/>
    <s v="Low"/>
  </r>
  <r>
    <s v="ORD100654"/>
    <d v="2025-04-23T00:00:00"/>
    <s v="Customer 68"/>
    <x v="0"/>
    <s v="Telangana"/>
    <x v="0"/>
    <s v="Binders"/>
    <x v="0"/>
    <n v="2476.1999999999998"/>
    <n v="4"/>
    <n v="0.15"/>
    <n v="508.1"/>
    <x v="9"/>
    <x v="1"/>
    <s v="Bad"/>
    <n v="619.04999999999995"/>
    <n v="45770"/>
    <x v="0"/>
    <n v="4"/>
    <x v="8"/>
    <n v="0.20519344156368632"/>
    <s v="medium"/>
  </r>
  <r>
    <s v="ORD100655"/>
    <d v="2025-01-30T00:00:00"/>
    <s v="Customer 126"/>
    <x v="3"/>
    <s v="Assam"/>
    <x v="1"/>
    <s v="Storage"/>
    <x v="24"/>
    <n v="8951.1299999999992"/>
    <n v="9"/>
    <n v="0.2"/>
    <n v="1737.78"/>
    <x v="9"/>
    <x v="2"/>
    <s v="Good"/>
    <n v="994.56999999999994"/>
    <n v="45687"/>
    <x v="0"/>
    <n v="1"/>
    <x v="0"/>
    <n v="0.19414085149025878"/>
    <s v="medium"/>
  </r>
  <r>
    <s v="ORD100656"/>
    <d v="2024-09-03T00:00:00"/>
    <s v="Customer 10"/>
    <x v="2"/>
    <s v="Punjab"/>
    <x v="1"/>
    <s v="Chairs"/>
    <x v="5"/>
    <n v="6868.98"/>
    <n v="6"/>
    <n v="0.1"/>
    <n v="1645.73"/>
    <x v="3"/>
    <x v="3"/>
    <s v="Bad"/>
    <n v="1144.83"/>
    <n v="45538"/>
    <x v="1"/>
    <n v="9"/>
    <x v="5"/>
    <n v="0.23958870167040813"/>
    <s v="Low"/>
  </r>
  <r>
    <s v="ORD100657"/>
    <d v="2024-07-24T00:00:00"/>
    <s v="Customer 175"/>
    <x v="3"/>
    <s v="West Bengal"/>
    <x v="1"/>
    <s v="Storage"/>
    <x v="24"/>
    <n v="788.48"/>
    <n v="2"/>
    <n v="0.05"/>
    <n v="241.47"/>
    <x v="1"/>
    <x v="1"/>
    <s v="Bad"/>
    <n v="394.24"/>
    <n v="45497"/>
    <x v="1"/>
    <n v="7"/>
    <x v="6"/>
    <n v="0.30624746347402598"/>
    <s v="Low"/>
  </r>
  <r>
    <s v="ORD100658"/>
    <d v="2025-07-18T00:00:00"/>
    <s v="Customer 75"/>
    <x v="3"/>
    <s v="Assam"/>
    <x v="1"/>
    <s v="Storage"/>
    <x v="7"/>
    <n v="2815.83"/>
    <n v="9"/>
    <n v="0.2"/>
    <n v="88.72"/>
    <x v="3"/>
    <x v="3"/>
    <s v="Bad"/>
    <n v="312.87"/>
    <n v="45856"/>
    <x v="0"/>
    <n v="7"/>
    <x v="6"/>
    <n v="3.1507583909539991E-2"/>
    <s v="medium"/>
  </r>
  <r>
    <s v="ORD100659"/>
    <d v="2024-01-07T00:00:00"/>
    <s v="Customer 175"/>
    <x v="2"/>
    <s v="Punjab"/>
    <x v="2"/>
    <s v="Phones"/>
    <x v="13"/>
    <n v="6828.96"/>
    <n v="8"/>
    <n v="0.05"/>
    <n v="1192.5899999999999"/>
    <x v="7"/>
    <x v="0"/>
    <s v="Good"/>
    <n v="853.62"/>
    <n v="45298"/>
    <x v="1"/>
    <n v="1"/>
    <x v="0"/>
    <n v="0.17463713361917479"/>
    <s v="Low"/>
  </r>
  <r>
    <s v="ORD100660"/>
    <d v="2024-03-13T00:00:00"/>
    <s v="Customer 133"/>
    <x v="2"/>
    <s v="Punjab"/>
    <x v="1"/>
    <s v="Storage"/>
    <x v="15"/>
    <n v="2283.6"/>
    <n v="4"/>
    <n v="0.25"/>
    <n v="-384.32"/>
    <x v="2"/>
    <x v="2"/>
    <s v="Bad"/>
    <n v="570.9"/>
    <n v="45364"/>
    <x v="1"/>
    <n v="3"/>
    <x v="3"/>
    <n v="-0.16829567349798563"/>
    <s v="high"/>
  </r>
  <r>
    <s v="ORD100661"/>
    <d v="2024-12-12T00:00:00"/>
    <s v="Customer 78"/>
    <x v="3"/>
    <s v="Odisha"/>
    <x v="0"/>
    <s v="Writing"/>
    <x v="19"/>
    <n v="3086.13"/>
    <n v="3"/>
    <n v="0.15"/>
    <n v="577.42999999999995"/>
    <x v="4"/>
    <x v="2"/>
    <s v="Bad"/>
    <n v="1028.71"/>
    <n v="45638"/>
    <x v="1"/>
    <n v="12"/>
    <x v="4"/>
    <n v="0.18710488540664194"/>
    <s v="medium"/>
  </r>
  <r>
    <s v="ORD100662"/>
    <d v="2025-10-15T00:00:00"/>
    <s v="Customer 163"/>
    <x v="1"/>
    <s v="Maharashtra"/>
    <x v="0"/>
    <s v="Writing"/>
    <x v="3"/>
    <n v="3039.57"/>
    <n v="3"/>
    <n v="0.3"/>
    <n v="249.52"/>
    <x v="5"/>
    <x v="0"/>
    <s v="Bad"/>
    <n v="1013.19"/>
    <n v="45945"/>
    <x v="0"/>
    <n v="10"/>
    <x v="2"/>
    <n v="8.2090558861944288E-2"/>
    <s v="high"/>
  </r>
  <r>
    <s v="ORD100663"/>
    <d v="2025-05-16T00:00:00"/>
    <s v="Customer 40"/>
    <x v="0"/>
    <s v="Tamil Nadu"/>
    <x v="1"/>
    <s v="Chairs"/>
    <x v="5"/>
    <n v="6604.38"/>
    <n v="9"/>
    <n v="0"/>
    <n v="2780.36"/>
    <x v="6"/>
    <x v="3"/>
    <s v="Good"/>
    <n v="733.82"/>
    <n v="45793"/>
    <x v="0"/>
    <n v="5"/>
    <x v="7"/>
    <n v="0.42098728419624554"/>
    <s v="No Discount"/>
  </r>
  <r>
    <s v="ORD100664"/>
    <d v="2025-07-19T00:00:00"/>
    <s v="Customer 154"/>
    <x v="0"/>
    <s v="Kerala"/>
    <x v="2"/>
    <s v="Computers"/>
    <x v="10"/>
    <n v="5846.46"/>
    <n v="6"/>
    <n v="0.3"/>
    <n v="-877.6"/>
    <x v="3"/>
    <x v="0"/>
    <s v="Bad"/>
    <n v="974.41"/>
    <n v="45857"/>
    <x v="0"/>
    <n v="7"/>
    <x v="6"/>
    <n v="-0.15010792855847813"/>
    <s v="high"/>
  </r>
  <r>
    <s v="ORD100665"/>
    <d v="2025-12-09T00:00:00"/>
    <s v="Customer 108"/>
    <x v="0"/>
    <s v="Karnataka"/>
    <x v="2"/>
    <s v="Accessories"/>
    <x v="20"/>
    <n v="7543.08"/>
    <n v="9"/>
    <n v="0.25"/>
    <n v="-659.09"/>
    <x v="2"/>
    <x v="2"/>
    <s v="Good"/>
    <n v="838.12"/>
    <n v="46000"/>
    <x v="0"/>
    <n v="12"/>
    <x v="4"/>
    <n v="-8.737677447408751E-2"/>
    <s v="high"/>
  </r>
  <r>
    <s v="ORD100666"/>
    <d v="2025-07-04T00:00:00"/>
    <s v="Customer 34"/>
    <x v="3"/>
    <s v="Assam"/>
    <x v="2"/>
    <s v="Phones"/>
    <x v="8"/>
    <n v="1887.74"/>
    <n v="2"/>
    <n v="0.05"/>
    <n v="95.72"/>
    <x v="9"/>
    <x v="1"/>
    <s v="Bad"/>
    <n v="943.87"/>
    <n v="45842"/>
    <x v="0"/>
    <n v="7"/>
    <x v="6"/>
    <n v="5.0706135378812758E-2"/>
    <s v="Low"/>
  </r>
  <r>
    <s v="ORD100667"/>
    <d v="2024-05-20T00:00:00"/>
    <s v="Customer 173"/>
    <x v="1"/>
    <s v="Rajasthan"/>
    <x v="2"/>
    <s v="Computers"/>
    <x v="26"/>
    <n v="7645.89"/>
    <n v="7"/>
    <n v="0.05"/>
    <n v="945.67"/>
    <x v="7"/>
    <x v="1"/>
    <s v="Bad"/>
    <n v="1092.27"/>
    <n v="45432"/>
    <x v="1"/>
    <n v="5"/>
    <x v="7"/>
    <n v="0.12368344300009547"/>
    <s v="Low"/>
  </r>
  <r>
    <s v="ORD100668"/>
    <d v="2025-04-25T00:00:00"/>
    <s v="Customer 192"/>
    <x v="2"/>
    <s v="Haryana"/>
    <x v="2"/>
    <s v="Computers"/>
    <x v="26"/>
    <n v="3463.38"/>
    <n v="9"/>
    <n v="0.1"/>
    <n v="171.98"/>
    <x v="3"/>
    <x v="3"/>
    <s v="Bad"/>
    <n v="384.82"/>
    <n v="45772"/>
    <x v="0"/>
    <n v="4"/>
    <x v="8"/>
    <n v="4.9656693750036091E-2"/>
    <s v="Low"/>
  </r>
  <r>
    <s v="ORD100669"/>
    <d v="2025-06-18T00:00:00"/>
    <s v="Customer 55"/>
    <x v="3"/>
    <s v="Assam"/>
    <x v="1"/>
    <s v="Storage"/>
    <x v="24"/>
    <n v="363.12"/>
    <n v="3"/>
    <n v="0.1"/>
    <n v="50.23"/>
    <x v="1"/>
    <x v="3"/>
    <s v="Bad"/>
    <n v="121.04"/>
    <n v="45826"/>
    <x v="0"/>
    <n v="6"/>
    <x v="9"/>
    <n v="0.13832892707644856"/>
    <s v="Low"/>
  </r>
  <r>
    <s v="ORD100670"/>
    <d v="2024-11-03T00:00:00"/>
    <s v="Customer 26"/>
    <x v="0"/>
    <s v="Telangana"/>
    <x v="1"/>
    <s v="Storage"/>
    <x v="7"/>
    <n v="162.28"/>
    <n v="4"/>
    <n v="0.05"/>
    <n v="48.67"/>
    <x v="6"/>
    <x v="3"/>
    <s v="Bad"/>
    <n v="40.57"/>
    <n v="45599"/>
    <x v="1"/>
    <n v="11"/>
    <x v="10"/>
    <n v="0.29991372935666749"/>
    <s v="Low"/>
  </r>
  <r>
    <s v="ORD100671"/>
    <d v="2024-08-03T00:00:00"/>
    <s v="Customer 86"/>
    <x v="1"/>
    <s v="Rajasthan"/>
    <x v="0"/>
    <s v="Paper"/>
    <x v="2"/>
    <n v="3088.89"/>
    <n v="3"/>
    <n v="0.2"/>
    <n v="-205.08"/>
    <x v="2"/>
    <x v="2"/>
    <s v="Bad"/>
    <n v="1029.6299999999999"/>
    <n v="45507"/>
    <x v="1"/>
    <n v="8"/>
    <x v="11"/>
    <n v="-6.6392781873100049E-2"/>
    <s v="medium"/>
  </r>
  <r>
    <s v="ORD100672"/>
    <d v="2024-10-11T00:00:00"/>
    <s v="Customer 72"/>
    <x v="0"/>
    <s v="Tamil Nadu"/>
    <x v="1"/>
    <s v="Storage"/>
    <x v="7"/>
    <n v="2454.27"/>
    <n v="3"/>
    <n v="0.15"/>
    <n v="-219.41"/>
    <x v="6"/>
    <x v="2"/>
    <s v="Bad"/>
    <n v="818.09"/>
    <n v="45576"/>
    <x v="1"/>
    <n v="10"/>
    <x v="2"/>
    <n v="-8.9399291846455356E-2"/>
    <s v="medium"/>
  </r>
  <r>
    <s v="ORD100673"/>
    <d v="2024-04-24T00:00:00"/>
    <s v="Customer 159"/>
    <x v="2"/>
    <s v="Punjab"/>
    <x v="0"/>
    <s v="Binders"/>
    <x v="0"/>
    <n v="1143.3800000000001"/>
    <n v="2"/>
    <n v="0.05"/>
    <n v="108.57"/>
    <x v="3"/>
    <x v="2"/>
    <s v="Bad"/>
    <n v="571.69000000000005"/>
    <n v="45406"/>
    <x v="1"/>
    <n v="4"/>
    <x v="8"/>
    <n v="9.4955307946614415E-2"/>
    <s v="Low"/>
  </r>
  <r>
    <s v="ORD100674"/>
    <d v="2025-01-30T00:00:00"/>
    <s v="Customer 139"/>
    <x v="1"/>
    <s v="Goa"/>
    <x v="0"/>
    <s v="Paper"/>
    <x v="21"/>
    <n v="4499.46"/>
    <n v="6"/>
    <n v="0"/>
    <n v="1658.78"/>
    <x v="9"/>
    <x v="3"/>
    <s v="Bad"/>
    <n v="749.91"/>
    <n v="45687"/>
    <x v="0"/>
    <n v="1"/>
    <x v="0"/>
    <n v="0.36866201721984415"/>
    <s v="No Discount"/>
  </r>
  <r>
    <s v="ORD100675"/>
    <d v="2024-02-25T00:00:00"/>
    <s v="Customer 84"/>
    <x v="3"/>
    <s v="West Bengal"/>
    <x v="1"/>
    <s v="Tables"/>
    <x v="16"/>
    <n v="230.28"/>
    <n v="2"/>
    <n v="0"/>
    <n v="52.39"/>
    <x v="9"/>
    <x v="2"/>
    <s v="Bad"/>
    <n v="115.14"/>
    <n v="45347"/>
    <x v="1"/>
    <n v="2"/>
    <x v="1"/>
    <n v="0.22750564530137224"/>
    <s v="No Discount"/>
  </r>
  <r>
    <s v="ORD100676"/>
    <d v="2024-10-24T00:00:00"/>
    <s v="Customer 11"/>
    <x v="3"/>
    <s v="Bihar"/>
    <x v="0"/>
    <s v="Paper"/>
    <x v="21"/>
    <n v="3270.15"/>
    <n v="9"/>
    <n v="0.05"/>
    <n v="1153.78"/>
    <x v="7"/>
    <x v="3"/>
    <s v="Bad"/>
    <n v="363.35"/>
    <n v="45589"/>
    <x v="1"/>
    <n v="10"/>
    <x v="2"/>
    <n v="0.35282173600599359"/>
    <s v="Low"/>
  </r>
  <r>
    <s v="ORD100677"/>
    <d v="2024-10-03T00:00:00"/>
    <s v="Customer 200"/>
    <x v="0"/>
    <s v="Telangana"/>
    <x v="2"/>
    <s v="Computers"/>
    <x v="10"/>
    <n v="2502.96"/>
    <n v="4"/>
    <n v="0.2"/>
    <n v="426.78"/>
    <x v="1"/>
    <x v="1"/>
    <s v="Bad"/>
    <n v="625.74"/>
    <n v="45568"/>
    <x v="1"/>
    <n v="10"/>
    <x v="2"/>
    <n v="0.17051011602262919"/>
    <s v="medium"/>
  </r>
  <r>
    <s v="ORD100678"/>
    <d v="2025-11-14T00:00:00"/>
    <s v="Customer 98"/>
    <x v="0"/>
    <s v="Tamil Nadu"/>
    <x v="0"/>
    <s v="Binders"/>
    <x v="25"/>
    <n v="7827.82"/>
    <n v="7"/>
    <n v="0.1"/>
    <n v="2285.9899999999998"/>
    <x v="9"/>
    <x v="1"/>
    <s v="Bad"/>
    <n v="1118.26"/>
    <n v="45975"/>
    <x v="0"/>
    <n v="11"/>
    <x v="10"/>
    <n v="0.29203405290361811"/>
    <s v="Low"/>
  </r>
  <r>
    <s v="ORD100679"/>
    <d v="2024-12-14T00:00:00"/>
    <s v="Customer 63"/>
    <x v="3"/>
    <s v="Odisha"/>
    <x v="2"/>
    <s v="Accessories"/>
    <x v="12"/>
    <n v="484.96"/>
    <n v="8"/>
    <n v="0.05"/>
    <n v="141.27000000000001"/>
    <x v="6"/>
    <x v="1"/>
    <s v="Bad"/>
    <n v="60.62"/>
    <n v="45640"/>
    <x v="1"/>
    <n v="12"/>
    <x v="4"/>
    <n v="0.29130237545364568"/>
    <s v="Low"/>
  </r>
  <r>
    <s v="ORD100680"/>
    <d v="2025-01-02T00:00:00"/>
    <s v="Customer 61"/>
    <x v="2"/>
    <s v="Punjab"/>
    <x v="0"/>
    <s v="Binders"/>
    <x v="22"/>
    <n v="1727.74"/>
    <n v="7"/>
    <n v="0.3"/>
    <n v="-145.66999999999999"/>
    <x v="3"/>
    <x v="0"/>
    <s v="Bad"/>
    <n v="246.82"/>
    <n v="45659"/>
    <x v="0"/>
    <n v="1"/>
    <x v="0"/>
    <n v="-8.4312454420225252E-2"/>
    <s v="high"/>
  </r>
  <r>
    <s v="ORD100681"/>
    <d v="2025-07-22T00:00:00"/>
    <s v="Customer 44"/>
    <x v="2"/>
    <s v="Delhi"/>
    <x v="0"/>
    <s v="Binders"/>
    <x v="22"/>
    <n v="945.06"/>
    <n v="3"/>
    <n v="0.1"/>
    <n v="244.53"/>
    <x v="9"/>
    <x v="0"/>
    <s v="Bad"/>
    <n v="315.02"/>
    <n v="45860"/>
    <x v="0"/>
    <n v="7"/>
    <x v="6"/>
    <n v="0.25874547647768398"/>
    <s v="Low"/>
  </r>
  <r>
    <s v="ORD100682"/>
    <d v="2024-07-11T00:00:00"/>
    <s v="Customer 186"/>
    <x v="1"/>
    <s v="Rajasthan"/>
    <x v="2"/>
    <s v="Computers"/>
    <x v="26"/>
    <n v="73.06"/>
    <n v="1"/>
    <n v="0.25"/>
    <n v="-6.85"/>
    <x v="3"/>
    <x v="0"/>
    <s v="Bad"/>
    <n v="73.06"/>
    <n v="45484"/>
    <x v="1"/>
    <n v="7"/>
    <x v="6"/>
    <n v="-9.3758554612647135E-2"/>
    <s v="high"/>
  </r>
  <r>
    <s v="ORD100683"/>
    <d v="2024-04-19T00:00:00"/>
    <s v="Customer 72"/>
    <x v="3"/>
    <s v="Bihar"/>
    <x v="2"/>
    <s v="Computers"/>
    <x v="26"/>
    <n v="3179.6"/>
    <n v="10"/>
    <n v="0.1"/>
    <n v="975.33"/>
    <x v="6"/>
    <x v="1"/>
    <s v="Bad"/>
    <n v="317.95999999999998"/>
    <n v="45401"/>
    <x v="1"/>
    <n v="4"/>
    <x v="8"/>
    <n v="0.30674613158887915"/>
    <s v="Low"/>
  </r>
  <r>
    <s v="ORD100684"/>
    <d v="2025-06-25T00:00:00"/>
    <s v="Customer 177"/>
    <x v="1"/>
    <s v="Gujarat"/>
    <x v="2"/>
    <s v="Accessories"/>
    <x v="18"/>
    <n v="4296.42"/>
    <n v="6"/>
    <n v="0"/>
    <n v="1399.12"/>
    <x v="9"/>
    <x v="3"/>
    <s v="Bad"/>
    <n v="716.07"/>
    <n v="45833"/>
    <x v="0"/>
    <n v="6"/>
    <x v="9"/>
    <n v="0.32564786496664661"/>
    <s v="No Discount"/>
  </r>
  <r>
    <s v="ORD100685"/>
    <d v="2024-04-28T00:00:00"/>
    <s v="Customer 67"/>
    <x v="2"/>
    <s v="Haryana"/>
    <x v="2"/>
    <s v="Computers"/>
    <x v="10"/>
    <n v="7545.2"/>
    <n v="10"/>
    <n v="0.15"/>
    <n v="2032.84"/>
    <x v="3"/>
    <x v="0"/>
    <s v="Good"/>
    <n v="754.52"/>
    <n v="45410"/>
    <x v="1"/>
    <n v="4"/>
    <x v="8"/>
    <n v="0.26942161904257012"/>
    <s v="medium"/>
  </r>
  <r>
    <s v="ORD100686"/>
    <d v="2024-11-27T00:00:00"/>
    <s v="Customer 177"/>
    <x v="1"/>
    <s v="Gujarat"/>
    <x v="1"/>
    <s v="Storage"/>
    <x v="15"/>
    <n v="3580.89"/>
    <n v="3"/>
    <n v="0.3"/>
    <n v="-117.62"/>
    <x v="7"/>
    <x v="2"/>
    <s v="Bad"/>
    <n v="1193.6299999999999"/>
    <n v="45623"/>
    <x v="1"/>
    <n v="11"/>
    <x v="10"/>
    <n v="-3.2846582832759458E-2"/>
    <s v="high"/>
  </r>
  <r>
    <s v="ORD100687"/>
    <d v="2025-02-25T00:00:00"/>
    <s v="Customer 27"/>
    <x v="3"/>
    <s v="West Bengal"/>
    <x v="1"/>
    <s v="Tables"/>
    <x v="17"/>
    <n v="3022.95"/>
    <n v="7"/>
    <n v="0.05"/>
    <n v="398.99"/>
    <x v="5"/>
    <x v="3"/>
    <s v="Bad"/>
    <n v="431.84999999999997"/>
    <n v="45713"/>
    <x v="0"/>
    <n v="2"/>
    <x v="1"/>
    <n v="0.13198696637390631"/>
    <s v="Low"/>
  </r>
  <r>
    <s v="ORD100688"/>
    <d v="2025-09-05T00:00:00"/>
    <s v="Customer 154"/>
    <x v="1"/>
    <s v="Goa"/>
    <x v="1"/>
    <s v="Tables"/>
    <x v="9"/>
    <n v="1983.78"/>
    <n v="6"/>
    <n v="0.2"/>
    <n v="348.25"/>
    <x v="4"/>
    <x v="3"/>
    <s v="Bad"/>
    <n v="330.63"/>
    <n v="45905"/>
    <x v="0"/>
    <n v="9"/>
    <x v="5"/>
    <n v="0.17554869995664843"/>
    <s v="medium"/>
  </r>
  <r>
    <s v="ORD100689"/>
    <d v="2025-10-16T00:00:00"/>
    <s v="Customer 14"/>
    <x v="3"/>
    <s v="Bihar"/>
    <x v="2"/>
    <s v="Phones"/>
    <x v="8"/>
    <n v="1589.28"/>
    <n v="7"/>
    <n v="0"/>
    <n v="698.36"/>
    <x v="9"/>
    <x v="1"/>
    <s v="Bad"/>
    <n v="227.04"/>
    <n v="45946"/>
    <x v="0"/>
    <n v="10"/>
    <x v="2"/>
    <n v="0.43941910802375922"/>
    <s v="No Discount"/>
  </r>
  <r>
    <s v="ORD100690"/>
    <d v="2024-03-01T00:00:00"/>
    <s v="Customer 177"/>
    <x v="1"/>
    <s v="Rajasthan"/>
    <x v="0"/>
    <s v="Binders"/>
    <x v="0"/>
    <n v="4210.38"/>
    <n v="9"/>
    <n v="0"/>
    <n v="604.94000000000005"/>
    <x v="2"/>
    <x v="3"/>
    <s v="Bad"/>
    <n v="467.82"/>
    <n v="45352"/>
    <x v="1"/>
    <n v="3"/>
    <x v="3"/>
    <n v="0.14367824281893796"/>
    <s v="No Discount"/>
  </r>
  <r>
    <s v="ORD100691"/>
    <d v="2024-10-17T00:00:00"/>
    <s v="Customer 70"/>
    <x v="0"/>
    <s v="Telangana"/>
    <x v="1"/>
    <s v="Storage"/>
    <x v="24"/>
    <n v="1697.4"/>
    <n v="5"/>
    <n v="0"/>
    <n v="170.22"/>
    <x v="0"/>
    <x v="1"/>
    <s v="Bad"/>
    <n v="339.48"/>
    <n v="45582"/>
    <x v="1"/>
    <n v="10"/>
    <x v="2"/>
    <n v="0.10028278543655002"/>
    <s v="No Discount"/>
  </r>
  <r>
    <s v="ORD100692"/>
    <d v="2025-03-23T00:00:00"/>
    <s v="Customer 47"/>
    <x v="3"/>
    <s v="Bihar"/>
    <x v="0"/>
    <s v="Binders"/>
    <x v="0"/>
    <n v="8394.0499999999993"/>
    <n v="7"/>
    <n v="0.3"/>
    <n v="-65.37"/>
    <x v="2"/>
    <x v="1"/>
    <s v="Bad"/>
    <n v="1199.1499999999999"/>
    <n v="45739"/>
    <x v="0"/>
    <n v="3"/>
    <x v="3"/>
    <n v="-7.7876591156831338E-3"/>
    <s v="high"/>
  </r>
  <r>
    <s v="ORD100693"/>
    <d v="2025-03-17T00:00:00"/>
    <s v="Customer 9"/>
    <x v="3"/>
    <s v="Odisha"/>
    <x v="2"/>
    <s v="Computers"/>
    <x v="6"/>
    <n v="4253.92"/>
    <n v="4"/>
    <n v="0.1"/>
    <n v="152.75"/>
    <x v="5"/>
    <x v="3"/>
    <s v="Bad"/>
    <n v="1063.48"/>
    <n v="45733"/>
    <x v="0"/>
    <n v="3"/>
    <x v="3"/>
    <n v="3.590805656899989E-2"/>
    <s v="Low"/>
  </r>
  <r>
    <s v="ORD100694"/>
    <d v="2024-08-17T00:00:00"/>
    <s v="Customer 198"/>
    <x v="1"/>
    <s v="Gujarat"/>
    <x v="2"/>
    <s v="Accessories"/>
    <x v="20"/>
    <n v="1199.71"/>
    <n v="1"/>
    <n v="0"/>
    <n v="304.26"/>
    <x v="8"/>
    <x v="0"/>
    <s v="Bad"/>
    <n v="1199.71"/>
    <n v="45521"/>
    <x v="1"/>
    <n v="8"/>
    <x v="11"/>
    <n v="0.2536112893949371"/>
    <s v="No Discount"/>
  </r>
  <r>
    <s v="ORD100695"/>
    <d v="2024-09-16T00:00:00"/>
    <s v="Customer 50"/>
    <x v="1"/>
    <s v="Gujarat"/>
    <x v="0"/>
    <s v="Paper"/>
    <x v="21"/>
    <n v="1341.54"/>
    <n v="2"/>
    <n v="0.2"/>
    <n v="-163.34"/>
    <x v="0"/>
    <x v="3"/>
    <s v="Bad"/>
    <n v="670.77"/>
    <n v="45551"/>
    <x v="1"/>
    <n v="9"/>
    <x v="5"/>
    <n v="-0.12175559431697899"/>
    <s v="medium"/>
  </r>
  <r>
    <s v="ORD100696"/>
    <d v="2024-07-26T00:00:00"/>
    <s v="Customer 162"/>
    <x v="2"/>
    <s v="Haryana"/>
    <x v="2"/>
    <s v="Computers"/>
    <x v="10"/>
    <n v="3846.44"/>
    <n v="4"/>
    <n v="0"/>
    <n v="201.11"/>
    <x v="3"/>
    <x v="1"/>
    <s v="Bad"/>
    <n v="961.61"/>
    <n v="45499"/>
    <x v="1"/>
    <n v="7"/>
    <x v="6"/>
    <n v="5.2284710017574697E-2"/>
    <s v="No Discount"/>
  </r>
  <r>
    <s v="ORD100697"/>
    <d v="2025-09-29T00:00:00"/>
    <s v="Customer 92"/>
    <x v="2"/>
    <s v="Punjab"/>
    <x v="1"/>
    <s v="Tables"/>
    <x v="16"/>
    <n v="7954.8"/>
    <n v="10"/>
    <n v="0.3"/>
    <n v="-1702.69"/>
    <x v="4"/>
    <x v="1"/>
    <s v="Good"/>
    <n v="795.48"/>
    <n v="45929"/>
    <x v="0"/>
    <n v="9"/>
    <x v="5"/>
    <n v="-0.21404560768341127"/>
    <s v="high"/>
  </r>
  <r>
    <s v="ORD100698"/>
    <d v="2024-07-13T00:00:00"/>
    <s v="Customer 47"/>
    <x v="1"/>
    <s v="Gujarat"/>
    <x v="0"/>
    <s v="Writing"/>
    <x v="3"/>
    <n v="11554.6"/>
    <n v="10"/>
    <n v="0.25"/>
    <n v="1124.8499999999999"/>
    <x v="0"/>
    <x v="2"/>
    <s v="Good"/>
    <n v="1155.46"/>
    <n v="45486"/>
    <x v="1"/>
    <n v="7"/>
    <x v="6"/>
    <n v="9.7350838627040304E-2"/>
    <s v="high"/>
  </r>
  <r>
    <s v="ORD100699"/>
    <d v="2024-06-19T00:00:00"/>
    <s v="Customer 116"/>
    <x v="1"/>
    <s v="Rajasthan"/>
    <x v="0"/>
    <s v="Writing"/>
    <x v="3"/>
    <n v="418.38"/>
    <n v="3"/>
    <n v="0.1"/>
    <n v="-20.74"/>
    <x v="9"/>
    <x v="0"/>
    <s v="Bad"/>
    <n v="139.46"/>
    <n v="45462"/>
    <x v="1"/>
    <n v="6"/>
    <x v="9"/>
    <n v="-4.9572159281036372E-2"/>
    <s v="Low"/>
  </r>
  <r>
    <s v="ORD100700"/>
    <d v="2025-08-29T00:00:00"/>
    <s v="Customer 8"/>
    <x v="3"/>
    <s v="Assam"/>
    <x v="0"/>
    <s v="Writing"/>
    <x v="1"/>
    <n v="2846.73"/>
    <n v="3"/>
    <n v="0.25"/>
    <n v="-165.2"/>
    <x v="5"/>
    <x v="0"/>
    <s v="Bad"/>
    <n v="948.91"/>
    <n v="45898"/>
    <x v="0"/>
    <n v="8"/>
    <x v="11"/>
    <n v="-5.8031495786393508E-2"/>
    <s v="high"/>
  </r>
  <r>
    <s v="ORD100701"/>
    <d v="2025-08-01T00:00:00"/>
    <s v="Customer 155"/>
    <x v="0"/>
    <s v="Telangana"/>
    <x v="0"/>
    <s v="Writing"/>
    <x v="19"/>
    <n v="371.29"/>
    <n v="1"/>
    <n v="0.05"/>
    <n v="147.77000000000001"/>
    <x v="8"/>
    <x v="0"/>
    <s v="Bad"/>
    <n v="371.29"/>
    <n v="45870"/>
    <x v="0"/>
    <n v="8"/>
    <x v="11"/>
    <n v="0.39799078887123274"/>
    <s v="Low"/>
  </r>
  <r>
    <s v="ORD100702"/>
    <d v="2025-07-20T00:00:00"/>
    <s v="Customer 141"/>
    <x v="0"/>
    <s v="Tamil Nadu"/>
    <x v="1"/>
    <s v="Chairs"/>
    <x v="14"/>
    <n v="5668.98"/>
    <n v="6"/>
    <n v="0.1"/>
    <n v="1208.2"/>
    <x v="2"/>
    <x v="0"/>
    <s v="Bad"/>
    <n v="944.82999999999993"/>
    <n v="45858"/>
    <x v="0"/>
    <n v="7"/>
    <x v="6"/>
    <n v="0.21312475965694008"/>
    <s v="Low"/>
  </r>
  <r>
    <s v="ORD100703"/>
    <d v="2024-11-10T00:00:00"/>
    <s v="Customer 103"/>
    <x v="3"/>
    <s v="West Bengal"/>
    <x v="1"/>
    <s v="Chairs"/>
    <x v="5"/>
    <n v="4712.24"/>
    <n v="4"/>
    <n v="0.25"/>
    <n v="719.58"/>
    <x v="6"/>
    <x v="2"/>
    <s v="Bad"/>
    <n v="1178.06"/>
    <n v="45606"/>
    <x v="1"/>
    <n v="11"/>
    <x v="10"/>
    <n v="0.1527044462930581"/>
    <s v="high"/>
  </r>
  <r>
    <s v="ORD100704"/>
    <d v="2025-08-03T00:00:00"/>
    <s v="Customer 159"/>
    <x v="0"/>
    <s v="Telangana"/>
    <x v="1"/>
    <s v="Chairs"/>
    <x v="14"/>
    <n v="1923.1"/>
    <n v="10"/>
    <n v="0.15"/>
    <n v="-172.91"/>
    <x v="0"/>
    <x v="1"/>
    <s v="Bad"/>
    <n v="192.31"/>
    <n v="45872"/>
    <x v="0"/>
    <n v="8"/>
    <x v="11"/>
    <n v="-8.991212105454735E-2"/>
    <s v="medium"/>
  </r>
  <r>
    <s v="ORD100705"/>
    <d v="2025-06-22T00:00:00"/>
    <s v="Customer 12"/>
    <x v="0"/>
    <s v="Tamil Nadu"/>
    <x v="0"/>
    <s v="Paper"/>
    <x v="21"/>
    <n v="265.52"/>
    <n v="8"/>
    <n v="0.25"/>
    <n v="48.09"/>
    <x v="1"/>
    <x v="1"/>
    <s v="Bad"/>
    <n v="33.19"/>
    <n v="45830"/>
    <x v="0"/>
    <n v="6"/>
    <x v="9"/>
    <n v="0.1811163000903887"/>
    <s v="high"/>
  </r>
  <r>
    <s v="ORD100706"/>
    <d v="2025-03-17T00:00:00"/>
    <s v="Customer 110"/>
    <x v="0"/>
    <s v="Karnataka"/>
    <x v="2"/>
    <s v="Phones"/>
    <x v="23"/>
    <n v="806.16"/>
    <n v="8"/>
    <n v="0.3"/>
    <n v="58.72"/>
    <x v="4"/>
    <x v="0"/>
    <s v="Bad"/>
    <n v="100.77"/>
    <n v="45733"/>
    <x v="0"/>
    <n v="3"/>
    <x v="3"/>
    <n v="7.2839138632529526E-2"/>
    <s v="high"/>
  </r>
  <r>
    <s v="ORD100707"/>
    <d v="2024-06-13T00:00:00"/>
    <s v="Customer 48"/>
    <x v="0"/>
    <s v="Karnataka"/>
    <x v="2"/>
    <s v="Computers"/>
    <x v="10"/>
    <n v="2829.36"/>
    <n v="3"/>
    <n v="0.1"/>
    <n v="10.56"/>
    <x v="1"/>
    <x v="2"/>
    <s v="Bad"/>
    <n v="943.12"/>
    <n v="45456"/>
    <x v="1"/>
    <n v="6"/>
    <x v="9"/>
    <n v="3.7322928153363305E-3"/>
    <s v="Low"/>
  </r>
  <r>
    <s v="ORD100708"/>
    <d v="2025-07-11T00:00:00"/>
    <s v="Customer 147"/>
    <x v="1"/>
    <s v="Gujarat"/>
    <x v="2"/>
    <s v="Computers"/>
    <x v="10"/>
    <n v="5390.2"/>
    <n v="10"/>
    <n v="0"/>
    <n v="2320.46"/>
    <x v="1"/>
    <x v="2"/>
    <s v="Good"/>
    <n v="539.02"/>
    <n v="45849"/>
    <x v="0"/>
    <n v="7"/>
    <x v="6"/>
    <n v="0.43049608548847912"/>
    <s v="No Discount"/>
  </r>
  <r>
    <s v="ORD100709"/>
    <d v="2025-06-02T00:00:00"/>
    <s v="Customer 13"/>
    <x v="3"/>
    <s v="Bihar"/>
    <x v="1"/>
    <s v="Storage"/>
    <x v="24"/>
    <n v="6185.6"/>
    <n v="10"/>
    <n v="0.15"/>
    <n v="737.97"/>
    <x v="9"/>
    <x v="1"/>
    <s v="Good"/>
    <n v="618.56000000000006"/>
    <n v="45810"/>
    <x v="0"/>
    <n v="6"/>
    <x v="9"/>
    <n v="0.11930451370926022"/>
    <s v="medium"/>
  </r>
  <r>
    <s v="ORD100710"/>
    <d v="2024-10-31T00:00:00"/>
    <s v="Customer 142"/>
    <x v="0"/>
    <s v="Kerala"/>
    <x v="0"/>
    <s v="Paper"/>
    <x v="2"/>
    <n v="6694.4"/>
    <n v="10"/>
    <n v="0.15"/>
    <n v="181.68"/>
    <x v="7"/>
    <x v="2"/>
    <s v="Good"/>
    <n v="669.43999999999994"/>
    <n v="45596"/>
    <x v="1"/>
    <n v="10"/>
    <x v="2"/>
    <n v="2.7139101338432125E-2"/>
    <s v="medium"/>
  </r>
  <r>
    <s v="ORD100711"/>
    <d v="2025-08-24T00:00:00"/>
    <s v="Customer 86"/>
    <x v="3"/>
    <s v="Assam"/>
    <x v="1"/>
    <s v="Tables"/>
    <x v="17"/>
    <n v="6610.95"/>
    <n v="9"/>
    <n v="0.3"/>
    <n v="204.13"/>
    <x v="7"/>
    <x v="0"/>
    <s v="Good"/>
    <n v="734.55"/>
    <n v="45893"/>
    <x v="0"/>
    <n v="8"/>
    <x v="11"/>
    <n v="3.0877559201022545E-2"/>
    <s v="high"/>
  </r>
  <r>
    <s v="ORD100712"/>
    <d v="2025-12-25T00:00:00"/>
    <s v="Customer 102"/>
    <x v="2"/>
    <s v="Haryana"/>
    <x v="2"/>
    <s v="Computers"/>
    <x v="26"/>
    <n v="2907.75"/>
    <n v="3"/>
    <n v="0.2"/>
    <n v="-4.4400000000000004"/>
    <x v="2"/>
    <x v="0"/>
    <s v="Bad"/>
    <n v="969.25"/>
    <n v="46016"/>
    <x v="0"/>
    <n v="12"/>
    <x v="4"/>
    <n v="-1.5269538302811454E-3"/>
    <s v="medium"/>
  </r>
  <r>
    <s v="ORD100713"/>
    <d v="2024-01-28T00:00:00"/>
    <s v="Customer 173"/>
    <x v="1"/>
    <s v="Rajasthan"/>
    <x v="1"/>
    <s v="Tables"/>
    <x v="9"/>
    <n v="1820.72"/>
    <n v="2"/>
    <n v="0"/>
    <n v="523.9"/>
    <x v="9"/>
    <x v="3"/>
    <s v="Bad"/>
    <n v="910.36"/>
    <n v="45319"/>
    <x v="1"/>
    <n v="1"/>
    <x v="0"/>
    <n v="0.28774331033876704"/>
    <s v="No Discount"/>
  </r>
  <r>
    <s v="ORD100714"/>
    <d v="2025-11-05T00:00:00"/>
    <s v="Customer 8"/>
    <x v="1"/>
    <s v="Maharashtra"/>
    <x v="0"/>
    <s v="Paper"/>
    <x v="11"/>
    <n v="9089.84"/>
    <n v="8"/>
    <n v="0.2"/>
    <n v="1363.65"/>
    <x v="2"/>
    <x v="1"/>
    <s v="Good"/>
    <n v="1136.23"/>
    <n v="45966"/>
    <x v="0"/>
    <n v="11"/>
    <x v="10"/>
    <n v="0.15001914225112875"/>
    <s v="medium"/>
  </r>
  <r>
    <s v="ORD100715"/>
    <d v="2025-12-30T00:00:00"/>
    <s v="Customer 92"/>
    <x v="1"/>
    <s v="Maharashtra"/>
    <x v="0"/>
    <s v="Binders"/>
    <x v="0"/>
    <n v="385.5"/>
    <n v="1"/>
    <n v="0.3"/>
    <n v="-70.930000000000007"/>
    <x v="2"/>
    <x v="1"/>
    <s v="Bad"/>
    <n v="385.5"/>
    <n v="46021"/>
    <x v="0"/>
    <n v="12"/>
    <x v="4"/>
    <n v="-0.18399481193255515"/>
    <s v="high"/>
  </r>
  <r>
    <s v="ORD100716"/>
    <d v="2025-01-23T00:00:00"/>
    <s v="Customer 67"/>
    <x v="1"/>
    <s v="Maharashtra"/>
    <x v="1"/>
    <s v="Tables"/>
    <x v="17"/>
    <n v="8647.92"/>
    <n v="8"/>
    <n v="0.15"/>
    <n v="1212.05"/>
    <x v="3"/>
    <x v="3"/>
    <s v="Good"/>
    <n v="1080.99"/>
    <n v="45680"/>
    <x v="0"/>
    <n v="1"/>
    <x v="0"/>
    <n v="0.14015508931627488"/>
    <s v="medium"/>
  </r>
  <r>
    <s v="ORD100717"/>
    <d v="2024-09-23T00:00:00"/>
    <s v="Customer 170"/>
    <x v="3"/>
    <s v="West Bengal"/>
    <x v="0"/>
    <s v="Writing"/>
    <x v="3"/>
    <n v="3151.3"/>
    <n v="10"/>
    <n v="0.05"/>
    <n v="1055.6400000000001"/>
    <x v="0"/>
    <x v="1"/>
    <s v="Bad"/>
    <n v="315.13"/>
    <n v="45558"/>
    <x v="1"/>
    <n v="9"/>
    <x v="5"/>
    <n v="0.3349855615142957"/>
    <s v="Low"/>
  </r>
  <r>
    <s v="ORD100718"/>
    <d v="2024-07-27T00:00:00"/>
    <s v="Customer 160"/>
    <x v="0"/>
    <s v="Telangana"/>
    <x v="1"/>
    <s v="Chairs"/>
    <x v="4"/>
    <n v="4454.8"/>
    <n v="5"/>
    <n v="0.05"/>
    <n v="1034.43"/>
    <x v="8"/>
    <x v="0"/>
    <s v="Bad"/>
    <n v="890.96"/>
    <n v="45500"/>
    <x v="1"/>
    <n v="7"/>
    <x v="6"/>
    <n v="0.2322057106940828"/>
    <s v="Low"/>
  </r>
  <r>
    <s v="ORD100719"/>
    <d v="2024-09-12T00:00:00"/>
    <s v="Customer 96"/>
    <x v="0"/>
    <s v="Karnataka"/>
    <x v="2"/>
    <s v="Computers"/>
    <x v="26"/>
    <n v="3082.4"/>
    <n v="4"/>
    <n v="0.1"/>
    <n v="56.46"/>
    <x v="9"/>
    <x v="3"/>
    <s v="Bad"/>
    <n v="770.6"/>
    <n v="45547"/>
    <x v="1"/>
    <n v="9"/>
    <x v="5"/>
    <n v="1.8316895925253051E-2"/>
    <s v="Low"/>
  </r>
  <r>
    <s v="ORD100720"/>
    <d v="2025-10-26T00:00:00"/>
    <s v="Customer 78"/>
    <x v="1"/>
    <s v="Goa"/>
    <x v="0"/>
    <s v="Writing"/>
    <x v="19"/>
    <n v="11898.7"/>
    <n v="10"/>
    <n v="0.3"/>
    <n v="-2521.1"/>
    <x v="1"/>
    <x v="1"/>
    <s v="Good"/>
    <n v="1189.8700000000001"/>
    <n v="45956"/>
    <x v="0"/>
    <n v="10"/>
    <x v="2"/>
    <n v="-0.21188028944338455"/>
    <s v="high"/>
  </r>
  <r>
    <s v="ORD100721"/>
    <d v="2025-08-20T00:00:00"/>
    <s v="Customer 190"/>
    <x v="1"/>
    <s v="Gujarat"/>
    <x v="2"/>
    <s v="Phones"/>
    <x v="13"/>
    <n v="2202.12"/>
    <n v="6"/>
    <n v="0.15"/>
    <n v="-213.47"/>
    <x v="3"/>
    <x v="3"/>
    <s v="Bad"/>
    <n v="367.02"/>
    <n v="45889"/>
    <x v="0"/>
    <n v="8"/>
    <x v="11"/>
    <n v="-9.693840480991045E-2"/>
    <s v="medium"/>
  </r>
  <r>
    <s v="ORD100722"/>
    <d v="2025-11-11T00:00:00"/>
    <s v="Customer 6"/>
    <x v="0"/>
    <s v="Telangana"/>
    <x v="0"/>
    <s v="Paper"/>
    <x v="11"/>
    <n v="2173.38"/>
    <n v="2"/>
    <n v="0.1"/>
    <n v="85.27"/>
    <x v="6"/>
    <x v="2"/>
    <s v="Bad"/>
    <n v="1086.69"/>
    <n v="45972"/>
    <x v="0"/>
    <n v="11"/>
    <x v="10"/>
    <n v="3.923382013269653E-2"/>
    <s v="Low"/>
  </r>
  <r>
    <s v="ORD100723"/>
    <d v="2024-01-02T00:00:00"/>
    <s v="Customer 178"/>
    <x v="3"/>
    <s v="West Bengal"/>
    <x v="1"/>
    <s v="Chairs"/>
    <x v="4"/>
    <n v="5668.16"/>
    <n v="8"/>
    <n v="0.05"/>
    <n v="1708.82"/>
    <x v="1"/>
    <x v="0"/>
    <s v="Good"/>
    <n v="708.52"/>
    <n v="45293"/>
    <x v="1"/>
    <n v="1"/>
    <x v="0"/>
    <n v="0.30147702252582848"/>
    <s v="Low"/>
  </r>
  <r>
    <s v="ORD100724"/>
    <d v="2025-01-21T00:00:00"/>
    <s v="Customer 71"/>
    <x v="3"/>
    <s v="Bihar"/>
    <x v="2"/>
    <s v="Phones"/>
    <x v="13"/>
    <n v="10865.2"/>
    <n v="10"/>
    <n v="0.2"/>
    <n v="2093.02"/>
    <x v="1"/>
    <x v="0"/>
    <s v="Good"/>
    <n v="1086.52"/>
    <n v="45678"/>
    <x v="0"/>
    <n v="1"/>
    <x v="0"/>
    <n v="0.19263520229724257"/>
    <s v="medium"/>
  </r>
  <r>
    <s v="ORD100725"/>
    <d v="2024-11-05T00:00:00"/>
    <s v="Customer 153"/>
    <x v="0"/>
    <s v="Tamil Nadu"/>
    <x v="2"/>
    <s v="Accessories"/>
    <x v="20"/>
    <n v="9282.5"/>
    <n v="10"/>
    <n v="0.25"/>
    <n v="-1137.2"/>
    <x v="2"/>
    <x v="2"/>
    <s v="Good"/>
    <n v="928.25"/>
    <n v="45601"/>
    <x v="1"/>
    <n v="11"/>
    <x v="10"/>
    <n v="-0.12251009964987881"/>
    <s v="high"/>
  </r>
  <r>
    <s v="ORD100726"/>
    <d v="2024-12-08T00:00:00"/>
    <s v="Customer 184"/>
    <x v="2"/>
    <s v="Uttarakhand"/>
    <x v="2"/>
    <s v="Computers"/>
    <x v="26"/>
    <n v="5734.3"/>
    <n v="5"/>
    <n v="0.05"/>
    <n v="38.770000000000003"/>
    <x v="5"/>
    <x v="2"/>
    <s v="Bad"/>
    <n v="1146.8600000000001"/>
    <n v="45634"/>
    <x v="1"/>
    <n v="12"/>
    <x v="4"/>
    <n v="6.7610693545855647E-3"/>
    <s v="Low"/>
  </r>
  <r>
    <s v="ORD100727"/>
    <d v="2024-06-29T00:00:00"/>
    <s v="Customer 44"/>
    <x v="1"/>
    <s v="Rajasthan"/>
    <x v="1"/>
    <s v="Tables"/>
    <x v="16"/>
    <n v="5303.55"/>
    <n v="5"/>
    <n v="0"/>
    <n v="1952.28"/>
    <x v="7"/>
    <x v="1"/>
    <s v="Bad"/>
    <n v="1060.71"/>
    <n v="45472"/>
    <x v="1"/>
    <n v="6"/>
    <x v="9"/>
    <n v="0.36810815397233926"/>
    <s v="No Discount"/>
  </r>
  <r>
    <s v="ORD100728"/>
    <d v="2025-07-01T00:00:00"/>
    <s v="Customer 136"/>
    <x v="3"/>
    <s v="Odisha"/>
    <x v="2"/>
    <s v="Accessories"/>
    <x v="12"/>
    <n v="1036.44"/>
    <n v="4"/>
    <n v="0.25"/>
    <n v="147.04"/>
    <x v="1"/>
    <x v="3"/>
    <s v="Bad"/>
    <n v="259.11"/>
    <n v="45839"/>
    <x v="0"/>
    <n v="7"/>
    <x v="6"/>
    <n v="0.14187024815715332"/>
    <s v="high"/>
  </r>
  <r>
    <s v="ORD100729"/>
    <d v="2024-11-23T00:00:00"/>
    <s v="Customer 113"/>
    <x v="0"/>
    <s v="Tamil Nadu"/>
    <x v="2"/>
    <s v="Computers"/>
    <x v="6"/>
    <n v="136.56"/>
    <n v="2"/>
    <n v="0.2"/>
    <n v="29.66"/>
    <x v="8"/>
    <x v="1"/>
    <s v="Bad"/>
    <n v="68.28"/>
    <n v="45619"/>
    <x v="1"/>
    <n v="11"/>
    <x v="10"/>
    <n v="0.21719390743995312"/>
    <s v="medium"/>
  </r>
  <r>
    <s v="ORD100730"/>
    <d v="2024-07-10T00:00:00"/>
    <s v="Customer 194"/>
    <x v="0"/>
    <s v="Karnataka"/>
    <x v="2"/>
    <s v="Accessories"/>
    <x v="20"/>
    <n v="1178.2"/>
    <n v="5"/>
    <n v="0.2"/>
    <n v="-176.33"/>
    <x v="5"/>
    <x v="3"/>
    <s v="Bad"/>
    <n v="235.64000000000001"/>
    <n v="45483"/>
    <x v="1"/>
    <n v="7"/>
    <x v="6"/>
    <n v="-0.14966049906637244"/>
    <s v="medium"/>
  </r>
  <r>
    <s v="ORD100731"/>
    <d v="2025-07-06T00:00:00"/>
    <s v="Customer 43"/>
    <x v="1"/>
    <s v="Gujarat"/>
    <x v="1"/>
    <s v="Storage"/>
    <x v="7"/>
    <n v="995.56"/>
    <n v="1"/>
    <n v="0.05"/>
    <n v="386.55"/>
    <x v="6"/>
    <x v="1"/>
    <s v="Bad"/>
    <n v="995.56"/>
    <n v="45844"/>
    <x v="0"/>
    <n v="7"/>
    <x v="6"/>
    <n v="0.38827393627707024"/>
    <s v="Low"/>
  </r>
  <r>
    <s v="ORD100732"/>
    <d v="2025-03-22T00:00:00"/>
    <s v="Customer 197"/>
    <x v="3"/>
    <s v="Odisha"/>
    <x v="2"/>
    <s v="Phones"/>
    <x v="8"/>
    <n v="2115.27"/>
    <n v="9"/>
    <n v="0"/>
    <n v="313.91000000000003"/>
    <x v="6"/>
    <x v="1"/>
    <s v="Bad"/>
    <n v="235.03"/>
    <n v="45738"/>
    <x v="0"/>
    <n v="3"/>
    <x v="3"/>
    <n v="0.14840185886435303"/>
    <s v="No Discount"/>
  </r>
  <r>
    <s v="ORD100733"/>
    <d v="2025-12-15T00:00:00"/>
    <s v="Customer 9"/>
    <x v="2"/>
    <s v="Delhi"/>
    <x v="2"/>
    <s v="Computers"/>
    <x v="26"/>
    <n v="4180.05"/>
    <n v="5"/>
    <n v="0.05"/>
    <n v="1454.07"/>
    <x v="3"/>
    <x v="1"/>
    <s v="Bad"/>
    <n v="836.01"/>
    <n v="46006"/>
    <x v="0"/>
    <n v="12"/>
    <x v="4"/>
    <n v="0.34785947536512718"/>
    <s v="Low"/>
  </r>
  <r>
    <s v="ORD100734"/>
    <d v="2024-05-31T00:00:00"/>
    <s v="Customer 43"/>
    <x v="3"/>
    <s v="Odisha"/>
    <x v="1"/>
    <s v="Storage"/>
    <x v="24"/>
    <n v="6423.9"/>
    <n v="7"/>
    <n v="0.15"/>
    <n v="730.49"/>
    <x v="8"/>
    <x v="2"/>
    <s v="Bad"/>
    <n v="917.69999999999993"/>
    <n v="45443"/>
    <x v="1"/>
    <n v="5"/>
    <x v="7"/>
    <n v="0.11371441024922556"/>
    <s v="medium"/>
  </r>
  <r>
    <s v="ORD100735"/>
    <d v="2024-09-30T00:00:00"/>
    <s v="Customer 188"/>
    <x v="0"/>
    <s v="Kerala"/>
    <x v="0"/>
    <s v="Writing"/>
    <x v="19"/>
    <n v="7439.13"/>
    <n v="9"/>
    <n v="0.1"/>
    <n v="2347.2199999999998"/>
    <x v="9"/>
    <x v="2"/>
    <s v="Good"/>
    <n v="826.57"/>
    <n v="45565"/>
    <x v="1"/>
    <n v="9"/>
    <x v="5"/>
    <n v="0.31552345502767121"/>
    <s v="Low"/>
  </r>
  <r>
    <s v="ORD100736"/>
    <d v="2024-11-06T00:00:00"/>
    <s v="Customer 104"/>
    <x v="2"/>
    <s v="Uttarakhand"/>
    <x v="1"/>
    <s v="Chairs"/>
    <x v="4"/>
    <n v="1316.82"/>
    <n v="6"/>
    <n v="0.15"/>
    <n v="48.95"/>
    <x v="3"/>
    <x v="2"/>
    <s v="Bad"/>
    <n v="219.47"/>
    <n v="45602"/>
    <x v="1"/>
    <n v="11"/>
    <x v="10"/>
    <n v="3.7172886195531663E-2"/>
    <s v="medium"/>
  </r>
  <r>
    <s v="ORD100737"/>
    <d v="2024-03-11T00:00:00"/>
    <s v="Customer 166"/>
    <x v="3"/>
    <s v="West Bengal"/>
    <x v="2"/>
    <s v="Computers"/>
    <x v="26"/>
    <n v="8251.0400000000009"/>
    <n v="8"/>
    <n v="0.05"/>
    <n v="2822.31"/>
    <x v="3"/>
    <x v="0"/>
    <s v="Good"/>
    <n v="1031.3800000000001"/>
    <n v="45362"/>
    <x v="1"/>
    <n v="3"/>
    <x v="3"/>
    <n v="0.34205506214974107"/>
    <s v="Low"/>
  </r>
  <r>
    <s v="ORD100738"/>
    <d v="2025-07-13T00:00:00"/>
    <s v="Customer 185"/>
    <x v="3"/>
    <s v="Odisha"/>
    <x v="2"/>
    <s v="Computers"/>
    <x v="26"/>
    <n v="6730.1"/>
    <n v="10"/>
    <n v="0.3"/>
    <n v="-1282.92"/>
    <x v="1"/>
    <x v="3"/>
    <s v="Good"/>
    <n v="673.01"/>
    <n v="45851"/>
    <x v="0"/>
    <n v="7"/>
    <x v="6"/>
    <n v="-0.19062421063580037"/>
    <s v="high"/>
  </r>
  <r>
    <s v="ORD100739"/>
    <d v="2024-10-27T00:00:00"/>
    <s v="Customer 193"/>
    <x v="0"/>
    <s v="Tamil Nadu"/>
    <x v="2"/>
    <s v="Computers"/>
    <x v="6"/>
    <n v="1941.51"/>
    <n v="3"/>
    <n v="0.25"/>
    <n v="228.99"/>
    <x v="1"/>
    <x v="2"/>
    <s v="Bad"/>
    <n v="647.16999999999996"/>
    <n v="45592"/>
    <x v="1"/>
    <n v="10"/>
    <x v="2"/>
    <n v="0.11794428048271706"/>
    <s v="high"/>
  </r>
  <r>
    <s v="ORD100740"/>
    <d v="2024-09-10T00:00:00"/>
    <s v="Customer 170"/>
    <x v="0"/>
    <s v="Karnataka"/>
    <x v="1"/>
    <s v="Chairs"/>
    <x v="4"/>
    <n v="6205.26"/>
    <n v="6"/>
    <n v="0.05"/>
    <n v="1606.34"/>
    <x v="1"/>
    <x v="3"/>
    <s v="Bad"/>
    <n v="1034.21"/>
    <n v="45545"/>
    <x v="1"/>
    <n v="9"/>
    <x v="5"/>
    <n v="0.2588674769469772"/>
    <s v="Low"/>
  </r>
  <r>
    <s v="ORD100741"/>
    <d v="2024-09-30T00:00:00"/>
    <s v="Customer 84"/>
    <x v="0"/>
    <s v="Telangana"/>
    <x v="2"/>
    <s v="Accessories"/>
    <x v="18"/>
    <n v="569.24"/>
    <n v="4"/>
    <n v="0.15"/>
    <n v="85"/>
    <x v="6"/>
    <x v="2"/>
    <s v="Bad"/>
    <n v="142.31"/>
    <n v="45565"/>
    <x v="1"/>
    <n v="9"/>
    <x v="5"/>
    <n v="0.14932190288806127"/>
    <s v="medium"/>
  </r>
  <r>
    <s v="ORD100742"/>
    <d v="2024-06-25T00:00:00"/>
    <s v="Customer 45"/>
    <x v="3"/>
    <s v="Odisha"/>
    <x v="0"/>
    <s v="Paper"/>
    <x v="11"/>
    <n v="3712.87"/>
    <n v="7"/>
    <n v="0.25"/>
    <n v="125.15"/>
    <x v="5"/>
    <x v="3"/>
    <s v="Bad"/>
    <n v="530.41"/>
    <n v="45468"/>
    <x v="1"/>
    <n v="6"/>
    <x v="9"/>
    <n v="3.3707078351787163E-2"/>
    <s v="high"/>
  </r>
  <r>
    <s v="ORD100743"/>
    <d v="2024-05-26T00:00:00"/>
    <s v="Customer 31"/>
    <x v="3"/>
    <s v="Assam"/>
    <x v="1"/>
    <s v="Storage"/>
    <x v="7"/>
    <n v="578.16999999999996"/>
    <n v="1"/>
    <n v="0.25"/>
    <n v="32.979999999999997"/>
    <x v="7"/>
    <x v="1"/>
    <s v="Bad"/>
    <n v="578.16999999999996"/>
    <n v="45438"/>
    <x v="1"/>
    <n v="5"/>
    <x v="7"/>
    <n v="5.7042046456924435E-2"/>
    <s v="high"/>
  </r>
  <r>
    <s v="ORD100744"/>
    <d v="2024-01-18T00:00:00"/>
    <s v="Customer 192"/>
    <x v="2"/>
    <s v="Uttarakhand"/>
    <x v="0"/>
    <s v="Binders"/>
    <x v="22"/>
    <n v="1010.72"/>
    <n v="4"/>
    <n v="0.1"/>
    <n v="45.19"/>
    <x v="6"/>
    <x v="3"/>
    <s v="Bad"/>
    <n v="252.68"/>
    <n v="45309"/>
    <x v="1"/>
    <n v="1"/>
    <x v="0"/>
    <n v="4.4710701282254232E-2"/>
    <s v="Low"/>
  </r>
  <r>
    <s v="ORD100745"/>
    <d v="2025-11-01T00:00:00"/>
    <s v="Customer 85"/>
    <x v="2"/>
    <s v="Uttarakhand"/>
    <x v="0"/>
    <s v="Binders"/>
    <x v="0"/>
    <n v="117.15"/>
    <n v="1"/>
    <n v="0"/>
    <n v="40.08"/>
    <x v="7"/>
    <x v="3"/>
    <s v="Bad"/>
    <n v="117.15"/>
    <n v="45962"/>
    <x v="0"/>
    <n v="11"/>
    <x v="10"/>
    <n v="0.34212548015364913"/>
    <s v="No Discount"/>
  </r>
  <r>
    <s v="ORD100746"/>
    <d v="2025-09-18T00:00:00"/>
    <s v="Customer 137"/>
    <x v="3"/>
    <s v="Bihar"/>
    <x v="2"/>
    <s v="Accessories"/>
    <x v="12"/>
    <n v="3983.16"/>
    <n v="4"/>
    <n v="0.1"/>
    <n v="-75.459999999999994"/>
    <x v="8"/>
    <x v="3"/>
    <s v="Bad"/>
    <n v="995.79"/>
    <n v="45918"/>
    <x v="0"/>
    <n v="9"/>
    <x v="5"/>
    <n v="-1.8944757428775143E-2"/>
    <s v="Low"/>
  </r>
  <r>
    <s v="ORD100747"/>
    <d v="2025-05-19T00:00:00"/>
    <s v="Customer 41"/>
    <x v="0"/>
    <s v="Kerala"/>
    <x v="0"/>
    <s v="Binders"/>
    <x v="0"/>
    <n v="2338.08"/>
    <n v="3"/>
    <n v="0.2"/>
    <n v="198.8"/>
    <x v="1"/>
    <x v="1"/>
    <s v="Bad"/>
    <n v="779.36"/>
    <n v="45796"/>
    <x v="0"/>
    <n v="5"/>
    <x v="7"/>
    <n v="8.5027030726065836E-2"/>
    <s v="medium"/>
  </r>
  <r>
    <s v="ORD100748"/>
    <d v="2024-07-24T00:00:00"/>
    <s v="Customer 31"/>
    <x v="0"/>
    <s v="Karnataka"/>
    <x v="1"/>
    <s v="Tables"/>
    <x v="9"/>
    <n v="1177.23"/>
    <n v="1"/>
    <n v="0.1"/>
    <n v="-23.15"/>
    <x v="0"/>
    <x v="2"/>
    <s v="Bad"/>
    <n v="1177.23"/>
    <n v="45497"/>
    <x v="1"/>
    <n v="7"/>
    <x v="6"/>
    <n v="-1.9664806367489785E-2"/>
    <s v="Low"/>
  </r>
  <r>
    <s v="ORD100749"/>
    <d v="2025-02-10T00:00:00"/>
    <s v="Customer 65"/>
    <x v="1"/>
    <s v="Rajasthan"/>
    <x v="1"/>
    <s v="Tables"/>
    <x v="16"/>
    <n v="4640.28"/>
    <n v="4"/>
    <n v="0.2"/>
    <n v="203.85"/>
    <x v="4"/>
    <x v="3"/>
    <s v="Bad"/>
    <n v="1160.07"/>
    <n v="45698"/>
    <x v="0"/>
    <n v="2"/>
    <x v="1"/>
    <n v="4.393053867439034E-2"/>
    <s v="medium"/>
  </r>
  <r>
    <s v="ORD100750"/>
    <d v="2024-05-13T00:00:00"/>
    <s v="Customer 33"/>
    <x v="1"/>
    <s v="Maharashtra"/>
    <x v="1"/>
    <s v="Chairs"/>
    <x v="5"/>
    <n v="6200.64"/>
    <n v="6"/>
    <n v="0.15"/>
    <n v="667.92"/>
    <x v="3"/>
    <x v="0"/>
    <s v="Bad"/>
    <n v="1033.44"/>
    <n v="45425"/>
    <x v="1"/>
    <n v="5"/>
    <x v="7"/>
    <n v="0.10771791298962687"/>
    <s v="medium"/>
  </r>
  <r>
    <s v="ORD100751"/>
    <d v="2025-04-21T00:00:00"/>
    <s v="Customer 51"/>
    <x v="1"/>
    <s v="Maharashtra"/>
    <x v="2"/>
    <s v="Accessories"/>
    <x v="18"/>
    <n v="4179.6499999999996"/>
    <n v="5"/>
    <n v="0.1"/>
    <n v="839.19"/>
    <x v="3"/>
    <x v="0"/>
    <s v="Bad"/>
    <n v="835.93"/>
    <n v="45768"/>
    <x v="0"/>
    <n v="4"/>
    <x v="8"/>
    <n v="0.2007799696146807"/>
    <s v="Low"/>
  </r>
  <r>
    <s v="ORD100752"/>
    <d v="2025-11-11T00:00:00"/>
    <s v="Customer 103"/>
    <x v="3"/>
    <s v="West Bengal"/>
    <x v="2"/>
    <s v="Phones"/>
    <x v="23"/>
    <n v="82.72"/>
    <n v="4"/>
    <n v="0.1"/>
    <n v="26.42"/>
    <x v="2"/>
    <x v="2"/>
    <s v="Bad"/>
    <n v="20.68"/>
    <n v="45972"/>
    <x v="0"/>
    <n v="11"/>
    <x v="10"/>
    <n v="0.31939071566731142"/>
    <s v="Low"/>
  </r>
  <r>
    <s v="ORD100753"/>
    <d v="2025-12-24T00:00:00"/>
    <s v="Customer 67"/>
    <x v="2"/>
    <s v="Uttarakhand"/>
    <x v="0"/>
    <s v="Paper"/>
    <x v="2"/>
    <n v="2154.6"/>
    <n v="4"/>
    <n v="0.1"/>
    <n v="354.4"/>
    <x v="8"/>
    <x v="0"/>
    <s v="Bad"/>
    <n v="538.65"/>
    <n v="46015"/>
    <x v="0"/>
    <n v="12"/>
    <x v="4"/>
    <n v="0.16448528729230483"/>
    <s v="Low"/>
  </r>
  <r>
    <s v="ORD100754"/>
    <d v="2024-10-02T00:00:00"/>
    <s v="Customer 146"/>
    <x v="2"/>
    <s v="Delhi"/>
    <x v="0"/>
    <s v="Binders"/>
    <x v="25"/>
    <n v="4813.68"/>
    <n v="6"/>
    <n v="0.05"/>
    <n v="1324.31"/>
    <x v="6"/>
    <x v="0"/>
    <s v="Bad"/>
    <n v="802.28000000000009"/>
    <n v="45567"/>
    <x v="1"/>
    <n v="10"/>
    <x v="2"/>
    <n v="0.27511384221635005"/>
    <s v="Low"/>
  </r>
  <r>
    <s v="ORD100755"/>
    <d v="2024-07-18T00:00:00"/>
    <s v="Customer 21"/>
    <x v="1"/>
    <s v="Rajasthan"/>
    <x v="2"/>
    <s v="Phones"/>
    <x v="8"/>
    <n v="3681.04"/>
    <n v="4"/>
    <n v="0"/>
    <n v="1395.99"/>
    <x v="2"/>
    <x v="1"/>
    <s v="Bad"/>
    <n v="920.26"/>
    <n v="45491"/>
    <x v="1"/>
    <n v="7"/>
    <x v="6"/>
    <n v="0.37923793275813356"/>
    <s v="No Discount"/>
  </r>
  <r>
    <s v="ORD100756"/>
    <d v="2025-07-28T00:00:00"/>
    <s v="Customer 33"/>
    <x v="2"/>
    <s v="Uttarakhand"/>
    <x v="2"/>
    <s v="Computers"/>
    <x v="6"/>
    <n v="1204.68"/>
    <n v="4"/>
    <n v="0.25"/>
    <n v="85.7"/>
    <x v="9"/>
    <x v="0"/>
    <s v="Bad"/>
    <n v="301.17"/>
    <n v="45866"/>
    <x v="0"/>
    <n v="7"/>
    <x v="6"/>
    <n v="7.1139223694259054E-2"/>
    <s v="high"/>
  </r>
  <r>
    <s v="ORD100757"/>
    <d v="2024-10-05T00:00:00"/>
    <s v="Customer 33"/>
    <x v="0"/>
    <s v="Telangana"/>
    <x v="0"/>
    <s v="Writing"/>
    <x v="19"/>
    <n v="715.54"/>
    <n v="7"/>
    <n v="0.25"/>
    <n v="-42.17"/>
    <x v="9"/>
    <x v="2"/>
    <s v="Bad"/>
    <n v="102.22"/>
    <n v="45570"/>
    <x v="1"/>
    <n v="10"/>
    <x v="2"/>
    <n v="-5.893451099868631E-2"/>
    <s v="high"/>
  </r>
  <r>
    <s v="ORD100758"/>
    <d v="2025-11-26T00:00:00"/>
    <s v="Customer 198"/>
    <x v="2"/>
    <s v="Delhi"/>
    <x v="1"/>
    <s v="Chairs"/>
    <x v="4"/>
    <n v="740.48"/>
    <n v="2"/>
    <n v="0.05"/>
    <n v="154.49"/>
    <x v="4"/>
    <x v="2"/>
    <s v="Bad"/>
    <n v="370.24"/>
    <n v="45987"/>
    <x v="0"/>
    <n v="11"/>
    <x v="10"/>
    <n v="0.20863493949870354"/>
    <s v="Low"/>
  </r>
  <r>
    <s v="ORD100759"/>
    <d v="2025-12-06T00:00:00"/>
    <s v="Customer 25"/>
    <x v="1"/>
    <s v="Rajasthan"/>
    <x v="0"/>
    <s v="Paper"/>
    <x v="21"/>
    <n v="7640.08"/>
    <n v="7"/>
    <n v="0.05"/>
    <n v="494.35"/>
    <x v="3"/>
    <x v="2"/>
    <s v="Bad"/>
    <n v="1091.44"/>
    <n v="45997"/>
    <x v="0"/>
    <n v="12"/>
    <x v="4"/>
    <n v="6.4704819844818379E-2"/>
    <s v="Low"/>
  </r>
  <r>
    <s v="ORD100760"/>
    <d v="2025-12-04T00:00:00"/>
    <s v="Customer 152"/>
    <x v="3"/>
    <s v="West Bengal"/>
    <x v="2"/>
    <s v="Accessories"/>
    <x v="12"/>
    <n v="5272.68"/>
    <n v="7"/>
    <n v="0.25"/>
    <n v="915.73"/>
    <x v="9"/>
    <x v="2"/>
    <s v="Bad"/>
    <n v="753.24"/>
    <n v="45995"/>
    <x v="0"/>
    <n v="12"/>
    <x v="4"/>
    <n v="0.17367448811610034"/>
    <s v="high"/>
  </r>
  <r>
    <s v="ORD100761"/>
    <d v="2024-07-23T00:00:00"/>
    <s v="Customer 127"/>
    <x v="0"/>
    <s v="Tamil Nadu"/>
    <x v="1"/>
    <s v="Tables"/>
    <x v="9"/>
    <n v="462.48"/>
    <n v="2"/>
    <n v="0"/>
    <n v="93.63"/>
    <x v="6"/>
    <x v="0"/>
    <s v="Bad"/>
    <n v="231.24"/>
    <n v="45496"/>
    <x v="1"/>
    <n v="7"/>
    <x v="6"/>
    <n v="0.20245199792423454"/>
    <s v="No Discount"/>
  </r>
  <r>
    <s v="ORD100762"/>
    <d v="2025-07-09T00:00:00"/>
    <s v="Customer 36"/>
    <x v="3"/>
    <s v="Assam"/>
    <x v="2"/>
    <s v="Computers"/>
    <x v="26"/>
    <n v="11579"/>
    <n v="10"/>
    <n v="0.05"/>
    <n v="2792.93"/>
    <x v="3"/>
    <x v="3"/>
    <s v="Good"/>
    <n v="1157.9000000000001"/>
    <n v="45847"/>
    <x v="0"/>
    <n v="7"/>
    <x v="6"/>
    <n v="0.24120649451593401"/>
    <s v="Low"/>
  </r>
  <r>
    <s v="ORD100763"/>
    <d v="2024-04-04T00:00:00"/>
    <s v="Customer 46"/>
    <x v="0"/>
    <s v="Tamil Nadu"/>
    <x v="0"/>
    <s v="Writing"/>
    <x v="3"/>
    <n v="2221.6799999999998"/>
    <n v="4"/>
    <n v="0.3"/>
    <n v="-422.62"/>
    <x v="8"/>
    <x v="3"/>
    <s v="Bad"/>
    <n v="555.41999999999996"/>
    <n v="45386"/>
    <x v="1"/>
    <n v="4"/>
    <x v="8"/>
    <n v="-0.19022541500126033"/>
    <s v="high"/>
  </r>
  <r>
    <s v="ORD100764"/>
    <d v="2024-03-09T00:00:00"/>
    <s v="Customer 144"/>
    <x v="1"/>
    <s v="Rajasthan"/>
    <x v="0"/>
    <s v="Binders"/>
    <x v="22"/>
    <n v="4955.28"/>
    <n v="6"/>
    <n v="0.25"/>
    <n v="-849.92"/>
    <x v="7"/>
    <x v="0"/>
    <s v="Bad"/>
    <n v="825.88"/>
    <n v="45360"/>
    <x v="1"/>
    <n v="3"/>
    <x v="3"/>
    <n v="-0.17151805750633667"/>
    <s v="high"/>
  </r>
  <r>
    <s v="ORD100765"/>
    <d v="2024-01-04T00:00:00"/>
    <s v="Customer 182"/>
    <x v="2"/>
    <s v="Uttarakhand"/>
    <x v="1"/>
    <s v="Tables"/>
    <x v="9"/>
    <n v="1514.52"/>
    <n v="3"/>
    <n v="0.15"/>
    <n v="445.91"/>
    <x v="5"/>
    <x v="1"/>
    <s v="Bad"/>
    <n v="504.84"/>
    <n v="45295"/>
    <x v="1"/>
    <n v="1"/>
    <x v="0"/>
    <n v="0.29442331563795793"/>
    <s v="medium"/>
  </r>
  <r>
    <s v="ORD100766"/>
    <d v="2025-04-30T00:00:00"/>
    <s v="Customer 21"/>
    <x v="1"/>
    <s v="Maharashtra"/>
    <x v="1"/>
    <s v="Storage"/>
    <x v="24"/>
    <n v="3465.36"/>
    <n v="8"/>
    <n v="0.1"/>
    <n v="1181.2"/>
    <x v="3"/>
    <x v="2"/>
    <s v="Bad"/>
    <n v="433.17"/>
    <n v="45777"/>
    <x v="0"/>
    <n v="4"/>
    <x v="8"/>
    <n v="0.34085924694692615"/>
    <s v="Low"/>
  </r>
  <r>
    <s v="ORD100767"/>
    <d v="2024-11-08T00:00:00"/>
    <s v="Customer 151"/>
    <x v="2"/>
    <s v="Haryana"/>
    <x v="1"/>
    <s v="Storage"/>
    <x v="7"/>
    <n v="201.54"/>
    <n v="6"/>
    <n v="0.3"/>
    <n v="26.21"/>
    <x v="9"/>
    <x v="1"/>
    <s v="Bad"/>
    <n v="33.589999999999996"/>
    <n v="45604"/>
    <x v="1"/>
    <n v="11"/>
    <x v="10"/>
    <n v="0.13004862558301084"/>
    <s v="high"/>
  </r>
  <r>
    <s v="ORD100768"/>
    <d v="2024-03-12T00:00:00"/>
    <s v="Customer 60"/>
    <x v="0"/>
    <s v="Tamil Nadu"/>
    <x v="1"/>
    <s v="Chairs"/>
    <x v="5"/>
    <n v="8638.3799999999992"/>
    <n v="9"/>
    <n v="0.15"/>
    <n v="1225.52"/>
    <x v="3"/>
    <x v="3"/>
    <s v="Good"/>
    <n v="959.81999999999994"/>
    <n v="45363"/>
    <x v="1"/>
    <n v="3"/>
    <x v="3"/>
    <n v="0.14186919306629253"/>
    <s v="medium"/>
  </r>
  <r>
    <s v="ORD100769"/>
    <d v="2025-06-04T00:00:00"/>
    <s v="Customer 95"/>
    <x v="3"/>
    <s v="Assam"/>
    <x v="0"/>
    <s v="Writing"/>
    <x v="3"/>
    <n v="2137.08"/>
    <n v="3"/>
    <n v="0.15"/>
    <n v="261.5"/>
    <x v="3"/>
    <x v="2"/>
    <s v="Bad"/>
    <n v="712.36"/>
    <n v="45812"/>
    <x v="0"/>
    <n v="6"/>
    <x v="9"/>
    <n v="0.12236322458681941"/>
    <s v="medium"/>
  </r>
  <r>
    <s v="ORD100770"/>
    <d v="2025-08-07T00:00:00"/>
    <s v="Customer 37"/>
    <x v="2"/>
    <s v="Haryana"/>
    <x v="2"/>
    <s v="Phones"/>
    <x v="13"/>
    <n v="140.57"/>
    <n v="1"/>
    <n v="0.1"/>
    <n v="-6.02"/>
    <x v="7"/>
    <x v="1"/>
    <s v="Bad"/>
    <n v="140.57"/>
    <n v="45876"/>
    <x v="0"/>
    <n v="8"/>
    <x v="11"/>
    <n v="-4.2825638471935691E-2"/>
    <s v="Low"/>
  </r>
  <r>
    <s v="ORD100771"/>
    <d v="2024-11-19T00:00:00"/>
    <s v="Customer 10"/>
    <x v="2"/>
    <s v="Delhi"/>
    <x v="2"/>
    <s v="Phones"/>
    <x v="23"/>
    <n v="7473.4"/>
    <n v="10"/>
    <n v="0.15"/>
    <n v="1376.69"/>
    <x v="5"/>
    <x v="3"/>
    <s v="Good"/>
    <n v="747.33999999999992"/>
    <n v="45615"/>
    <x v="1"/>
    <n v="11"/>
    <x v="10"/>
    <n v="0.1842120052452699"/>
    <s v="medium"/>
  </r>
  <r>
    <s v="ORD100772"/>
    <d v="2024-02-22T00:00:00"/>
    <s v="Customer 167"/>
    <x v="2"/>
    <s v="Delhi"/>
    <x v="1"/>
    <s v="Tables"/>
    <x v="9"/>
    <n v="4842.6400000000003"/>
    <n v="8"/>
    <n v="0.1"/>
    <n v="848.56"/>
    <x v="3"/>
    <x v="1"/>
    <s v="Bad"/>
    <n v="605.33000000000004"/>
    <n v="45344"/>
    <x v="1"/>
    <n v="2"/>
    <x v="1"/>
    <n v="0.17522673583004308"/>
    <s v="Low"/>
  </r>
  <r>
    <s v="ORD100773"/>
    <d v="2025-12-20T00:00:00"/>
    <s v="Customer 107"/>
    <x v="3"/>
    <s v="Odisha"/>
    <x v="0"/>
    <s v="Binders"/>
    <x v="0"/>
    <n v="890.08"/>
    <n v="1"/>
    <n v="0.2"/>
    <n v="70.09"/>
    <x v="6"/>
    <x v="0"/>
    <s v="Bad"/>
    <n v="890.08"/>
    <n v="46011"/>
    <x v="0"/>
    <n v="12"/>
    <x v="4"/>
    <n v="7.8745730720834087E-2"/>
    <s v="medium"/>
  </r>
  <r>
    <s v="ORD100774"/>
    <d v="2025-12-07T00:00:00"/>
    <s v="Customer 3"/>
    <x v="2"/>
    <s v="Haryana"/>
    <x v="2"/>
    <s v="Phones"/>
    <x v="23"/>
    <n v="2484.7800000000002"/>
    <n v="3"/>
    <n v="0.3"/>
    <n v="-576.89"/>
    <x v="9"/>
    <x v="1"/>
    <s v="Bad"/>
    <n v="828.2600000000001"/>
    <n v="45998"/>
    <x v="0"/>
    <n v="12"/>
    <x v="4"/>
    <n v="-0.23216944759697034"/>
    <s v="high"/>
  </r>
  <r>
    <s v="ORD100775"/>
    <d v="2025-03-15T00:00:00"/>
    <s v="Customer 124"/>
    <x v="2"/>
    <s v="Haryana"/>
    <x v="1"/>
    <s v="Storage"/>
    <x v="15"/>
    <n v="1459.84"/>
    <n v="8"/>
    <n v="0.3"/>
    <n v="-27.8"/>
    <x v="1"/>
    <x v="3"/>
    <s v="Bad"/>
    <n v="182.48"/>
    <n v="45731"/>
    <x v="0"/>
    <n v="3"/>
    <x v="3"/>
    <n v="-1.9043182814555023E-2"/>
    <s v="high"/>
  </r>
  <r>
    <s v="ORD100776"/>
    <d v="2024-06-17T00:00:00"/>
    <s v="Customer 118"/>
    <x v="2"/>
    <s v="Punjab"/>
    <x v="0"/>
    <s v="Paper"/>
    <x v="11"/>
    <n v="1401.72"/>
    <n v="3"/>
    <n v="0.05"/>
    <n v="475.83"/>
    <x v="7"/>
    <x v="0"/>
    <s v="Bad"/>
    <n v="467.24"/>
    <n v="45460"/>
    <x v="1"/>
    <n v="6"/>
    <x v="9"/>
    <n v="0.33946151870559027"/>
    <s v="Low"/>
  </r>
  <r>
    <s v="ORD100777"/>
    <d v="2024-10-30T00:00:00"/>
    <s v="Customer 107"/>
    <x v="0"/>
    <s v="Tamil Nadu"/>
    <x v="1"/>
    <s v="Storage"/>
    <x v="7"/>
    <n v="565.95000000000005"/>
    <n v="5"/>
    <n v="0.1"/>
    <n v="167.24"/>
    <x v="2"/>
    <x v="0"/>
    <s v="Bad"/>
    <n v="113.19000000000001"/>
    <n v="45595"/>
    <x v="1"/>
    <n v="10"/>
    <x v="2"/>
    <n v="0.29550313631946284"/>
    <s v="Low"/>
  </r>
  <r>
    <s v="ORD100778"/>
    <d v="2025-07-13T00:00:00"/>
    <s v="Customer 16"/>
    <x v="3"/>
    <s v="West Bengal"/>
    <x v="0"/>
    <s v="Paper"/>
    <x v="11"/>
    <n v="8168.3"/>
    <n v="10"/>
    <n v="0.3"/>
    <n v="506.17"/>
    <x v="5"/>
    <x v="0"/>
    <s v="Good"/>
    <n v="816.83"/>
    <n v="45851"/>
    <x v="0"/>
    <n v="7"/>
    <x v="6"/>
    <n v="6.1967606478704258E-2"/>
    <s v="high"/>
  </r>
  <r>
    <s v="ORD100779"/>
    <d v="2024-03-23T00:00:00"/>
    <s v="Customer 83"/>
    <x v="0"/>
    <s v="Kerala"/>
    <x v="1"/>
    <s v="Chairs"/>
    <x v="14"/>
    <n v="6532.68"/>
    <n v="7"/>
    <n v="0.3"/>
    <n v="542.11"/>
    <x v="6"/>
    <x v="2"/>
    <s v="Bad"/>
    <n v="933.24"/>
    <n v="45374"/>
    <x v="1"/>
    <n v="3"/>
    <x v="3"/>
    <n v="8.2984318840047269E-2"/>
    <s v="high"/>
  </r>
  <r>
    <s v="ORD100780"/>
    <d v="2025-09-04T00:00:00"/>
    <s v="Customer 32"/>
    <x v="1"/>
    <s v="Gujarat"/>
    <x v="2"/>
    <s v="Phones"/>
    <x v="13"/>
    <n v="5176.3999999999996"/>
    <n v="8"/>
    <n v="0.15"/>
    <n v="761.34"/>
    <x v="7"/>
    <x v="0"/>
    <s v="Good"/>
    <n v="647.04999999999995"/>
    <n v="45904"/>
    <x v="0"/>
    <n v="9"/>
    <x v="5"/>
    <n v="0.14707905107796926"/>
    <s v="medium"/>
  </r>
  <r>
    <s v="ORD100781"/>
    <d v="2025-08-03T00:00:00"/>
    <s v="Customer 139"/>
    <x v="1"/>
    <s v="Maharashtra"/>
    <x v="0"/>
    <s v="Writing"/>
    <x v="19"/>
    <n v="9179.91"/>
    <n v="9"/>
    <n v="0.25"/>
    <n v="1461.09"/>
    <x v="1"/>
    <x v="1"/>
    <s v="Good"/>
    <n v="1019.99"/>
    <n v="45872"/>
    <x v="0"/>
    <n v="8"/>
    <x v="11"/>
    <n v="0.1591616911276908"/>
    <s v="high"/>
  </r>
  <r>
    <s v="ORD100782"/>
    <d v="2025-09-19T00:00:00"/>
    <s v="Customer 103"/>
    <x v="2"/>
    <s v="Delhi"/>
    <x v="2"/>
    <s v="Computers"/>
    <x v="10"/>
    <n v="1034.8800000000001"/>
    <n v="2"/>
    <n v="0.1"/>
    <n v="15.81"/>
    <x v="4"/>
    <x v="2"/>
    <s v="Bad"/>
    <n v="517.44000000000005"/>
    <n v="45919"/>
    <x v="0"/>
    <n v="9"/>
    <x v="5"/>
    <n v="1.5277133580705008E-2"/>
    <s v="Low"/>
  </r>
  <r>
    <s v="ORD100783"/>
    <d v="2025-09-14T00:00:00"/>
    <s v="Customer 111"/>
    <x v="2"/>
    <s v="Uttarakhand"/>
    <x v="1"/>
    <s v="Tables"/>
    <x v="17"/>
    <n v="6617.6"/>
    <n v="10"/>
    <n v="0.2"/>
    <n v="1303.81"/>
    <x v="5"/>
    <x v="1"/>
    <s v="Good"/>
    <n v="661.76"/>
    <n v="45914"/>
    <x v="0"/>
    <n v="9"/>
    <x v="5"/>
    <n v="0.19702157882011603"/>
    <s v="medium"/>
  </r>
  <r>
    <s v="ORD100784"/>
    <d v="2024-04-23T00:00:00"/>
    <s v="Customer 106"/>
    <x v="3"/>
    <s v="Bihar"/>
    <x v="2"/>
    <s v="Phones"/>
    <x v="8"/>
    <n v="2541.48"/>
    <n v="4"/>
    <n v="0.05"/>
    <n v="879.33"/>
    <x v="6"/>
    <x v="3"/>
    <s v="Bad"/>
    <n v="635.37"/>
    <n v="45405"/>
    <x v="1"/>
    <n v="4"/>
    <x v="8"/>
    <n v="0.34599131214882667"/>
    <s v="Low"/>
  </r>
  <r>
    <s v="ORD100785"/>
    <d v="2025-07-19T00:00:00"/>
    <s v="Customer 150"/>
    <x v="3"/>
    <s v="Assam"/>
    <x v="1"/>
    <s v="Tables"/>
    <x v="16"/>
    <n v="10389.33"/>
    <n v="9"/>
    <n v="0.05"/>
    <n v="538.84"/>
    <x v="8"/>
    <x v="1"/>
    <s v="Good"/>
    <n v="1154.3699999999999"/>
    <n v="45857"/>
    <x v="0"/>
    <n v="7"/>
    <x v="6"/>
    <n v="5.186474969993253E-2"/>
    <s v="Low"/>
  </r>
  <r>
    <s v="ORD100786"/>
    <d v="2025-01-20T00:00:00"/>
    <s v="Customer 86"/>
    <x v="3"/>
    <s v="West Bengal"/>
    <x v="0"/>
    <s v="Paper"/>
    <x v="11"/>
    <n v="1832.1"/>
    <n v="6"/>
    <n v="0.1"/>
    <n v="124.07"/>
    <x v="6"/>
    <x v="0"/>
    <s v="Bad"/>
    <n v="305.34999999999997"/>
    <n v="45677"/>
    <x v="0"/>
    <n v="1"/>
    <x v="0"/>
    <n v="6.7720102614486105E-2"/>
    <s v="Low"/>
  </r>
  <r>
    <s v="ORD100787"/>
    <d v="2024-07-06T00:00:00"/>
    <s v="Customer 125"/>
    <x v="1"/>
    <s v="Goa"/>
    <x v="1"/>
    <s v="Storage"/>
    <x v="15"/>
    <n v="555.87"/>
    <n v="7"/>
    <n v="0.1"/>
    <n v="82.57"/>
    <x v="8"/>
    <x v="2"/>
    <s v="Bad"/>
    <n v="79.41"/>
    <n v="45479"/>
    <x v="1"/>
    <n v="7"/>
    <x v="6"/>
    <n v="0.148541925270297"/>
    <s v="Low"/>
  </r>
  <r>
    <s v="ORD100788"/>
    <d v="2025-05-10T00:00:00"/>
    <s v="Customer 181"/>
    <x v="3"/>
    <s v="Bihar"/>
    <x v="0"/>
    <s v="Writing"/>
    <x v="19"/>
    <n v="1946.35"/>
    <n v="7"/>
    <n v="0.05"/>
    <n v="615.96"/>
    <x v="3"/>
    <x v="2"/>
    <s v="Bad"/>
    <n v="278.05"/>
    <n v="45787"/>
    <x v="0"/>
    <n v="5"/>
    <x v="7"/>
    <n v="0.31646928866853347"/>
    <s v="Low"/>
  </r>
  <r>
    <s v="ORD100789"/>
    <d v="2025-06-28T00:00:00"/>
    <s v="Customer 9"/>
    <x v="2"/>
    <s v="Uttarakhand"/>
    <x v="1"/>
    <s v="Storage"/>
    <x v="7"/>
    <n v="4632.72"/>
    <n v="4"/>
    <n v="0.05"/>
    <n v="1303.4100000000001"/>
    <x v="0"/>
    <x v="0"/>
    <s v="Bad"/>
    <n v="1158.18"/>
    <n v="45836"/>
    <x v="0"/>
    <n v="6"/>
    <x v="9"/>
    <n v="0.28134875407967674"/>
    <s v="Low"/>
  </r>
  <r>
    <s v="ORD100790"/>
    <d v="2024-03-02T00:00:00"/>
    <s v="Customer 62"/>
    <x v="3"/>
    <s v="Assam"/>
    <x v="2"/>
    <s v="Accessories"/>
    <x v="18"/>
    <n v="6259.47"/>
    <n v="7"/>
    <n v="0.1"/>
    <n v="497.16"/>
    <x v="0"/>
    <x v="0"/>
    <s v="Bad"/>
    <n v="894.21"/>
    <n v="45353"/>
    <x v="1"/>
    <n v="3"/>
    <x v="3"/>
    <n v="7.9425254853845453E-2"/>
    <s v="Low"/>
  </r>
  <r>
    <s v="ORD100791"/>
    <d v="2025-06-13T00:00:00"/>
    <s v="Customer 71"/>
    <x v="0"/>
    <s v="Telangana"/>
    <x v="0"/>
    <s v="Writing"/>
    <x v="1"/>
    <n v="7803.27"/>
    <n v="9"/>
    <n v="0.3"/>
    <n v="112.32"/>
    <x v="6"/>
    <x v="0"/>
    <s v="Good"/>
    <n v="867.03000000000009"/>
    <n v="45821"/>
    <x v="0"/>
    <n v="6"/>
    <x v="9"/>
    <n v="1.4393965606726409E-2"/>
    <s v="high"/>
  </r>
  <r>
    <s v="ORD100792"/>
    <d v="2024-12-07T00:00:00"/>
    <s v="Customer 12"/>
    <x v="3"/>
    <s v="Assam"/>
    <x v="0"/>
    <s v="Writing"/>
    <x v="3"/>
    <n v="646.82000000000005"/>
    <n v="1"/>
    <n v="0.05"/>
    <n v="179.41"/>
    <x v="3"/>
    <x v="0"/>
    <s v="Bad"/>
    <n v="646.82000000000005"/>
    <n v="45633"/>
    <x v="1"/>
    <n v="12"/>
    <x v="4"/>
    <n v="0.27737237562227512"/>
    <s v="Low"/>
  </r>
  <r>
    <s v="ORD100793"/>
    <d v="2024-08-08T00:00:00"/>
    <s v="Customer 151"/>
    <x v="0"/>
    <s v="Karnataka"/>
    <x v="0"/>
    <s v="Paper"/>
    <x v="11"/>
    <n v="7772.8"/>
    <n v="8"/>
    <n v="0.15"/>
    <n v="1242.98"/>
    <x v="3"/>
    <x v="3"/>
    <s v="Good"/>
    <n v="971.6"/>
    <n v="45512"/>
    <x v="1"/>
    <n v="8"/>
    <x v="11"/>
    <n v="0.15991405928365582"/>
    <s v="medium"/>
  </r>
  <r>
    <s v="ORD100794"/>
    <d v="2025-04-24T00:00:00"/>
    <s v="Customer 141"/>
    <x v="1"/>
    <s v="Rajasthan"/>
    <x v="0"/>
    <s v="Binders"/>
    <x v="25"/>
    <n v="1366.24"/>
    <n v="4"/>
    <n v="0.3"/>
    <n v="-25.27"/>
    <x v="1"/>
    <x v="0"/>
    <s v="Bad"/>
    <n v="341.56"/>
    <n v="45771"/>
    <x v="0"/>
    <n v="4"/>
    <x v="8"/>
    <n v="-1.8496018269118165E-2"/>
    <s v="high"/>
  </r>
  <r>
    <s v="ORD100795"/>
    <d v="2024-02-16T00:00:00"/>
    <s v="Customer 145"/>
    <x v="2"/>
    <s v="Uttarakhand"/>
    <x v="0"/>
    <s v="Paper"/>
    <x v="2"/>
    <n v="3804.56"/>
    <n v="4"/>
    <n v="0.3"/>
    <n v="-502.12"/>
    <x v="8"/>
    <x v="0"/>
    <s v="Bad"/>
    <n v="951.14"/>
    <n v="45338"/>
    <x v="1"/>
    <n v="2"/>
    <x v="1"/>
    <n v="-0.13197846794373069"/>
    <s v="high"/>
  </r>
  <r>
    <s v="ORD100796"/>
    <d v="2024-07-03T00:00:00"/>
    <s v="Customer 136"/>
    <x v="3"/>
    <s v="Odisha"/>
    <x v="1"/>
    <s v="Chairs"/>
    <x v="5"/>
    <n v="776.83"/>
    <n v="1"/>
    <n v="0.05"/>
    <n v="46.58"/>
    <x v="1"/>
    <x v="3"/>
    <s v="Bad"/>
    <n v="776.83"/>
    <n v="45476"/>
    <x v="1"/>
    <n v="7"/>
    <x v="6"/>
    <n v="5.9961638968628911E-2"/>
    <s v="Low"/>
  </r>
  <r>
    <s v="ORD100797"/>
    <d v="2024-06-04T00:00:00"/>
    <s v="Customer 126"/>
    <x v="2"/>
    <s v="Delhi"/>
    <x v="1"/>
    <s v="Storage"/>
    <x v="24"/>
    <n v="740.64"/>
    <n v="1"/>
    <n v="0.3"/>
    <n v="0.59"/>
    <x v="9"/>
    <x v="3"/>
    <s v="Bad"/>
    <n v="740.64"/>
    <n v="45447"/>
    <x v="1"/>
    <n v="6"/>
    <x v="9"/>
    <n v="7.9660833873406779E-4"/>
    <s v="high"/>
  </r>
  <r>
    <s v="ORD100798"/>
    <d v="2024-08-31T00:00:00"/>
    <s v="Customer 53"/>
    <x v="2"/>
    <s v="Punjab"/>
    <x v="2"/>
    <s v="Phones"/>
    <x v="23"/>
    <n v="5440.4"/>
    <n v="5"/>
    <n v="0.15"/>
    <n v="1530.52"/>
    <x v="2"/>
    <x v="0"/>
    <s v="Bad"/>
    <n v="1088.08"/>
    <n v="45535"/>
    <x v="1"/>
    <n v="8"/>
    <x v="11"/>
    <n v="0.28132490258069259"/>
    <s v="medium"/>
  </r>
  <r>
    <s v="ORD100799"/>
    <d v="2025-07-05T00:00:00"/>
    <s v="Customer 51"/>
    <x v="1"/>
    <s v="Goa"/>
    <x v="1"/>
    <s v="Chairs"/>
    <x v="14"/>
    <n v="2208.3000000000002"/>
    <n v="5"/>
    <n v="0"/>
    <n v="564.17999999999995"/>
    <x v="5"/>
    <x v="0"/>
    <s v="Bad"/>
    <n v="441.66"/>
    <n v="45843"/>
    <x v="0"/>
    <n v="7"/>
    <x v="6"/>
    <n v="0.25548159217497618"/>
    <s v="No Discount"/>
  </r>
  <r>
    <s v="ORD100800"/>
    <d v="2024-01-10T00:00:00"/>
    <s v="Customer 200"/>
    <x v="2"/>
    <s v="Uttarakhand"/>
    <x v="2"/>
    <s v="Phones"/>
    <x v="8"/>
    <n v="1682.62"/>
    <n v="2"/>
    <n v="0.15"/>
    <n v="409.59"/>
    <x v="9"/>
    <x v="3"/>
    <s v="Bad"/>
    <n v="841.31"/>
    <n v="45301"/>
    <x v="1"/>
    <n v="1"/>
    <x v="0"/>
    <n v="0.24342394598899336"/>
    <s v="medium"/>
  </r>
  <r>
    <s v="ORD100801"/>
    <d v="2024-08-30T00:00:00"/>
    <s v="Customer 99"/>
    <x v="2"/>
    <s v="Delhi"/>
    <x v="0"/>
    <s v="Binders"/>
    <x v="22"/>
    <n v="8234.1"/>
    <n v="7"/>
    <n v="0.05"/>
    <n v="1807.83"/>
    <x v="2"/>
    <x v="3"/>
    <s v="Bad"/>
    <n v="1176.3"/>
    <n v="45534"/>
    <x v="1"/>
    <n v="8"/>
    <x v="11"/>
    <n v="0.21955404962290959"/>
    <s v="Low"/>
  </r>
  <r>
    <s v="ORD100802"/>
    <d v="2024-09-04T00:00:00"/>
    <s v="Customer 49"/>
    <x v="1"/>
    <s v="Maharashtra"/>
    <x v="0"/>
    <s v="Paper"/>
    <x v="2"/>
    <n v="5416.8"/>
    <n v="8"/>
    <n v="0.05"/>
    <n v="929.21"/>
    <x v="1"/>
    <x v="3"/>
    <s v="Good"/>
    <n v="677.1"/>
    <n v="45539"/>
    <x v="1"/>
    <n v="9"/>
    <x v="5"/>
    <n v="0.17154223896027174"/>
    <s v="Low"/>
  </r>
  <r>
    <s v="ORD100803"/>
    <d v="2024-04-27T00:00:00"/>
    <s v="Customer 173"/>
    <x v="3"/>
    <s v="West Bengal"/>
    <x v="0"/>
    <s v="Binders"/>
    <x v="22"/>
    <n v="223.46"/>
    <n v="2"/>
    <n v="0.15"/>
    <n v="-15.47"/>
    <x v="3"/>
    <x v="3"/>
    <s v="Bad"/>
    <n v="111.73"/>
    <n v="45409"/>
    <x v="1"/>
    <n v="4"/>
    <x v="8"/>
    <n v="-6.9229392284972699E-2"/>
    <s v="medium"/>
  </r>
  <r>
    <s v="ORD100804"/>
    <d v="2025-03-21T00:00:00"/>
    <s v="Customer 104"/>
    <x v="3"/>
    <s v="Odisha"/>
    <x v="2"/>
    <s v="Phones"/>
    <x v="8"/>
    <n v="5165.8500000000004"/>
    <n v="5"/>
    <n v="0.05"/>
    <n v="1288.3499999999999"/>
    <x v="6"/>
    <x v="0"/>
    <s v="Bad"/>
    <n v="1033.17"/>
    <n v="45737"/>
    <x v="0"/>
    <n v="3"/>
    <x v="3"/>
    <n v="0.24939748540898396"/>
    <s v="Low"/>
  </r>
  <r>
    <s v="ORD100805"/>
    <d v="2025-08-30T00:00:00"/>
    <s v="Customer 173"/>
    <x v="0"/>
    <s v="Telangana"/>
    <x v="0"/>
    <s v="Writing"/>
    <x v="1"/>
    <n v="122.64"/>
    <n v="6"/>
    <n v="0.3"/>
    <n v="14.81"/>
    <x v="4"/>
    <x v="3"/>
    <s v="Bad"/>
    <n v="20.440000000000001"/>
    <n v="45899"/>
    <x v="0"/>
    <n v="8"/>
    <x v="11"/>
    <n v="0.12075994781474234"/>
    <s v="high"/>
  </r>
  <r>
    <s v="ORD100806"/>
    <d v="2024-08-12T00:00:00"/>
    <s v="Customer 63"/>
    <x v="2"/>
    <s v="Uttarakhand"/>
    <x v="1"/>
    <s v="Chairs"/>
    <x v="4"/>
    <n v="109"/>
    <n v="5"/>
    <n v="0.25"/>
    <n v="-5.19"/>
    <x v="2"/>
    <x v="2"/>
    <s v="Bad"/>
    <n v="21.8"/>
    <n v="45516"/>
    <x v="1"/>
    <n v="8"/>
    <x v="11"/>
    <n v="-4.7614678899082573E-2"/>
    <s v="high"/>
  </r>
  <r>
    <s v="ORD100807"/>
    <d v="2024-09-03T00:00:00"/>
    <s v="Customer 130"/>
    <x v="1"/>
    <s v="Maharashtra"/>
    <x v="2"/>
    <s v="Phones"/>
    <x v="8"/>
    <n v="1819.24"/>
    <n v="4"/>
    <n v="0.3"/>
    <n v="-377.99"/>
    <x v="0"/>
    <x v="3"/>
    <s v="Bad"/>
    <n v="454.81"/>
    <n v="45538"/>
    <x v="1"/>
    <n v="9"/>
    <x v="5"/>
    <n v="-0.20777357577889669"/>
    <s v="high"/>
  </r>
  <r>
    <s v="ORD100808"/>
    <d v="2024-11-05T00:00:00"/>
    <s v="Customer 58"/>
    <x v="2"/>
    <s v="Uttarakhand"/>
    <x v="0"/>
    <s v="Paper"/>
    <x v="2"/>
    <n v="6440"/>
    <n v="8"/>
    <n v="0.1"/>
    <n v="2028.94"/>
    <x v="2"/>
    <x v="2"/>
    <s v="Good"/>
    <n v="805"/>
    <n v="45601"/>
    <x v="1"/>
    <n v="11"/>
    <x v="10"/>
    <n v="0.31505279503105593"/>
    <s v="Low"/>
  </r>
  <r>
    <s v="ORD100809"/>
    <d v="2024-05-30T00:00:00"/>
    <s v="Customer 12"/>
    <x v="1"/>
    <s v="Rajasthan"/>
    <x v="2"/>
    <s v="Computers"/>
    <x v="6"/>
    <n v="7017.36"/>
    <n v="6"/>
    <n v="0.2"/>
    <n v="-495.04"/>
    <x v="5"/>
    <x v="0"/>
    <s v="Bad"/>
    <n v="1169.56"/>
    <n v="45442"/>
    <x v="1"/>
    <n v="5"/>
    <x v="7"/>
    <n v="-7.0545048280264949E-2"/>
    <s v="medium"/>
  </r>
  <r>
    <s v="ORD100810"/>
    <d v="2025-10-23T00:00:00"/>
    <s v="Customer 178"/>
    <x v="3"/>
    <s v="Assam"/>
    <x v="0"/>
    <s v="Binders"/>
    <x v="22"/>
    <n v="5200.1099999999997"/>
    <n v="9"/>
    <n v="0"/>
    <n v="2004.09"/>
    <x v="7"/>
    <x v="0"/>
    <s v="Good"/>
    <n v="577.79"/>
    <n v="45953"/>
    <x v="0"/>
    <n v="10"/>
    <x v="2"/>
    <n v="0.38539377051639295"/>
    <s v="No Discount"/>
  </r>
  <r>
    <s v="ORD100811"/>
    <d v="2025-09-03T00:00:00"/>
    <s v="Customer 50"/>
    <x v="1"/>
    <s v="Gujarat"/>
    <x v="2"/>
    <s v="Accessories"/>
    <x v="20"/>
    <n v="4239.76"/>
    <n v="4"/>
    <n v="0.15"/>
    <n v="592.13"/>
    <x v="1"/>
    <x v="3"/>
    <s v="Bad"/>
    <n v="1059.94"/>
    <n v="45903"/>
    <x v="0"/>
    <n v="9"/>
    <x v="5"/>
    <n v="0.13966120723814554"/>
    <s v="medium"/>
  </r>
  <r>
    <s v="ORD100812"/>
    <d v="2025-06-12T00:00:00"/>
    <s v="Customer 77"/>
    <x v="2"/>
    <s v="Punjab"/>
    <x v="1"/>
    <s v="Tables"/>
    <x v="17"/>
    <n v="4090.86"/>
    <n v="9"/>
    <n v="0.25"/>
    <n v="460.42"/>
    <x v="5"/>
    <x v="1"/>
    <s v="Bad"/>
    <n v="454.54"/>
    <n v="45820"/>
    <x v="0"/>
    <n v="6"/>
    <x v="9"/>
    <n v="0.11254846169265142"/>
    <s v="high"/>
  </r>
  <r>
    <s v="ORD100813"/>
    <d v="2025-11-18T00:00:00"/>
    <s v="Customer 53"/>
    <x v="2"/>
    <s v="Haryana"/>
    <x v="1"/>
    <s v="Storage"/>
    <x v="7"/>
    <n v="4836.16"/>
    <n v="7"/>
    <n v="0.2"/>
    <n v="-172.17"/>
    <x v="9"/>
    <x v="1"/>
    <s v="Bad"/>
    <n v="690.88"/>
    <n v="45979"/>
    <x v="0"/>
    <n v="11"/>
    <x v="10"/>
    <n v="-3.5600559121286311E-2"/>
    <s v="medium"/>
  </r>
  <r>
    <s v="ORD100814"/>
    <d v="2024-10-26T00:00:00"/>
    <s v="Customer 97"/>
    <x v="1"/>
    <s v="Gujarat"/>
    <x v="0"/>
    <s v="Writing"/>
    <x v="19"/>
    <n v="5532.35"/>
    <n v="5"/>
    <n v="0.15"/>
    <n v="647.04"/>
    <x v="7"/>
    <x v="1"/>
    <s v="Bad"/>
    <n v="1106.47"/>
    <n v="45591"/>
    <x v="1"/>
    <n v="10"/>
    <x v="2"/>
    <n v="0.11695572405939608"/>
    <s v="medium"/>
  </r>
  <r>
    <s v="ORD100815"/>
    <d v="2025-05-30T00:00:00"/>
    <s v="Customer 62"/>
    <x v="3"/>
    <s v="Odisha"/>
    <x v="1"/>
    <s v="Storage"/>
    <x v="15"/>
    <n v="3966.93"/>
    <n v="9"/>
    <n v="0.2"/>
    <n v="880.97"/>
    <x v="5"/>
    <x v="0"/>
    <s v="Bad"/>
    <n v="440.77"/>
    <n v="45807"/>
    <x v="0"/>
    <n v="5"/>
    <x v="7"/>
    <n v="0.22207853428217791"/>
    <s v="medium"/>
  </r>
  <r>
    <s v="ORD100816"/>
    <d v="2025-06-05T00:00:00"/>
    <s v="Customer 64"/>
    <x v="1"/>
    <s v="Goa"/>
    <x v="1"/>
    <s v="Storage"/>
    <x v="24"/>
    <n v="2156.62"/>
    <n v="2"/>
    <n v="0.05"/>
    <n v="110.68"/>
    <x v="6"/>
    <x v="0"/>
    <s v="Bad"/>
    <n v="1078.31"/>
    <n v="45813"/>
    <x v="0"/>
    <n v="6"/>
    <x v="9"/>
    <n v="5.1321048678023951E-2"/>
    <s v="Low"/>
  </r>
  <r>
    <s v="ORD100817"/>
    <d v="2024-03-02T00:00:00"/>
    <s v="Customer 112"/>
    <x v="0"/>
    <s v="Tamil Nadu"/>
    <x v="2"/>
    <s v="Accessories"/>
    <x v="18"/>
    <n v="1337.04"/>
    <n v="3"/>
    <n v="0.1"/>
    <n v="67.849999999999994"/>
    <x v="6"/>
    <x v="3"/>
    <s v="Bad"/>
    <n v="445.68"/>
    <n v="45353"/>
    <x v="1"/>
    <n v="3"/>
    <x v="3"/>
    <n v="5.0746424938670494E-2"/>
    <s v="Low"/>
  </r>
  <r>
    <s v="ORD100818"/>
    <d v="2025-06-21T00:00:00"/>
    <s v="Customer 127"/>
    <x v="1"/>
    <s v="Gujarat"/>
    <x v="1"/>
    <s v="Tables"/>
    <x v="9"/>
    <n v="6318.96"/>
    <n v="8"/>
    <n v="0.15"/>
    <n v="-325.38"/>
    <x v="0"/>
    <x v="0"/>
    <s v="Good"/>
    <n v="789.87"/>
    <n v="45829"/>
    <x v="0"/>
    <n v="6"/>
    <x v="9"/>
    <n v="-5.1492650689353943E-2"/>
    <s v="medium"/>
  </r>
  <r>
    <s v="ORD100819"/>
    <d v="2025-07-30T00:00:00"/>
    <s v="Customer 132"/>
    <x v="1"/>
    <s v="Maharashtra"/>
    <x v="1"/>
    <s v="Chairs"/>
    <x v="4"/>
    <n v="10628.46"/>
    <n v="9"/>
    <n v="0.1"/>
    <n v="3283.02"/>
    <x v="9"/>
    <x v="2"/>
    <s v="Good"/>
    <n v="1180.9399999999998"/>
    <n v="45868"/>
    <x v="0"/>
    <n v="7"/>
    <x v="6"/>
    <n v="0.30888952868054265"/>
    <s v="Low"/>
  </r>
  <r>
    <s v="ORD100820"/>
    <d v="2024-11-18T00:00:00"/>
    <s v="Customer 97"/>
    <x v="1"/>
    <s v="Maharashtra"/>
    <x v="1"/>
    <s v="Tables"/>
    <x v="9"/>
    <n v="7855.47"/>
    <n v="9"/>
    <n v="0.2"/>
    <n v="1062.1099999999999"/>
    <x v="4"/>
    <x v="3"/>
    <s v="Good"/>
    <n v="872.83"/>
    <n v="45614"/>
    <x v="1"/>
    <n v="11"/>
    <x v="10"/>
    <n v="0.13520642304025091"/>
    <s v="medium"/>
  </r>
  <r>
    <s v="ORD100821"/>
    <d v="2025-11-02T00:00:00"/>
    <s v="Customer 128"/>
    <x v="0"/>
    <s v="Kerala"/>
    <x v="2"/>
    <s v="Computers"/>
    <x v="6"/>
    <n v="209.82"/>
    <n v="2"/>
    <n v="0"/>
    <n v="52.92"/>
    <x v="5"/>
    <x v="2"/>
    <s v="Bad"/>
    <n v="104.91"/>
    <n v="45963"/>
    <x v="0"/>
    <n v="11"/>
    <x v="10"/>
    <n v="0.25221618530168716"/>
    <s v="No Discount"/>
  </r>
  <r>
    <s v="ORD100822"/>
    <d v="2024-10-17T00:00:00"/>
    <s v="Customer 147"/>
    <x v="2"/>
    <s v="Delhi"/>
    <x v="1"/>
    <s v="Tables"/>
    <x v="17"/>
    <n v="515.67999999999995"/>
    <n v="1"/>
    <n v="0.3"/>
    <n v="-47.01"/>
    <x v="2"/>
    <x v="1"/>
    <s v="Bad"/>
    <n v="515.67999999999995"/>
    <n v="45582"/>
    <x v="1"/>
    <n v="10"/>
    <x v="2"/>
    <n v="-9.1161185231151104E-2"/>
    <s v="high"/>
  </r>
  <r>
    <s v="ORD100823"/>
    <d v="2025-12-26T00:00:00"/>
    <s v="Customer 136"/>
    <x v="2"/>
    <s v="Uttarakhand"/>
    <x v="1"/>
    <s v="Chairs"/>
    <x v="14"/>
    <n v="2795.13"/>
    <n v="3"/>
    <n v="0.25"/>
    <n v="227.14"/>
    <x v="3"/>
    <x v="0"/>
    <s v="Bad"/>
    <n v="931.71"/>
    <n v="46017"/>
    <x v="0"/>
    <n v="12"/>
    <x v="4"/>
    <n v="8.1262767742466352E-2"/>
    <s v="high"/>
  </r>
  <r>
    <s v="ORD100824"/>
    <d v="2024-01-01T00:00:00"/>
    <s v="Customer 193"/>
    <x v="1"/>
    <s v="Goa"/>
    <x v="0"/>
    <s v="Paper"/>
    <x v="21"/>
    <n v="277.37"/>
    <n v="1"/>
    <n v="0.2"/>
    <n v="12.76"/>
    <x v="8"/>
    <x v="1"/>
    <s v="Bad"/>
    <n v="277.37"/>
    <n v="45292"/>
    <x v="1"/>
    <n v="1"/>
    <x v="0"/>
    <n v="4.6003533186718099E-2"/>
    <s v="medium"/>
  </r>
  <r>
    <s v="ORD100825"/>
    <d v="2025-08-19T00:00:00"/>
    <s v="Customer 168"/>
    <x v="0"/>
    <s v="Tamil Nadu"/>
    <x v="2"/>
    <s v="Phones"/>
    <x v="23"/>
    <n v="8172.2"/>
    <n v="10"/>
    <n v="0.3"/>
    <n v="-959.77"/>
    <x v="2"/>
    <x v="3"/>
    <s v="Good"/>
    <n v="817.22"/>
    <n v="45888"/>
    <x v="0"/>
    <n v="8"/>
    <x v="11"/>
    <n v="-0.11744328332639925"/>
    <s v="high"/>
  </r>
  <r>
    <s v="ORD100826"/>
    <d v="2025-11-26T00:00:00"/>
    <s v="Customer 14"/>
    <x v="1"/>
    <s v="Rajasthan"/>
    <x v="1"/>
    <s v="Storage"/>
    <x v="24"/>
    <n v="3933.28"/>
    <n v="4"/>
    <n v="0.25"/>
    <n v="-82.07"/>
    <x v="5"/>
    <x v="0"/>
    <s v="Bad"/>
    <n v="983.32"/>
    <n v="45987"/>
    <x v="0"/>
    <n v="11"/>
    <x v="10"/>
    <n v="-2.0865537159825892E-2"/>
    <s v="high"/>
  </r>
  <r>
    <s v="ORD100827"/>
    <d v="2024-05-11T00:00:00"/>
    <s v="Customer 196"/>
    <x v="3"/>
    <s v="Bihar"/>
    <x v="0"/>
    <s v="Writing"/>
    <x v="3"/>
    <n v="113.68"/>
    <n v="1"/>
    <n v="0.15"/>
    <n v="-6.41"/>
    <x v="8"/>
    <x v="3"/>
    <s v="Bad"/>
    <n v="113.68"/>
    <n v="45423"/>
    <x v="1"/>
    <n v="5"/>
    <x v="7"/>
    <n v="-5.6386347642505275E-2"/>
    <s v="medium"/>
  </r>
  <r>
    <s v="ORD100828"/>
    <d v="2024-08-04T00:00:00"/>
    <s v="Customer 56"/>
    <x v="0"/>
    <s v="Karnataka"/>
    <x v="2"/>
    <s v="Phones"/>
    <x v="13"/>
    <n v="9765.7000000000007"/>
    <n v="10"/>
    <n v="0"/>
    <n v="736.3"/>
    <x v="6"/>
    <x v="1"/>
    <s v="Good"/>
    <n v="976.57"/>
    <n v="45508"/>
    <x v="1"/>
    <n v="8"/>
    <x v="11"/>
    <n v="7.5396540954565452E-2"/>
    <s v="No Discount"/>
  </r>
  <r>
    <s v="ORD100829"/>
    <d v="2024-05-30T00:00:00"/>
    <s v="Customer 89"/>
    <x v="0"/>
    <s v="Tamil Nadu"/>
    <x v="0"/>
    <s v="Paper"/>
    <x v="2"/>
    <n v="3597.15"/>
    <n v="3"/>
    <n v="0"/>
    <n v="253.61"/>
    <x v="5"/>
    <x v="0"/>
    <s v="Bad"/>
    <n v="1199.05"/>
    <n v="45442"/>
    <x v="1"/>
    <n v="5"/>
    <x v="7"/>
    <n v="7.0503037126614126E-2"/>
    <s v="No Discount"/>
  </r>
  <r>
    <s v="ORD100830"/>
    <d v="2025-01-17T00:00:00"/>
    <s v="Customer 111"/>
    <x v="3"/>
    <s v="Odisha"/>
    <x v="0"/>
    <s v="Writing"/>
    <x v="3"/>
    <n v="1885.24"/>
    <n v="4"/>
    <n v="0.05"/>
    <n v="628.12"/>
    <x v="6"/>
    <x v="1"/>
    <s v="Bad"/>
    <n v="471.31"/>
    <n v="45674"/>
    <x v="0"/>
    <n v="1"/>
    <x v="0"/>
    <n v="0.33317773864335576"/>
    <s v="Low"/>
  </r>
  <r>
    <s v="ORD100831"/>
    <d v="2024-11-01T00:00:00"/>
    <s v="Customer 113"/>
    <x v="1"/>
    <s v="Gujarat"/>
    <x v="2"/>
    <s v="Phones"/>
    <x v="23"/>
    <n v="4543.4399999999996"/>
    <n v="4"/>
    <n v="0.05"/>
    <n v="1589.22"/>
    <x v="8"/>
    <x v="3"/>
    <s v="Bad"/>
    <n v="1135.8599999999999"/>
    <n v="45597"/>
    <x v="1"/>
    <n v="11"/>
    <x v="10"/>
    <n v="0.3497834240135228"/>
    <s v="Low"/>
  </r>
  <r>
    <s v="ORD100832"/>
    <d v="2025-03-14T00:00:00"/>
    <s v="Customer 93"/>
    <x v="2"/>
    <s v="Haryana"/>
    <x v="0"/>
    <s v="Paper"/>
    <x v="2"/>
    <n v="9047.84"/>
    <n v="8"/>
    <n v="0.1"/>
    <n v="823.72"/>
    <x v="9"/>
    <x v="0"/>
    <s v="Good"/>
    <n v="1130.98"/>
    <n v="45730"/>
    <x v="0"/>
    <n v="3"/>
    <x v="3"/>
    <n v="9.1040513536932571E-2"/>
    <s v="Low"/>
  </r>
  <r>
    <s v="ORD100833"/>
    <d v="2024-04-08T00:00:00"/>
    <s v="Customer 140"/>
    <x v="2"/>
    <s v="Uttarakhand"/>
    <x v="0"/>
    <s v="Binders"/>
    <x v="25"/>
    <n v="9136.7000000000007"/>
    <n v="10"/>
    <n v="0.3"/>
    <n v="1296.01"/>
    <x v="5"/>
    <x v="3"/>
    <s v="Good"/>
    <n v="913.67000000000007"/>
    <n v="45390"/>
    <x v="1"/>
    <n v="4"/>
    <x v="8"/>
    <n v="0.14184661858220143"/>
    <s v="high"/>
  </r>
  <r>
    <s v="ORD100834"/>
    <d v="2024-12-01T00:00:00"/>
    <s v="Customer 134"/>
    <x v="3"/>
    <s v="Odisha"/>
    <x v="1"/>
    <s v="Storage"/>
    <x v="24"/>
    <n v="751.04"/>
    <n v="2"/>
    <n v="0.1"/>
    <n v="75.92"/>
    <x v="5"/>
    <x v="0"/>
    <s v="Bad"/>
    <n v="375.52"/>
    <n v="45627"/>
    <x v="1"/>
    <n v="12"/>
    <x v="4"/>
    <n v="0.10108649339582447"/>
    <s v="Low"/>
  </r>
  <r>
    <s v="ORD100835"/>
    <d v="2025-07-08T00:00:00"/>
    <s v="Customer 27"/>
    <x v="1"/>
    <s v="Gujarat"/>
    <x v="0"/>
    <s v="Binders"/>
    <x v="0"/>
    <n v="9198.1"/>
    <n v="10"/>
    <n v="0.25"/>
    <n v="-1608.91"/>
    <x v="5"/>
    <x v="2"/>
    <s v="Good"/>
    <n v="919.81000000000006"/>
    <n v="45846"/>
    <x v="0"/>
    <n v="7"/>
    <x v="6"/>
    <n v="-0.17491764603559432"/>
    <s v="high"/>
  </r>
  <r>
    <s v="ORD100836"/>
    <d v="2024-03-17T00:00:00"/>
    <s v="Customer 60"/>
    <x v="3"/>
    <s v="Assam"/>
    <x v="1"/>
    <s v="Chairs"/>
    <x v="5"/>
    <n v="687.59"/>
    <n v="1"/>
    <n v="0.15"/>
    <n v="62.21"/>
    <x v="7"/>
    <x v="1"/>
    <s v="Bad"/>
    <n v="687.59"/>
    <n v="45368"/>
    <x v="1"/>
    <n v="3"/>
    <x v="3"/>
    <n v="9.0475428671155766E-2"/>
    <s v="medium"/>
  </r>
  <r>
    <s v="ORD100837"/>
    <d v="2024-06-15T00:00:00"/>
    <s v="Customer 116"/>
    <x v="0"/>
    <s v="Tamil Nadu"/>
    <x v="0"/>
    <s v="Binders"/>
    <x v="0"/>
    <n v="10420.6"/>
    <n v="10"/>
    <n v="0"/>
    <n v="3804"/>
    <x v="0"/>
    <x v="2"/>
    <s v="Good"/>
    <n v="1042.06"/>
    <n v="45458"/>
    <x v="1"/>
    <n v="6"/>
    <x v="9"/>
    <n v="0.36504615857052375"/>
    <s v="No Discount"/>
  </r>
  <r>
    <s v="ORD100838"/>
    <d v="2024-09-11T00:00:00"/>
    <s v="Customer 68"/>
    <x v="3"/>
    <s v="Assam"/>
    <x v="1"/>
    <s v="Tables"/>
    <x v="17"/>
    <n v="4477.92"/>
    <n v="4"/>
    <n v="0.3"/>
    <n v="-157.31"/>
    <x v="2"/>
    <x v="3"/>
    <s v="Bad"/>
    <n v="1119.48"/>
    <n v="45546"/>
    <x v="1"/>
    <n v="9"/>
    <x v="5"/>
    <n v="-3.5130149712366457E-2"/>
    <s v="high"/>
  </r>
  <r>
    <s v="ORD100839"/>
    <d v="2025-01-05T00:00:00"/>
    <s v="Customer 191"/>
    <x v="3"/>
    <s v="Odisha"/>
    <x v="2"/>
    <s v="Phones"/>
    <x v="13"/>
    <n v="1707.72"/>
    <n v="7"/>
    <n v="0.3"/>
    <n v="-98.61"/>
    <x v="1"/>
    <x v="2"/>
    <s v="Bad"/>
    <n v="243.96"/>
    <n v="45662"/>
    <x v="0"/>
    <n v="1"/>
    <x v="0"/>
    <n v="-5.7743658210947929E-2"/>
    <s v="high"/>
  </r>
  <r>
    <s v="ORD100840"/>
    <d v="2024-06-17T00:00:00"/>
    <s v="Customer 136"/>
    <x v="0"/>
    <s v="Tamil Nadu"/>
    <x v="0"/>
    <s v="Paper"/>
    <x v="2"/>
    <n v="654.24"/>
    <n v="8"/>
    <n v="0.2"/>
    <n v="71.89"/>
    <x v="7"/>
    <x v="1"/>
    <s v="Bad"/>
    <n v="81.78"/>
    <n v="45460"/>
    <x v="1"/>
    <n v="6"/>
    <x v="9"/>
    <n v="0.10988322328197603"/>
    <s v="medium"/>
  </r>
  <r>
    <s v="ORD100841"/>
    <d v="2025-11-27T00:00:00"/>
    <s v="Customer 180"/>
    <x v="3"/>
    <s v="Odisha"/>
    <x v="1"/>
    <s v="Chairs"/>
    <x v="4"/>
    <n v="1773.24"/>
    <n v="7"/>
    <n v="0.2"/>
    <n v="323.05"/>
    <x v="3"/>
    <x v="0"/>
    <s v="Bad"/>
    <n v="253.32"/>
    <n v="45988"/>
    <x v="0"/>
    <n v="11"/>
    <x v="10"/>
    <n v="0.18218064108637297"/>
    <s v="medium"/>
  </r>
  <r>
    <s v="ORD100842"/>
    <d v="2024-03-18T00:00:00"/>
    <s v="Customer 143"/>
    <x v="1"/>
    <s v="Gujarat"/>
    <x v="2"/>
    <s v="Phones"/>
    <x v="23"/>
    <n v="3331.71"/>
    <n v="9"/>
    <n v="0.25"/>
    <n v="22.04"/>
    <x v="1"/>
    <x v="3"/>
    <s v="Bad"/>
    <n v="370.19"/>
    <n v="45369"/>
    <x v="1"/>
    <n v="3"/>
    <x v="3"/>
    <n v="6.6152216129254943E-3"/>
    <s v="high"/>
  </r>
  <r>
    <s v="ORD100843"/>
    <d v="2024-04-07T00:00:00"/>
    <s v="Customer 89"/>
    <x v="0"/>
    <s v="Karnataka"/>
    <x v="2"/>
    <s v="Accessories"/>
    <x v="12"/>
    <n v="7307"/>
    <n v="10"/>
    <n v="0.05"/>
    <n v="1901.19"/>
    <x v="2"/>
    <x v="0"/>
    <s v="Good"/>
    <n v="730.7"/>
    <n v="45389"/>
    <x v="1"/>
    <n v="4"/>
    <x v="8"/>
    <n v="0.26018749144655812"/>
    <s v="Low"/>
  </r>
  <r>
    <s v="ORD100844"/>
    <d v="2024-07-06T00:00:00"/>
    <s v="Customer 2"/>
    <x v="3"/>
    <s v="Assam"/>
    <x v="1"/>
    <s v="Tables"/>
    <x v="16"/>
    <n v="7940.61"/>
    <n v="9"/>
    <n v="0.15"/>
    <n v="-12.86"/>
    <x v="8"/>
    <x v="3"/>
    <s v="Good"/>
    <n v="882.29"/>
    <n v="45479"/>
    <x v="1"/>
    <n v="7"/>
    <x v="6"/>
    <n v="-1.619522933376655E-3"/>
    <s v="medium"/>
  </r>
  <r>
    <s v="ORD100845"/>
    <d v="2025-07-30T00:00:00"/>
    <s v="Customer 99"/>
    <x v="0"/>
    <s v="Tamil Nadu"/>
    <x v="1"/>
    <s v="Chairs"/>
    <x v="14"/>
    <n v="3759.35"/>
    <n v="7"/>
    <n v="0.05"/>
    <n v="994.65"/>
    <x v="8"/>
    <x v="1"/>
    <s v="Bad"/>
    <n v="537.04999999999995"/>
    <n v="45868"/>
    <x v="0"/>
    <n v="7"/>
    <x v="6"/>
    <n v="0.2645803130860388"/>
    <s v="Low"/>
  </r>
  <r>
    <s v="ORD100846"/>
    <d v="2024-09-23T00:00:00"/>
    <s v="Customer 125"/>
    <x v="2"/>
    <s v="Delhi"/>
    <x v="2"/>
    <s v="Phones"/>
    <x v="8"/>
    <n v="944.52"/>
    <n v="2"/>
    <n v="0.05"/>
    <n v="199.34"/>
    <x v="9"/>
    <x v="0"/>
    <s v="Bad"/>
    <n v="472.26"/>
    <n v="45558"/>
    <x v="1"/>
    <n v="9"/>
    <x v="5"/>
    <n v="0.21104899843306654"/>
    <s v="Low"/>
  </r>
  <r>
    <s v="ORD100847"/>
    <d v="2024-05-09T00:00:00"/>
    <s v="Customer 119"/>
    <x v="0"/>
    <s v="Tamil Nadu"/>
    <x v="0"/>
    <s v="Writing"/>
    <x v="19"/>
    <n v="1241.8399999999999"/>
    <n v="8"/>
    <n v="0"/>
    <n v="353.57"/>
    <x v="5"/>
    <x v="2"/>
    <s v="Bad"/>
    <n v="155.22999999999999"/>
    <n v="45421"/>
    <x v="1"/>
    <n v="5"/>
    <x v="7"/>
    <n v="0.28471461701990597"/>
    <s v="No Discount"/>
  </r>
  <r>
    <s v="ORD100848"/>
    <d v="2024-08-05T00:00:00"/>
    <s v="Customer 90"/>
    <x v="1"/>
    <s v="Maharashtra"/>
    <x v="0"/>
    <s v="Writing"/>
    <x v="3"/>
    <n v="1029.92"/>
    <n v="4"/>
    <n v="0.25"/>
    <n v="78.48"/>
    <x v="1"/>
    <x v="0"/>
    <s v="Bad"/>
    <n v="257.48"/>
    <n v="45509"/>
    <x v="1"/>
    <n v="8"/>
    <x v="11"/>
    <n v="7.6200093211123199E-2"/>
    <s v="high"/>
  </r>
  <r>
    <s v="ORD100849"/>
    <d v="2024-01-30T00:00:00"/>
    <s v="Customer 50"/>
    <x v="0"/>
    <s v="Tamil Nadu"/>
    <x v="0"/>
    <s v="Paper"/>
    <x v="21"/>
    <n v="8183.9"/>
    <n v="10"/>
    <n v="0.2"/>
    <n v="813.93"/>
    <x v="3"/>
    <x v="3"/>
    <s v="Good"/>
    <n v="818.39"/>
    <n v="45321"/>
    <x v="1"/>
    <n v="1"/>
    <x v="0"/>
    <n v="9.9455027554100128E-2"/>
    <s v="medium"/>
  </r>
  <r>
    <s v="ORD100850"/>
    <d v="2024-01-22T00:00:00"/>
    <s v="Customer 41"/>
    <x v="3"/>
    <s v="Assam"/>
    <x v="1"/>
    <s v="Chairs"/>
    <x v="5"/>
    <n v="197.6"/>
    <n v="5"/>
    <n v="0.15"/>
    <n v="13.35"/>
    <x v="5"/>
    <x v="3"/>
    <s v="Bad"/>
    <n v="39.519999999999996"/>
    <n v="45313"/>
    <x v="1"/>
    <n v="1"/>
    <x v="0"/>
    <n v="6.7560728744939277E-2"/>
    <s v="medium"/>
  </r>
  <r>
    <s v="ORD100851"/>
    <d v="2025-01-20T00:00:00"/>
    <s v="Customer 193"/>
    <x v="3"/>
    <s v="West Bengal"/>
    <x v="1"/>
    <s v="Chairs"/>
    <x v="4"/>
    <n v="7506.2"/>
    <n v="10"/>
    <n v="0.05"/>
    <n v="2725.17"/>
    <x v="9"/>
    <x v="2"/>
    <s v="Good"/>
    <n v="750.62"/>
    <n v="45677"/>
    <x v="0"/>
    <n v="1"/>
    <x v="0"/>
    <n v="0.36305587381098292"/>
    <s v="Low"/>
  </r>
  <r>
    <s v="ORD100852"/>
    <d v="2024-05-24T00:00:00"/>
    <s v="Customer 43"/>
    <x v="3"/>
    <s v="Odisha"/>
    <x v="2"/>
    <s v="Phones"/>
    <x v="13"/>
    <n v="3743.2"/>
    <n v="8"/>
    <n v="0"/>
    <n v="309.26"/>
    <x v="1"/>
    <x v="3"/>
    <s v="Bad"/>
    <n v="467.9"/>
    <n v="45436"/>
    <x v="1"/>
    <n v="5"/>
    <x v="7"/>
    <n v="8.2619149390895485E-2"/>
    <s v="No Discount"/>
  </r>
  <r>
    <s v="ORD100853"/>
    <d v="2025-02-18T00:00:00"/>
    <s v="Customer 154"/>
    <x v="1"/>
    <s v="Goa"/>
    <x v="2"/>
    <s v="Computers"/>
    <x v="10"/>
    <n v="98.85"/>
    <n v="1"/>
    <n v="0.1"/>
    <n v="5.58"/>
    <x v="8"/>
    <x v="0"/>
    <s v="Bad"/>
    <n v="98.85"/>
    <n v="45706"/>
    <x v="0"/>
    <n v="2"/>
    <x v="1"/>
    <n v="5.6449165402124434E-2"/>
    <s v="Low"/>
  </r>
  <r>
    <s v="ORD100854"/>
    <d v="2025-02-21T00:00:00"/>
    <s v="Customer 178"/>
    <x v="1"/>
    <s v="Maharashtra"/>
    <x v="1"/>
    <s v="Tables"/>
    <x v="17"/>
    <n v="957.84"/>
    <n v="4"/>
    <n v="0"/>
    <n v="410.47"/>
    <x v="1"/>
    <x v="1"/>
    <s v="Bad"/>
    <n v="239.46"/>
    <n v="45709"/>
    <x v="0"/>
    <n v="2"/>
    <x v="1"/>
    <n v="0.42853712519836301"/>
    <s v="No Discount"/>
  </r>
  <r>
    <s v="ORD100855"/>
    <d v="2024-04-07T00:00:00"/>
    <s v="Customer 82"/>
    <x v="1"/>
    <s v="Rajasthan"/>
    <x v="2"/>
    <s v="Accessories"/>
    <x v="12"/>
    <n v="2248.88"/>
    <n v="4"/>
    <n v="0.3"/>
    <n v="275.36"/>
    <x v="2"/>
    <x v="1"/>
    <s v="Bad"/>
    <n v="562.22"/>
    <n v="45389"/>
    <x v="1"/>
    <n v="4"/>
    <x v="8"/>
    <n v="0.12244317171214116"/>
    <s v="high"/>
  </r>
  <r>
    <s v="ORD100856"/>
    <d v="2024-11-09T00:00:00"/>
    <s v="Customer 83"/>
    <x v="3"/>
    <s v="West Bengal"/>
    <x v="1"/>
    <s v="Tables"/>
    <x v="17"/>
    <n v="5842.53"/>
    <n v="9"/>
    <n v="0.2"/>
    <n v="1263.68"/>
    <x v="0"/>
    <x v="1"/>
    <s v="Good"/>
    <n v="649.16999999999996"/>
    <n v="45605"/>
    <x v="1"/>
    <n v="11"/>
    <x v="10"/>
    <n v="0.21628986072814349"/>
    <s v="medium"/>
  </r>
  <r>
    <s v="ORD100857"/>
    <d v="2025-02-21T00:00:00"/>
    <s v="Customer 164"/>
    <x v="3"/>
    <s v="Bihar"/>
    <x v="1"/>
    <s v="Tables"/>
    <x v="17"/>
    <n v="1157.72"/>
    <n v="2"/>
    <n v="0.1"/>
    <n v="9.83"/>
    <x v="4"/>
    <x v="0"/>
    <s v="Bad"/>
    <n v="578.86"/>
    <n v="45709"/>
    <x v="0"/>
    <n v="2"/>
    <x v="1"/>
    <n v="8.4908267974985307E-3"/>
    <s v="Low"/>
  </r>
  <r>
    <s v="ORD100858"/>
    <d v="2025-02-14T00:00:00"/>
    <s v="Customer 123"/>
    <x v="3"/>
    <s v="Bihar"/>
    <x v="1"/>
    <s v="Storage"/>
    <x v="7"/>
    <n v="1275.8800000000001"/>
    <n v="4"/>
    <n v="0.25"/>
    <n v="4.3899999999999997"/>
    <x v="6"/>
    <x v="2"/>
    <s v="Bad"/>
    <n v="318.97000000000003"/>
    <n v="45702"/>
    <x v="0"/>
    <n v="2"/>
    <x v="1"/>
    <n v="3.4407624541492924E-3"/>
    <s v="high"/>
  </r>
  <r>
    <s v="ORD100859"/>
    <d v="2025-05-01T00:00:00"/>
    <s v="Customer 151"/>
    <x v="2"/>
    <s v="Haryana"/>
    <x v="0"/>
    <s v="Paper"/>
    <x v="2"/>
    <n v="647.45000000000005"/>
    <n v="5"/>
    <n v="0.1"/>
    <n v="108.02"/>
    <x v="5"/>
    <x v="0"/>
    <s v="Bad"/>
    <n v="129.49"/>
    <n v="45778"/>
    <x v="0"/>
    <n v="5"/>
    <x v="7"/>
    <n v="0.16683913815738666"/>
    <s v="Low"/>
  </r>
  <r>
    <s v="ORD100860"/>
    <d v="2025-06-08T00:00:00"/>
    <s v="Customer 167"/>
    <x v="0"/>
    <s v="Kerala"/>
    <x v="1"/>
    <s v="Storage"/>
    <x v="15"/>
    <n v="2813.64"/>
    <n v="3"/>
    <n v="0.15"/>
    <n v="755.31"/>
    <x v="8"/>
    <x v="0"/>
    <s v="Bad"/>
    <n v="937.88"/>
    <n v="45816"/>
    <x v="0"/>
    <n v="6"/>
    <x v="9"/>
    <n v="0.2684458566127863"/>
    <s v="medium"/>
  </r>
  <r>
    <s v="ORD100861"/>
    <d v="2025-03-09T00:00:00"/>
    <s v="Customer 25"/>
    <x v="2"/>
    <s v="Delhi"/>
    <x v="0"/>
    <s v="Writing"/>
    <x v="19"/>
    <n v="4077.64"/>
    <n v="4"/>
    <n v="0.3"/>
    <n v="300.8"/>
    <x v="4"/>
    <x v="2"/>
    <s v="Bad"/>
    <n v="1019.41"/>
    <n v="45725"/>
    <x v="0"/>
    <n v="3"/>
    <x v="3"/>
    <n v="7.3768160014125825E-2"/>
    <s v="high"/>
  </r>
  <r>
    <s v="ORD100862"/>
    <d v="2025-06-21T00:00:00"/>
    <s v="Customer 104"/>
    <x v="1"/>
    <s v="Goa"/>
    <x v="1"/>
    <s v="Tables"/>
    <x v="17"/>
    <n v="257.16000000000003"/>
    <n v="2"/>
    <n v="0.25"/>
    <n v="34.380000000000003"/>
    <x v="3"/>
    <x v="2"/>
    <s v="Bad"/>
    <n v="128.58000000000001"/>
    <n v="45829"/>
    <x v="0"/>
    <n v="6"/>
    <x v="9"/>
    <n v="0.13369108726084927"/>
    <s v="high"/>
  </r>
  <r>
    <s v="ORD100863"/>
    <d v="2024-04-02T00:00:00"/>
    <s v="Customer 74"/>
    <x v="0"/>
    <s v="Karnataka"/>
    <x v="0"/>
    <s v="Paper"/>
    <x v="11"/>
    <n v="2612.6799999999998"/>
    <n v="7"/>
    <n v="0.05"/>
    <n v="644.63"/>
    <x v="5"/>
    <x v="2"/>
    <s v="Bad"/>
    <n v="373.23999999999995"/>
    <n v="45384"/>
    <x v="1"/>
    <n v="4"/>
    <x v="8"/>
    <n v="0.24673132568856501"/>
    <s v="Low"/>
  </r>
  <r>
    <s v="ORD100864"/>
    <d v="2025-10-29T00:00:00"/>
    <s v="Customer 123"/>
    <x v="2"/>
    <s v="Haryana"/>
    <x v="1"/>
    <s v="Chairs"/>
    <x v="5"/>
    <n v="7800.03"/>
    <n v="9"/>
    <n v="0.2"/>
    <n v="779.98"/>
    <x v="6"/>
    <x v="1"/>
    <s v="Good"/>
    <n v="866.67"/>
    <n v="45959"/>
    <x v="0"/>
    <n v="10"/>
    <x v="2"/>
    <n v="9.9997051293392467E-2"/>
    <s v="medium"/>
  </r>
  <r>
    <s v="ORD100865"/>
    <d v="2025-03-15T00:00:00"/>
    <s v="Customer 61"/>
    <x v="3"/>
    <s v="Odisha"/>
    <x v="2"/>
    <s v="Computers"/>
    <x v="6"/>
    <n v="4922.75"/>
    <n v="7"/>
    <n v="0.05"/>
    <n v="795.79"/>
    <x v="1"/>
    <x v="3"/>
    <s v="Bad"/>
    <n v="703.25"/>
    <n v="45731"/>
    <x v="0"/>
    <n v="3"/>
    <x v="3"/>
    <n v="0.16165557869077243"/>
    <s v="Low"/>
  </r>
  <r>
    <s v="ORD100866"/>
    <d v="2024-12-31T00:00:00"/>
    <s v="Customer 24"/>
    <x v="3"/>
    <s v="West Bengal"/>
    <x v="0"/>
    <s v="Binders"/>
    <x v="22"/>
    <n v="4187.3599999999997"/>
    <n v="8"/>
    <n v="0.2"/>
    <n v="-152.51"/>
    <x v="1"/>
    <x v="0"/>
    <s v="Bad"/>
    <n v="523.41999999999996"/>
    <n v="45657"/>
    <x v="1"/>
    <n v="12"/>
    <x v="4"/>
    <n v="-3.6421516182033549E-2"/>
    <s v="medium"/>
  </r>
  <r>
    <s v="ORD100867"/>
    <d v="2024-06-19T00:00:00"/>
    <s v="Customer 120"/>
    <x v="3"/>
    <s v="West Bengal"/>
    <x v="1"/>
    <s v="Tables"/>
    <x v="17"/>
    <n v="11826.8"/>
    <n v="10"/>
    <n v="0.3"/>
    <n v="-2132.44"/>
    <x v="8"/>
    <x v="2"/>
    <s v="Good"/>
    <n v="1182.6799999999998"/>
    <n v="45462"/>
    <x v="1"/>
    <n v="6"/>
    <x v="9"/>
    <n v="-0.18030574627118073"/>
    <s v="high"/>
  </r>
  <r>
    <s v="ORD100868"/>
    <d v="2025-06-08T00:00:00"/>
    <s v="Customer 157"/>
    <x v="2"/>
    <s v="Delhi"/>
    <x v="1"/>
    <s v="Tables"/>
    <x v="16"/>
    <n v="4250.24"/>
    <n v="4"/>
    <n v="0.3"/>
    <n v="-891.01"/>
    <x v="0"/>
    <x v="2"/>
    <s v="Bad"/>
    <n v="1062.56"/>
    <n v="45816"/>
    <x v="0"/>
    <n v="6"/>
    <x v="9"/>
    <n v="-0.20963757340761935"/>
    <s v="high"/>
  </r>
  <r>
    <s v="ORD100869"/>
    <d v="2025-09-01T00:00:00"/>
    <s v="Customer 48"/>
    <x v="0"/>
    <s v="Kerala"/>
    <x v="2"/>
    <s v="Phones"/>
    <x v="8"/>
    <n v="5868.35"/>
    <n v="5"/>
    <n v="0.2"/>
    <n v="-695.64"/>
    <x v="1"/>
    <x v="0"/>
    <s v="Bad"/>
    <n v="1173.67"/>
    <n v="45901"/>
    <x v="0"/>
    <n v="9"/>
    <x v="5"/>
    <n v="-0.11854098681912291"/>
    <s v="medium"/>
  </r>
  <r>
    <s v="ORD100870"/>
    <d v="2025-12-06T00:00:00"/>
    <s v="Customer 187"/>
    <x v="2"/>
    <s v="Delhi"/>
    <x v="1"/>
    <s v="Chairs"/>
    <x v="5"/>
    <n v="4112.46"/>
    <n v="6"/>
    <n v="0"/>
    <n v="967.66"/>
    <x v="3"/>
    <x v="0"/>
    <s v="Bad"/>
    <n v="685.41"/>
    <n v="45997"/>
    <x v="0"/>
    <n v="12"/>
    <x v="4"/>
    <n v="0.23529955306556172"/>
    <s v="No Discount"/>
  </r>
  <r>
    <s v="ORD100871"/>
    <d v="2025-05-23T00:00:00"/>
    <s v="Customer 97"/>
    <x v="3"/>
    <s v="Odisha"/>
    <x v="1"/>
    <s v="Storage"/>
    <x v="15"/>
    <n v="4872.42"/>
    <n v="7"/>
    <n v="0.3"/>
    <n v="114.29"/>
    <x v="7"/>
    <x v="0"/>
    <s v="Bad"/>
    <n v="696.06000000000006"/>
    <n v="45800"/>
    <x v="0"/>
    <n v="5"/>
    <x v="7"/>
    <n v="2.3456516474359763E-2"/>
    <s v="high"/>
  </r>
  <r>
    <s v="ORD100872"/>
    <d v="2025-10-13T00:00:00"/>
    <s v="Customer 163"/>
    <x v="0"/>
    <s v="Tamil Nadu"/>
    <x v="0"/>
    <s v="Paper"/>
    <x v="2"/>
    <n v="464.24"/>
    <n v="7"/>
    <n v="0.05"/>
    <n v="25.4"/>
    <x v="1"/>
    <x v="0"/>
    <s v="Bad"/>
    <n v="66.320000000000007"/>
    <n v="45943"/>
    <x v="0"/>
    <n v="10"/>
    <x v="2"/>
    <n v="5.4713079441668096E-2"/>
    <s v="Low"/>
  </r>
  <r>
    <s v="ORD100873"/>
    <d v="2025-01-14T00:00:00"/>
    <s v="Customer 94"/>
    <x v="3"/>
    <s v="Assam"/>
    <x v="2"/>
    <s v="Accessories"/>
    <x v="20"/>
    <n v="840.92"/>
    <n v="1"/>
    <n v="0.25"/>
    <n v="125.42"/>
    <x v="9"/>
    <x v="1"/>
    <s v="Bad"/>
    <n v="840.92"/>
    <n v="45671"/>
    <x v="0"/>
    <n v="1"/>
    <x v="0"/>
    <n v="0.14914617323883367"/>
    <s v="high"/>
  </r>
  <r>
    <s v="ORD100874"/>
    <d v="2024-12-27T00:00:00"/>
    <s v="Customer 35"/>
    <x v="0"/>
    <s v="Kerala"/>
    <x v="1"/>
    <s v="Chairs"/>
    <x v="4"/>
    <n v="5299.5"/>
    <n v="5"/>
    <n v="0.05"/>
    <n v="68.33"/>
    <x v="4"/>
    <x v="0"/>
    <s v="Bad"/>
    <n v="1059.9000000000001"/>
    <n v="45653"/>
    <x v="1"/>
    <n v="12"/>
    <x v="4"/>
    <n v="1.28936692140768E-2"/>
    <s v="Low"/>
  </r>
  <r>
    <s v="ORD100875"/>
    <d v="2025-03-21T00:00:00"/>
    <s v="Customer 100"/>
    <x v="3"/>
    <s v="Bihar"/>
    <x v="1"/>
    <s v="Storage"/>
    <x v="24"/>
    <n v="672.42"/>
    <n v="7"/>
    <n v="0"/>
    <n v="113.86"/>
    <x v="1"/>
    <x v="0"/>
    <s v="Bad"/>
    <n v="96.059999999999988"/>
    <n v="45737"/>
    <x v="0"/>
    <n v="3"/>
    <x v="3"/>
    <n v="0.16932869337616371"/>
    <s v="No Discount"/>
  </r>
  <r>
    <s v="ORD100876"/>
    <d v="2025-10-15T00:00:00"/>
    <s v="Customer 66"/>
    <x v="3"/>
    <s v="Bihar"/>
    <x v="2"/>
    <s v="Accessories"/>
    <x v="12"/>
    <n v="2904.18"/>
    <n v="6"/>
    <n v="0.25"/>
    <n v="-265.52999999999997"/>
    <x v="4"/>
    <x v="2"/>
    <s v="Bad"/>
    <n v="484.03"/>
    <n v="45945"/>
    <x v="0"/>
    <n v="10"/>
    <x v="2"/>
    <n v="-9.1430283246906177E-2"/>
    <s v="high"/>
  </r>
  <r>
    <s v="ORD100877"/>
    <d v="2025-11-29T00:00:00"/>
    <s v="Customer 129"/>
    <x v="1"/>
    <s v="Gujarat"/>
    <x v="1"/>
    <s v="Tables"/>
    <x v="16"/>
    <n v="2887.41"/>
    <n v="3"/>
    <n v="0.2"/>
    <n v="326.52999999999997"/>
    <x v="9"/>
    <x v="1"/>
    <s v="Bad"/>
    <n v="962.46999999999991"/>
    <n v="45990"/>
    <x v="0"/>
    <n v="11"/>
    <x v="10"/>
    <n v="0.11308750748941092"/>
    <s v="medium"/>
  </r>
  <r>
    <s v="ORD100878"/>
    <d v="2025-09-16T00:00:00"/>
    <s v="Customer 104"/>
    <x v="1"/>
    <s v="Gujarat"/>
    <x v="0"/>
    <s v="Writing"/>
    <x v="1"/>
    <n v="561.34"/>
    <n v="2"/>
    <n v="0.3"/>
    <n v="-112.57"/>
    <x v="3"/>
    <x v="0"/>
    <s v="Bad"/>
    <n v="280.67"/>
    <n v="45916"/>
    <x v="0"/>
    <n v="9"/>
    <x v="5"/>
    <n v="-0.20053799836106456"/>
    <s v="high"/>
  </r>
  <r>
    <s v="ORD100879"/>
    <d v="2025-04-05T00:00:00"/>
    <s v="Customer 118"/>
    <x v="1"/>
    <s v="Goa"/>
    <x v="0"/>
    <s v="Binders"/>
    <x v="0"/>
    <n v="277.62"/>
    <n v="3"/>
    <n v="0.1"/>
    <n v="34.159999999999997"/>
    <x v="4"/>
    <x v="1"/>
    <s v="Bad"/>
    <n v="92.54"/>
    <n v="45752"/>
    <x v="0"/>
    <n v="4"/>
    <x v="8"/>
    <n v="0.12304589006555722"/>
    <s v="Low"/>
  </r>
  <r>
    <s v="ORD100880"/>
    <d v="2025-08-28T00:00:00"/>
    <s v="Customer 197"/>
    <x v="2"/>
    <s v="Uttarakhand"/>
    <x v="1"/>
    <s v="Chairs"/>
    <x v="14"/>
    <n v="1220.8800000000001"/>
    <n v="8"/>
    <n v="0.15"/>
    <n v="-13.28"/>
    <x v="8"/>
    <x v="1"/>
    <s v="Bad"/>
    <n v="152.61000000000001"/>
    <n v="45897"/>
    <x v="0"/>
    <n v="8"/>
    <x v="11"/>
    <n v="-1.0877399908262891E-2"/>
    <s v="medium"/>
  </r>
  <r>
    <s v="ORD100881"/>
    <d v="2024-05-19T00:00:00"/>
    <s v="Customer 178"/>
    <x v="0"/>
    <s v="Tamil Nadu"/>
    <x v="2"/>
    <s v="Computers"/>
    <x v="10"/>
    <n v="2188.98"/>
    <n v="3"/>
    <n v="0.3"/>
    <n v="-543.54"/>
    <x v="6"/>
    <x v="3"/>
    <s v="Bad"/>
    <n v="729.66"/>
    <n v="45431"/>
    <x v="1"/>
    <n v="5"/>
    <x v="7"/>
    <n v="-0.24830743085820792"/>
    <s v="high"/>
  </r>
  <r>
    <s v="ORD100882"/>
    <d v="2025-11-07T00:00:00"/>
    <s v="Customer 101"/>
    <x v="2"/>
    <s v="Haryana"/>
    <x v="2"/>
    <s v="Computers"/>
    <x v="26"/>
    <n v="7802.96"/>
    <n v="8"/>
    <n v="0"/>
    <n v="2932.53"/>
    <x v="2"/>
    <x v="1"/>
    <s v="Good"/>
    <n v="975.37"/>
    <n v="45968"/>
    <x v="0"/>
    <n v="11"/>
    <x v="10"/>
    <n v="0.37582276469442366"/>
    <s v="No Discount"/>
  </r>
  <r>
    <s v="ORD100883"/>
    <d v="2025-10-10T00:00:00"/>
    <s v="Customer 133"/>
    <x v="1"/>
    <s v="Gujarat"/>
    <x v="0"/>
    <s v="Binders"/>
    <x v="25"/>
    <n v="5300.05"/>
    <n v="7"/>
    <n v="0.25"/>
    <n v="355.71"/>
    <x v="4"/>
    <x v="2"/>
    <s v="Bad"/>
    <n v="757.15"/>
    <n v="45940"/>
    <x v="0"/>
    <n v="10"/>
    <x v="2"/>
    <n v="6.7114461184328442E-2"/>
    <s v="high"/>
  </r>
  <r>
    <s v="ORD100884"/>
    <d v="2024-05-15T00:00:00"/>
    <s v="Customer 140"/>
    <x v="1"/>
    <s v="Maharashtra"/>
    <x v="0"/>
    <s v="Writing"/>
    <x v="1"/>
    <n v="205.65"/>
    <n v="3"/>
    <n v="0.1"/>
    <n v="-7.67"/>
    <x v="3"/>
    <x v="2"/>
    <s v="Bad"/>
    <n v="68.55"/>
    <n v="45427"/>
    <x v="1"/>
    <n v="5"/>
    <x v="7"/>
    <n v="-3.7296377340141018E-2"/>
    <s v="Low"/>
  </r>
  <r>
    <s v="ORD100885"/>
    <d v="2024-07-28T00:00:00"/>
    <s v="Customer 26"/>
    <x v="0"/>
    <s v="Karnataka"/>
    <x v="0"/>
    <s v="Paper"/>
    <x v="21"/>
    <n v="5595.39"/>
    <n v="9"/>
    <n v="0.3"/>
    <n v="-755.91"/>
    <x v="7"/>
    <x v="0"/>
    <s v="Good"/>
    <n v="621.71"/>
    <n v="45501"/>
    <x v="1"/>
    <n v="7"/>
    <x v="6"/>
    <n v="-0.13509514082128321"/>
    <s v="high"/>
  </r>
  <r>
    <s v="ORD100886"/>
    <d v="2024-08-19T00:00:00"/>
    <s v="Customer 153"/>
    <x v="3"/>
    <s v="Bihar"/>
    <x v="1"/>
    <s v="Chairs"/>
    <x v="14"/>
    <n v="1745.04"/>
    <n v="3"/>
    <n v="0.25"/>
    <n v="17.13"/>
    <x v="4"/>
    <x v="3"/>
    <s v="Bad"/>
    <n v="581.67999999999995"/>
    <n v="45523"/>
    <x v="1"/>
    <n v="8"/>
    <x v="11"/>
    <n v="9.8163938935497182E-3"/>
    <s v="high"/>
  </r>
  <r>
    <s v="ORD100887"/>
    <d v="2024-06-02T00:00:00"/>
    <s v="Customer 10"/>
    <x v="2"/>
    <s v="Haryana"/>
    <x v="1"/>
    <s v="Chairs"/>
    <x v="5"/>
    <n v="1794.85"/>
    <n v="5"/>
    <n v="0.1"/>
    <n v="491.3"/>
    <x v="7"/>
    <x v="1"/>
    <s v="Bad"/>
    <n v="358.96999999999997"/>
    <n v="45445"/>
    <x v="1"/>
    <n v="6"/>
    <x v="9"/>
    <n v="0.27372760954954456"/>
    <s v="Low"/>
  </r>
  <r>
    <s v="ORD100888"/>
    <d v="2025-07-13T00:00:00"/>
    <s v="Customer 61"/>
    <x v="3"/>
    <s v="West Bengal"/>
    <x v="2"/>
    <s v="Accessories"/>
    <x v="20"/>
    <n v="2128.94"/>
    <n v="2"/>
    <n v="0.1"/>
    <n v="596.98"/>
    <x v="8"/>
    <x v="1"/>
    <s v="Bad"/>
    <n v="1064.47"/>
    <n v="45851"/>
    <x v="0"/>
    <n v="7"/>
    <x v="6"/>
    <n v="0.28041184814978348"/>
    <s v="Low"/>
  </r>
  <r>
    <s v="ORD100889"/>
    <d v="2024-09-03T00:00:00"/>
    <s v="Customer 17"/>
    <x v="1"/>
    <s v="Goa"/>
    <x v="1"/>
    <s v="Chairs"/>
    <x v="5"/>
    <n v="3720"/>
    <n v="4"/>
    <n v="0.25"/>
    <n v="-679.23"/>
    <x v="8"/>
    <x v="2"/>
    <s v="Bad"/>
    <n v="930"/>
    <n v="45538"/>
    <x v="1"/>
    <n v="9"/>
    <x v="5"/>
    <n v="-0.18258870967741936"/>
    <s v="high"/>
  </r>
  <r>
    <s v="ORD100890"/>
    <d v="2024-11-25T00:00:00"/>
    <s v="Customer 76"/>
    <x v="0"/>
    <s v="Karnataka"/>
    <x v="1"/>
    <s v="Tables"/>
    <x v="16"/>
    <n v="344.3"/>
    <n v="1"/>
    <n v="0.05"/>
    <n v="32.299999999999997"/>
    <x v="4"/>
    <x v="0"/>
    <s v="Bad"/>
    <n v="344.3"/>
    <n v="45621"/>
    <x v="1"/>
    <n v="11"/>
    <x v="10"/>
    <n v="9.3813534708103385E-2"/>
    <s v="Low"/>
  </r>
  <r>
    <s v="ORD100891"/>
    <d v="2025-04-16T00:00:00"/>
    <s v="Customer 186"/>
    <x v="1"/>
    <s v="Rajasthan"/>
    <x v="2"/>
    <s v="Phones"/>
    <x v="23"/>
    <n v="399.65"/>
    <n v="1"/>
    <n v="0.3"/>
    <n v="-51.74"/>
    <x v="1"/>
    <x v="0"/>
    <s v="Bad"/>
    <n v="399.65"/>
    <n v="45763"/>
    <x v="0"/>
    <n v="4"/>
    <x v="8"/>
    <n v="-0.12946328037032404"/>
    <s v="high"/>
  </r>
  <r>
    <s v="ORD100892"/>
    <d v="2024-04-08T00:00:00"/>
    <s v="Customer 65"/>
    <x v="2"/>
    <s v="Delhi"/>
    <x v="0"/>
    <s v="Writing"/>
    <x v="1"/>
    <n v="4089.6"/>
    <n v="5"/>
    <n v="0.05"/>
    <n v="921.94"/>
    <x v="0"/>
    <x v="3"/>
    <s v="Bad"/>
    <n v="817.92"/>
    <n v="45390"/>
    <x v="1"/>
    <n v="4"/>
    <x v="8"/>
    <n v="0.22543525039123632"/>
    <s v="Low"/>
  </r>
  <r>
    <s v="ORD100893"/>
    <d v="2024-06-17T00:00:00"/>
    <s v="Customer 24"/>
    <x v="3"/>
    <s v="West Bengal"/>
    <x v="0"/>
    <s v="Paper"/>
    <x v="21"/>
    <n v="1123.58"/>
    <n v="2"/>
    <n v="0.05"/>
    <n v="180.07"/>
    <x v="7"/>
    <x v="0"/>
    <s v="Bad"/>
    <n v="561.79"/>
    <n v="45460"/>
    <x v="1"/>
    <n v="6"/>
    <x v="9"/>
    <n v="0.16026451165026079"/>
    <s v="Low"/>
  </r>
  <r>
    <s v="ORD100894"/>
    <d v="2024-01-14T00:00:00"/>
    <s v="Customer 50"/>
    <x v="2"/>
    <s v="Punjab"/>
    <x v="0"/>
    <s v="Binders"/>
    <x v="25"/>
    <n v="841.24"/>
    <n v="1"/>
    <n v="0.25"/>
    <n v="107.46"/>
    <x v="9"/>
    <x v="1"/>
    <s v="Bad"/>
    <n v="841.24"/>
    <n v="45305"/>
    <x v="1"/>
    <n v="1"/>
    <x v="0"/>
    <n v="0.12774000285293138"/>
    <s v="high"/>
  </r>
  <r>
    <s v="ORD100895"/>
    <d v="2024-07-15T00:00:00"/>
    <s v="Customer 23"/>
    <x v="2"/>
    <s v="Punjab"/>
    <x v="0"/>
    <s v="Paper"/>
    <x v="2"/>
    <n v="8588.52"/>
    <n v="9"/>
    <n v="0"/>
    <n v="1035.8399999999999"/>
    <x v="5"/>
    <x v="2"/>
    <s v="Good"/>
    <n v="954.28000000000009"/>
    <n v="45488"/>
    <x v="1"/>
    <n v="7"/>
    <x v="6"/>
    <n v="0.12060750862779616"/>
    <s v="No Discount"/>
  </r>
  <r>
    <s v="ORD100896"/>
    <d v="2025-08-21T00:00:00"/>
    <s v="Customer 75"/>
    <x v="0"/>
    <s v="Kerala"/>
    <x v="0"/>
    <s v="Paper"/>
    <x v="11"/>
    <n v="1822.56"/>
    <n v="6"/>
    <n v="0.3"/>
    <n v="-191.41"/>
    <x v="1"/>
    <x v="0"/>
    <s v="Bad"/>
    <n v="303.76"/>
    <n v="45890"/>
    <x v="0"/>
    <n v="8"/>
    <x v="11"/>
    <n v="-0.10502260556579757"/>
    <s v="high"/>
  </r>
  <r>
    <s v="ORD100897"/>
    <d v="2024-07-18T00:00:00"/>
    <s v="Customer 14"/>
    <x v="0"/>
    <s v="Tamil Nadu"/>
    <x v="0"/>
    <s v="Paper"/>
    <x v="11"/>
    <n v="3777.34"/>
    <n v="7"/>
    <n v="0.15"/>
    <n v="44.88"/>
    <x v="4"/>
    <x v="0"/>
    <s v="Bad"/>
    <n v="539.62"/>
    <n v="45491"/>
    <x v="1"/>
    <n v="7"/>
    <x v="6"/>
    <n v="1.1881376841904621E-2"/>
    <s v="medium"/>
  </r>
  <r>
    <s v="ORD100898"/>
    <d v="2025-03-05T00:00:00"/>
    <s v="Customer 174"/>
    <x v="3"/>
    <s v="Bihar"/>
    <x v="2"/>
    <s v="Phones"/>
    <x v="8"/>
    <n v="6902.46"/>
    <n v="9"/>
    <n v="0.1"/>
    <n v="1300.07"/>
    <x v="2"/>
    <x v="0"/>
    <s v="Good"/>
    <n v="766.94"/>
    <n v="45721"/>
    <x v="0"/>
    <n v="3"/>
    <x v="3"/>
    <n v="0.18834879159024462"/>
    <s v="Low"/>
  </r>
  <r>
    <s v="ORD100899"/>
    <d v="2024-03-10T00:00:00"/>
    <s v="Customer 83"/>
    <x v="3"/>
    <s v="Bihar"/>
    <x v="0"/>
    <s v="Paper"/>
    <x v="21"/>
    <n v="10217.5"/>
    <n v="10"/>
    <n v="0.3"/>
    <n v="-75.92"/>
    <x v="3"/>
    <x v="3"/>
    <s v="Good"/>
    <n v="1021.75"/>
    <n v="45361"/>
    <x v="1"/>
    <n v="3"/>
    <x v="3"/>
    <n v="-7.4303890384144851E-3"/>
    <s v="high"/>
  </r>
  <r>
    <s v="ORD100900"/>
    <d v="2025-05-09T00:00:00"/>
    <s v="Customer 59"/>
    <x v="3"/>
    <s v="West Bengal"/>
    <x v="1"/>
    <s v="Storage"/>
    <x v="24"/>
    <n v="1391.95"/>
    <n v="7"/>
    <n v="0.15"/>
    <n v="-54.01"/>
    <x v="9"/>
    <x v="2"/>
    <s v="Bad"/>
    <n v="198.85"/>
    <n v="45786"/>
    <x v="0"/>
    <n v="5"/>
    <x v="7"/>
    <n v="-3.8801681094866911E-2"/>
    <s v="medium"/>
  </r>
  <r>
    <s v="ORD100901"/>
    <d v="2024-08-18T00:00:00"/>
    <s v="Customer 73"/>
    <x v="0"/>
    <s v="Tamil Nadu"/>
    <x v="1"/>
    <s v="Chairs"/>
    <x v="4"/>
    <n v="758.08"/>
    <n v="8"/>
    <n v="0"/>
    <n v="282.02999999999997"/>
    <x v="9"/>
    <x v="2"/>
    <s v="Bad"/>
    <n v="94.76"/>
    <n v="45522"/>
    <x v="1"/>
    <n v="8"/>
    <x v="11"/>
    <n v="0.37203197551709577"/>
    <s v="No Discount"/>
  </r>
  <r>
    <s v="ORD100902"/>
    <d v="2025-06-07T00:00:00"/>
    <s v="Customer 27"/>
    <x v="2"/>
    <s v="Delhi"/>
    <x v="1"/>
    <s v="Chairs"/>
    <x v="5"/>
    <n v="2687.2"/>
    <n v="10"/>
    <n v="0.25"/>
    <n v="-455.95"/>
    <x v="1"/>
    <x v="3"/>
    <s v="Bad"/>
    <n v="268.71999999999997"/>
    <n v="45815"/>
    <x v="0"/>
    <n v="6"/>
    <x v="9"/>
    <n v="-0.16967475439118787"/>
    <s v="high"/>
  </r>
  <r>
    <s v="ORD100903"/>
    <d v="2024-01-19T00:00:00"/>
    <s v="Customer 181"/>
    <x v="2"/>
    <s v="Delhi"/>
    <x v="0"/>
    <s v="Paper"/>
    <x v="11"/>
    <n v="3398.48"/>
    <n v="8"/>
    <n v="0.05"/>
    <n v="814.32"/>
    <x v="4"/>
    <x v="1"/>
    <s v="Bad"/>
    <n v="424.81"/>
    <n v="45310"/>
    <x v="1"/>
    <n v="1"/>
    <x v="0"/>
    <n v="0.23961300346037054"/>
    <s v="Low"/>
  </r>
  <r>
    <s v="ORD100904"/>
    <d v="2025-10-27T00:00:00"/>
    <s v="Customer 59"/>
    <x v="1"/>
    <s v="Gujarat"/>
    <x v="2"/>
    <s v="Phones"/>
    <x v="13"/>
    <n v="7301"/>
    <n v="7"/>
    <n v="0.1"/>
    <n v="1530.11"/>
    <x v="2"/>
    <x v="0"/>
    <s v="Bad"/>
    <n v="1043"/>
    <n v="45957"/>
    <x v="0"/>
    <n v="10"/>
    <x v="2"/>
    <n v="0.20957540063005067"/>
    <s v="Low"/>
  </r>
  <r>
    <s v="ORD100905"/>
    <d v="2025-12-15T00:00:00"/>
    <s v="Customer 164"/>
    <x v="2"/>
    <s v="Uttarakhand"/>
    <x v="1"/>
    <s v="Storage"/>
    <x v="24"/>
    <n v="3380.31"/>
    <n v="9"/>
    <n v="0.05"/>
    <n v="126.61"/>
    <x v="0"/>
    <x v="3"/>
    <s v="Bad"/>
    <n v="375.59"/>
    <n v="46006"/>
    <x v="0"/>
    <n v="12"/>
    <x v="4"/>
    <n v="3.7455144646496921E-2"/>
    <s v="Low"/>
  </r>
  <r>
    <s v="ORD100906"/>
    <d v="2025-01-02T00:00:00"/>
    <s v="Customer 120"/>
    <x v="0"/>
    <s v="Kerala"/>
    <x v="1"/>
    <s v="Chairs"/>
    <x v="4"/>
    <n v="148.59"/>
    <n v="1"/>
    <n v="0.3"/>
    <n v="-1.57"/>
    <x v="6"/>
    <x v="2"/>
    <s v="Bad"/>
    <n v="148.59"/>
    <n v="45659"/>
    <x v="0"/>
    <n v="1"/>
    <x v="0"/>
    <n v="-1.05659869439397E-2"/>
    <s v="high"/>
  </r>
  <r>
    <s v="ORD100907"/>
    <d v="2024-03-01T00:00:00"/>
    <s v="Customer 183"/>
    <x v="3"/>
    <s v="West Bengal"/>
    <x v="1"/>
    <s v="Tables"/>
    <x v="9"/>
    <n v="6047.02"/>
    <n v="7"/>
    <n v="0.3"/>
    <n v="119.04"/>
    <x v="2"/>
    <x v="1"/>
    <s v="Bad"/>
    <n v="863.86"/>
    <n v="45352"/>
    <x v="1"/>
    <n v="3"/>
    <x v="3"/>
    <n v="1.9685729499819747E-2"/>
    <s v="high"/>
  </r>
  <r>
    <s v="ORD100908"/>
    <d v="2024-06-10T00:00:00"/>
    <s v="Customer 57"/>
    <x v="3"/>
    <s v="Assam"/>
    <x v="2"/>
    <s v="Computers"/>
    <x v="10"/>
    <n v="288.44"/>
    <n v="1"/>
    <n v="0"/>
    <n v="110.8"/>
    <x v="3"/>
    <x v="3"/>
    <s v="Bad"/>
    <n v="288.44"/>
    <n v="45453"/>
    <x v="1"/>
    <n v="6"/>
    <x v="9"/>
    <n v="0.38413534877270833"/>
    <s v="No Discount"/>
  </r>
  <r>
    <s v="ORD100909"/>
    <d v="2025-03-27T00:00:00"/>
    <s v="Customer 131"/>
    <x v="3"/>
    <s v="Bihar"/>
    <x v="2"/>
    <s v="Accessories"/>
    <x v="12"/>
    <n v="651.67999999999995"/>
    <n v="2"/>
    <n v="0.1"/>
    <n v="81.260000000000005"/>
    <x v="7"/>
    <x v="0"/>
    <s v="Bad"/>
    <n v="325.83999999999997"/>
    <n v="45743"/>
    <x v="0"/>
    <n v="3"/>
    <x v="3"/>
    <n v="0.12469310090842133"/>
    <s v="Low"/>
  </r>
  <r>
    <s v="ORD100910"/>
    <d v="2024-08-16T00:00:00"/>
    <s v="Customer 48"/>
    <x v="1"/>
    <s v="Gujarat"/>
    <x v="1"/>
    <s v="Storage"/>
    <x v="7"/>
    <n v="2612.94"/>
    <n v="6"/>
    <n v="0.15"/>
    <n v="589.05999999999995"/>
    <x v="4"/>
    <x v="2"/>
    <s v="Bad"/>
    <n v="435.49"/>
    <n v="45520"/>
    <x v="1"/>
    <n v="8"/>
    <x v="11"/>
    <n v="0.22543954319655252"/>
    <s v="medium"/>
  </r>
  <r>
    <s v="ORD100911"/>
    <d v="2025-12-17T00:00:00"/>
    <s v="Customer 176"/>
    <x v="2"/>
    <s v="Uttarakhand"/>
    <x v="0"/>
    <s v="Binders"/>
    <x v="0"/>
    <n v="1774.28"/>
    <n v="2"/>
    <n v="0.05"/>
    <n v="260.43"/>
    <x v="2"/>
    <x v="0"/>
    <s v="Bad"/>
    <n v="887.14"/>
    <n v="46008"/>
    <x v="0"/>
    <n v="12"/>
    <x v="4"/>
    <n v="0.14678066596027686"/>
    <s v="Low"/>
  </r>
  <r>
    <s v="ORD100912"/>
    <d v="2024-11-26T00:00:00"/>
    <s v="Customer 51"/>
    <x v="1"/>
    <s v="Goa"/>
    <x v="0"/>
    <s v="Binders"/>
    <x v="25"/>
    <n v="4639.95"/>
    <n v="9"/>
    <n v="0.25"/>
    <n v="-505.14"/>
    <x v="6"/>
    <x v="3"/>
    <s v="Bad"/>
    <n v="515.54999999999995"/>
    <n v="45622"/>
    <x v="1"/>
    <n v="11"/>
    <x v="10"/>
    <n v="-0.10886755245207384"/>
    <s v="high"/>
  </r>
  <r>
    <s v="ORD100913"/>
    <d v="2025-02-23T00:00:00"/>
    <s v="Customer 6"/>
    <x v="3"/>
    <s v="Bihar"/>
    <x v="2"/>
    <s v="Computers"/>
    <x v="26"/>
    <n v="1648.02"/>
    <n v="2"/>
    <n v="0.15"/>
    <n v="68.25"/>
    <x v="0"/>
    <x v="0"/>
    <s v="Bad"/>
    <n v="824.01"/>
    <n v="45711"/>
    <x v="0"/>
    <n v="2"/>
    <x v="1"/>
    <n v="4.1413332362471328E-2"/>
    <s v="medium"/>
  </r>
  <r>
    <s v="ORD100914"/>
    <d v="2024-07-10T00:00:00"/>
    <s v="Customer 112"/>
    <x v="0"/>
    <s v="Tamil Nadu"/>
    <x v="1"/>
    <s v="Chairs"/>
    <x v="5"/>
    <n v="571.32000000000005"/>
    <n v="9"/>
    <n v="0.05"/>
    <n v="15.96"/>
    <x v="2"/>
    <x v="2"/>
    <s v="Bad"/>
    <n v="63.480000000000004"/>
    <n v="45483"/>
    <x v="1"/>
    <n v="7"/>
    <x v="6"/>
    <n v="2.7935307708464606E-2"/>
    <s v="Low"/>
  </r>
  <r>
    <s v="ORD100915"/>
    <d v="2024-10-29T00:00:00"/>
    <s v="Customer 143"/>
    <x v="3"/>
    <s v="Assam"/>
    <x v="1"/>
    <s v="Storage"/>
    <x v="15"/>
    <n v="5467.49"/>
    <n v="7"/>
    <n v="0.2"/>
    <n v="1046.26"/>
    <x v="0"/>
    <x v="1"/>
    <s v="Bad"/>
    <n v="781.06999999999994"/>
    <n v="45594"/>
    <x v="1"/>
    <n v="10"/>
    <x v="2"/>
    <n v="0.19136020367664139"/>
    <s v="medium"/>
  </r>
  <r>
    <s v="ORD100916"/>
    <d v="2025-11-11T00:00:00"/>
    <s v="Customer 145"/>
    <x v="0"/>
    <s v="Telangana"/>
    <x v="1"/>
    <s v="Storage"/>
    <x v="7"/>
    <n v="701.82"/>
    <n v="1"/>
    <n v="0.05"/>
    <n v="279.10000000000002"/>
    <x v="7"/>
    <x v="1"/>
    <s v="Bad"/>
    <n v="701.82"/>
    <n v="45972"/>
    <x v="0"/>
    <n v="11"/>
    <x v="10"/>
    <n v="0.39768031689037076"/>
    <s v="Low"/>
  </r>
  <r>
    <s v="ORD100917"/>
    <d v="2024-04-29T00:00:00"/>
    <s v="Customer 182"/>
    <x v="1"/>
    <s v="Rajasthan"/>
    <x v="1"/>
    <s v="Tables"/>
    <x v="16"/>
    <n v="1064.96"/>
    <n v="1"/>
    <n v="0"/>
    <n v="476.95"/>
    <x v="4"/>
    <x v="2"/>
    <s v="Bad"/>
    <n v="1064.96"/>
    <n v="45411"/>
    <x v="1"/>
    <n v="4"/>
    <x v="8"/>
    <n v="0.44785719651442307"/>
    <s v="No Discount"/>
  </r>
  <r>
    <s v="ORD100918"/>
    <d v="2025-04-18T00:00:00"/>
    <s v="Customer 22"/>
    <x v="1"/>
    <s v="Gujarat"/>
    <x v="0"/>
    <s v="Writing"/>
    <x v="19"/>
    <n v="2673.86"/>
    <n v="7"/>
    <n v="0.1"/>
    <n v="-7.05"/>
    <x v="2"/>
    <x v="0"/>
    <s v="Bad"/>
    <n v="381.98"/>
    <n v="45765"/>
    <x v="0"/>
    <n v="4"/>
    <x v="8"/>
    <n v="-2.6366376698854837E-3"/>
    <s v="Low"/>
  </r>
  <r>
    <s v="ORD100919"/>
    <d v="2025-05-12T00:00:00"/>
    <s v="Customer 124"/>
    <x v="3"/>
    <s v="Assam"/>
    <x v="2"/>
    <s v="Phones"/>
    <x v="8"/>
    <n v="2818.3"/>
    <n v="5"/>
    <n v="0.05"/>
    <n v="1123.68"/>
    <x v="9"/>
    <x v="2"/>
    <s v="Bad"/>
    <n v="563.66000000000008"/>
    <n v="45789"/>
    <x v="0"/>
    <n v="5"/>
    <x v="7"/>
    <n v="0.39870844125891497"/>
    <s v="Low"/>
  </r>
  <r>
    <s v="ORD100920"/>
    <d v="2024-05-10T00:00:00"/>
    <s v="Customer 165"/>
    <x v="0"/>
    <s v="Tamil Nadu"/>
    <x v="1"/>
    <s v="Tables"/>
    <x v="9"/>
    <n v="349.05"/>
    <n v="3"/>
    <n v="0.2"/>
    <n v="73.260000000000005"/>
    <x v="4"/>
    <x v="3"/>
    <s v="Bad"/>
    <n v="116.35000000000001"/>
    <n v="45422"/>
    <x v="1"/>
    <n v="5"/>
    <x v="7"/>
    <n v="0.20988397077782553"/>
    <s v="medium"/>
  </r>
  <r>
    <s v="ORD100921"/>
    <d v="2024-07-18T00:00:00"/>
    <s v="Customer 97"/>
    <x v="2"/>
    <s v="Delhi"/>
    <x v="0"/>
    <s v="Paper"/>
    <x v="2"/>
    <n v="1951.96"/>
    <n v="4"/>
    <n v="0.05"/>
    <n v="502.24"/>
    <x v="9"/>
    <x v="0"/>
    <s v="Bad"/>
    <n v="487.99"/>
    <n v="45491"/>
    <x v="1"/>
    <n v="7"/>
    <x v="6"/>
    <n v="0.2573003545154614"/>
    <s v="Low"/>
  </r>
  <r>
    <s v="ORD100922"/>
    <d v="2024-08-31T00:00:00"/>
    <s v="Customer 184"/>
    <x v="1"/>
    <s v="Gujarat"/>
    <x v="1"/>
    <s v="Tables"/>
    <x v="9"/>
    <n v="2087.5"/>
    <n v="10"/>
    <n v="0.25"/>
    <n v="73.41"/>
    <x v="0"/>
    <x v="1"/>
    <s v="Bad"/>
    <n v="208.75"/>
    <n v="45535"/>
    <x v="1"/>
    <n v="8"/>
    <x v="11"/>
    <n v="3.5166467065868262E-2"/>
    <s v="high"/>
  </r>
  <r>
    <s v="ORD100923"/>
    <d v="2025-08-26T00:00:00"/>
    <s v="Customer 167"/>
    <x v="3"/>
    <s v="Odisha"/>
    <x v="0"/>
    <s v="Binders"/>
    <x v="22"/>
    <n v="8507.7999999999993"/>
    <n v="10"/>
    <n v="0.2"/>
    <n v="1162.6500000000001"/>
    <x v="1"/>
    <x v="0"/>
    <s v="Good"/>
    <n v="850.78"/>
    <n v="45895"/>
    <x v="0"/>
    <n v="8"/>
    <x v="11"/>
    <n v="0.136656950092856"/>
    <s v="medium"/>
  </r>
  <r>
    <s v="ORD100924"/>
    <d v="2025-12-22T00:00:00"/>
    <s v="Customer 181"/>
    <x v="2"/>
    <s v="Delhi"/>
    <x v="1"/>
    <s v="Chairs"/>
    <x v="5"/>
    <n v="4218.3"/>
    <n v="10"/>
    <n v="0.3"/>
    <n v="-617.20000000000005"/>
    <x v="5"/>
    <x v="0"/>
    <s v="Bad"/>
    <n v="421.83000000000004"/>
    <n v="46013"/>
    <x v="0"/>
    <n v="12"/>
    <x v="4"/>
    <n v="-0.14631486617831829"/>
    <s v="high"/>
  </r>
  <r>
    <s v="ORD100925"/>
    <d v="2024-03-30T00:00:00"/>
    <s v="Customer 99"/>
    <x v="1"/>
    <s v="Rajasthan"/>
    <x v="1"/>
    <s v="Chairs"/>
    <x v="5"/>
    <n v="1554.24"/>
    <n v="3"/>
    <n v="0.3"/>
    <n v="-364.1"/>
    <x v="8"/>
    <x v="0"/>
    <s v="Bad"/>
    <n v="518.08000000000004"/>
    <n v="45381"/>
    <x v="1"/>
    <n v="3"/>
    <x v="3"/>
    <n v="-0.23426240477661109"/>
    <s v="high"/>
  </r>
  <r>
    <s v="ORD100926"/>
    <d v="2024-12-27T00:00:00"/>
    <s v="Customer 176"/>
    <x v="3"/>
    <s v="Odisha"/>
    <x v="0"/>
    <s v="Paper"/>
    <x v="2"/>
    <n v="719.61"/>
    <n v="3"/>
    <n v="0.3"/>
    <n v="12.75"/>
    <x v="3"/>
    <x v="0"/>
    <s v="Bad"/>
    <n v="239.87"/>
    <n v="45653"/>
    <x v="1"/>
    <n v="12"/>
    <x v="4"/>
    <n v="1.771793054571226E-2"/>
    <s v="high"/>
  </r>
  <r>
    <s v="ORD100927"/>
    <d v="2024-03-18T00:00:00"/>
    <s v="Customer 38"/>
    <x v="3"/>
    <s v="West Bengal"/>
    <x v="1"/>
    <s v="Chairs"/>
    <x v="14"/>
    <n v="491.46"/>
    <n v="1"/>
    <n v="0.3"/>
    <n v="-36.65"/>
    <x v="9"/>
    <x v="1"/>
    <s v="Bad"/>
    <n v="491.46"/>
    <n v="45369"/>
    <x v="1"/>
    <n v="3"/>
    <x v="3"/>
    <n v="-7.4573719122614249E-2"/>
    <s v="high"/>
  </r>
  <r>
    <s v="ORD100928"/>
    <d v="2025-10-27T00:00:00"/>
    <s v="Customer 34"/>
    <x v="2"/>
    <s v="Punjab"/>
    <x v="0"/>
    <s v="Writing"/>
    <x v="19"/>
    <n v="497.46"/>
    <n v="6"/>
    <n v="0.05"/>
    <n v="132.93"/>
    <x v="3"/>
    <x v="1"/>
    <s v="Bad"/>
    <n v="82.91"/>
    <n v="45957"/>
    <x v="0"/>
    <n v="10"/>
    <x v="2"/>
    <n v="0.26721746472078162"/>
    <s v="Low"/>
  </r>
  <r>
    <s v="ORD100929"/>
    <d v="2024-11-16T00:00:00"/>
    <s v="Customer 98"/>
    <x v="1"/>
    <s v="Rajasthan"/>
    <x v="2"/>
    <s v="Computers"/>
    <x v="10"/>
    <n v="793.62"/>
    <n v="2"/>
    <n v="0.15"/>
    <n v="14.12"/>
    <x v="6"/>
    <x v="1"/>
    <s v="Bad"/>
    <n v="396.81"/>
    <n v="45612"/>
    <x v="1"/>
    <n v="11"/>
    <x v="10"/>
    <n v="1.7791890325344624E-2"/>
    <s v="medium"/>
  </r>
  <r>
    <s v="ORD100930"/>
    <d v="2024-03-21T00:00:00"/>
    <s v="Customer 10"/>
    <x v="0"/>
    <s v="Telangana"/>
    <x v="0"/>
    <s v="Writing"/>
    <x v="1"/>
    <n v="2120.12"/>
    <n v="2"/>
    <n v="0.15"/>
    <n v="540.85"/>
    <x v="5"/>
    <x v="2"/>
    <s v="Bad"/>
    <n v="1060.06"/>
    <n v="45372"/>
    <x v="1"/>
    <n v="3"/>
    <x v="3"/>
    <n v="0.25510348470841276"/>
    <s v="medium"/>
  </r>
  <r>
    <s v="ORD100931"/>
    <d v="2024-03-24T00:00:00"/>
    <s v="Customer 47"/>
    <x v="2"/>
    <s v="Punjab"/>
    <x v="1"/>
    <s v="Tables"/>
    <x v="17"/>
    <n v="3359.31"/>
    <n v="3"/>
    <n v="0.15"/>
    <n v="782.62"/>
    <x v="4"/>
    <x v="3"/>
    <s v="Bad"/>
    <n v="1119.77"/>
    <n v="45375"/>
    <x v="1"/>
    <n v="3"/>
    <x v="3"/>
    <n v="0.23297046119590034"/>
    <s v="medium"/>
  </r>
  <r>
    <s v="ORD100932"/>
    <d v="2025-09-18T00:00:00"/>
    <s v="Customer 155"/>
    <x v="1"/>
    <s v="Rajasthan"/>
    <x v="1"/>
    <s v="Chairs"/>
    <x v="4"/>
    <n v="309.42"/>
    <n v="6"/>
    <n v="0.25"/>
    <n v="-12.68"/>
    <x v="5"/>
    <x v="2"/>
    <s v="Bad"/>
    <n v="51.57"/>
    <n v="45918"/>
    <x v="0"/>
    <n v="9"/>
    <x v="5"/>
    <n v="-4.0979897873440627E-2"/>
    <s v="high"/>
  </r>
  <r>
    <s v="ORD100933"/>
    <d v="2025-07-28T00:00:00"/>
    <s v="Customer 16"/>
    <x v="0"/>
    <s v="Karnataka"/>
    <x v="0"/>
    <s v="Writing"/>
    <x v="1"/>
    <n v="3733"/>
    <n v="5"/>
    <n v="0.2"/>
    <n v="397.78"/>
    <x v="5"/>
    <x v="3"/>
    <s v="Bad"/>
    <n v="746.6"/>
    <n v="45866"/>
    <x v="0"/>
    <n v="7"/>
    <x v="6"/>
    <n v="0.10655772836860433"/>
    <s v="medium"/>
  </r>
  <r>
    <s v="ORD100934"/>
    <d v="2024-07-22T00:00:00"/>
    <s v="Customer 120"/>
    <x v="2"/>
    <s v="Punjab"/>
    <x v="2"/>
    <s v="Accessories"/>
    <x v="18"/>
    <n v="3694.4"/>
    <n v="8"/>
    <n v="0"/>
    <n v="1105.31"/>
    <x v="6"/>
    <x v="2"/>
    <s v="Bad"/>
    <n v="461.8"/>
    <n v="45495"/>
    <x v="1"/>
    <n v="7"/>
    <x v="6"/>
    <n v="0.29918525335643131"/>
    <s v="No Discount"/>
  </r>
  <r>
    <s v="ORD100935"/>
    <d v="2024-08-24T00:00:00"/>
    <s v="Customer 42"/>
    <x v="1"/>
    <s v="Maharashtra"/>
    <x v="0"/>
    <s v="Writing"/>
    <x v="19"/>
    <n v="2061.9"/>
    <n v="5"/>
    <n v="0.1"/>
    <n v="576.29"/>
    <x v="4"/>
    <x v="1"/>
    <s v="Bad"/>
    <n v="412.38"/>
    <n v="45528"/>
    <x v="1"/>
    <n v="8"/>
    <x v="11"/>
    <n v="0.27949464086522136"/>
    <s v="Low"/>
  </r>
  <r>
    <s v="ORD100936"/>
    <d v="2025-05-14T00:00:00"/>
    <s v="Customer 162"/>
    <x v="1"/>
    <s v="Goa"/>
    <x v="0"/>
    <s v="Binders"/>
    <x v="22"/>
    <n v="2628.09"/>
    <n v="3"/>
    <n v="0.15"/>
    <n v="-148.6"/>
    <x v="9"/>
    <x v="3"/>
    <s v="Bad"/>
    <n v="876.03000000000009"/>
    <n v="45791"/>
    <x v="0"/>
    <n v="5"/>
    <x v="7"/>
    <n v="-5.65429646625496E-2"/>
    <s v="medium"/>
  </r>
  <r>
    <s v="ORD100937"/>
    <d v="2024-08-24T00:00:00"/>
    <s v="Customer 182"/>
    <x v="3"/>
    <s v="Odisha"/>
    <x v="1"/>
    <s v="Chairs"/>
    <x v="4"/>
    <n v="953.74"/>
    <n v="1"/>
    <n v="0.3"/>
    <n v="65.680000000000007"/>
    <x v="6"/>
    <x v="1"/>
    <s v="Bad"/>
    <n v="953.74"/>
    <n v="45528"/>
    <x v="1"/>
    <n v="8"/>
    <x v="11"/>
    <n v="6.8865728605280271E-2"/>
    <s v="high"/>
  </r>
  <r>
    <s v="ORD100938"/>
    <d v="2024-04-20T00:00:00"/>
    <s v="Customer 166"/>
    <x v="1"/>
    <s v="Maharashtra"/>
    <x v="0"/>
    <s v="Paper"/>
    <x v="21"/>
    <n v="189.62"/>
    <n v="1"/>
    <n v="0.15"/>
    <n v="-1.1299999999999999"/>
    <x v="4"/>
    <x v="1"/>
    <s v="Bad"/>
    <n v="189.62"/>
    <n v="45402"/>
    <x v="1"/>
    <n v="4"/>
    <x v="8"/>
    <n v="-5.959286995042716E-3"/>
    <s v="medium"/>
  </r>
  <r>
    <s v="ORD100939"/>
    <d v="2025-04-25T00:00:00"/>
    <s v="Customer 153"/>
    <x v="3"/>
    <s v="Assam"/>
    <x v="0"/>
    <s v="Binders"/>
    <x v="25"/>
    <n v="945.48"/>
    <n v="1"/>
    <n v="0"/>
    <n v="352.03"/>
    <x v="3"/>
    <x v="1"/>
    <s v="Bad"/>
    <n v="945.48"/>
    <n v="45772"/>
    <x v="0"/>
    <n v="4"/>
    <x v="8"/>
    <n v="0.37232939882387778"/>
    <s v="No Discount"/>
  </r>
  <r>
    <s v="ORD100940"/>
    <d v="2025-07-06T00:00:00"/>
    <s v="Customer 136"/>
    <x v="3"/>
    <s v="West Bengal"/>
    <x v="1"/>
    <s v="Storage"/>
    <x v="15"/>
    <n v="312.27999999999997"/>
    <n v="1"/>
    <n v="0.05"/>
    <n v="29.35"/>
    <x v="3"/>
    <x v="1"/>
    <s v="Bad"/>
    <n v="312.27999999999997"/>
    <n v="45844"/>
    <x v="0"/>
    <n v="7"/>
    <x v="6"/>
    <n v="9.398616626104779E-2"/>
    <s v="Low"/>
  </r>
  <r>
    <s v="ORD100941"/>
    <d v="2024-06-24T00:00:00"/>
    <s v="Customer 26"/>
    <x v="3"/>
    <s v="Assam"/>
    <x v="2"/>
    <s v="Accessories"/>
    <x v="12"/>
    <n v="3043.89"/>
    <n v="3"/>
    <n v="0.3"/>
    <n v="-219.03"/>
    <x v="1"/>
    <x v="1"/>
    <s v="Bad"/>
    <n v="1014.63"/>
    <n v="45467"/>
    <x v="1"/>
    <n v="6"/>
    <x v="9"/>
    <n v="-7.1957265209978027E-2"/>
    <s v="high"/>
  </r>
  <r>
    <s v="ORD100942"/>
    <d v="2024-05-03T00:00:00"/>
    <s v="Customer 185"/>
    <x v="2"/>
    <s v="Haryana"/>
    <x v="2"/>
    <s v="Phones"/>
    <x v="23"/>
    <n v="289.92"/>
    <n v="3"/>
    <n v="0.2"/>
    <n v="29.27"/>
    <x v="6"/>
    <x v="2"/>
    <s v="Bad"/>
    <n v="96.64"/>
    <n v="45415"/>
    <x v="1"/>
    <n v="5"/>
    <x v="7"/>
    <n v="0.10095888520971302"/>
    <s v="medium"/>
  </r>
  <r>
    <s v="ORD100943"/>
    <d v="2025-12-22T00:00:00"/>
    <s v="Customer 73"/>
    <x v="2"/>
    <s v="Haryana"/>
    <x v="0"/>
    <s v="Writing"/>
    <x v="19"/>
    <n v="937.66"/>
    <n v="2"/>
    <n v="0.2"/>
    <n v="194.24"/>
    <x v="3"/>
    <x v="2"/>
    <s v="Bad"/>
    <n v="468.83"/>
    <n v="46013"/>
    <x v="0"/>
    <n v="12"/>
    <x v="4"/>
    <n v="0.20715397905424143"/>
    <s v="medium"/>
  </r>
  <r>
    <s v="ORD100944"/>
    <d v="2024-09-04T00:00:00"/>
    <s v="Customer 149"/>
    <x v="0"/>
    <s v="Telangana"/>
    <x v="1"/>
    <s v="Chairs"/>
    <x v="14"/>
    <n v="2311.5500000000002"/>
    <n v="5"/>
    <n v="0.2"/>
    <n v="-189.01"/>
    <x v="5"/>
    <x v="1"/>
    <s v="Bad"/>
    <n v="462.31000000000006"/>
    <n v="45539"/>
    <x v="1"/>
    <n v="9"/>
    <x v="5"/>
    <n v="-8.1767645086630175E-2"/>
    <s v="medium"/>
  </r>
  <r>
    <s v="ORD100945"/>
    <d v="2025-05-27T00:00:00"/>
    <s v="Customer 85"/>
    <x v="2"/>
    <s v="Uttarakhand"/>
    <x v="0"/>
    <s v="Writing"/>
    <x v="1"/>
    <n v="1437.6"/>
    <n v="6"/>
    <n v="0.2"/>
    <n v="24.03"/>
    <x v="0"/>
    <x v="1"/>
    <s v="Bad"/>
    <n v="239.6"/>
    <n v="45804"/>
    <x v="0"/>
    <n v="5"/>
    <x v="7"/>
    <n v="1.6715358931552588E-2"/>
    <s v="medium"/>
  </r>
  <r>
    <s v="ORD100946"/>
    <d v="2024-05-03T00:00:00"/>
    <s v="Customer 99"/>
    <x v="2"/>
    <s v="Haryana"/>
    <x v="2"/>
    <s v="Phones"/>
    <x v="23"/>
    <n v="4037.1"/>
    <n v="5"/>
    <n v="0.15"/>
    <n v="247.63"/>
    <x v="8"/>
    <x v="0"/>
    <s v="Bad"/>
    <n v="807.42"/>
    <n v="45415"/>
    <x v="1"/>
    <n v="5"/>
    <x v="7"/>
    <n v="6.1338584627579205E-2"/>
    <s v="medium"/>
  </r>
  <r>
    <s v="ORD100947"/>
    <d v="2024-04-12T00:00:00"/>
    <s v="Customer 74"/>
    <x v="1"/>
    <s v="Goa"/>
    <x v="1"/>
    <s v="Storage"/>
    <x v="15"/>
    <n v="6641.37"/>
    <n v="9"/>
    <n v="0.3"/>
    <n v="-791.36"/>
    <x v="3"/>
    <x v="0"/>
    <s v="Good"/>
    <n v="737.93"/>
    <n v="45394"/>
    <x v="1"/>
    <n v="4"/>
    <x v="8"/>
    <n v="-0.11915613796551013"/>
    <s v="high"/>
  </r>
  <r>
    <s v="ORD100948"/>
    <d v="2025-04-19T00:00:00"/>
    <s v="Customer 20"/>
    <x v="0"/>
    <s v="Tamil Nadu"/>
    <x v="2"/>
    <s v="Accessories"/>
    <x v="20"/>
    <n v="3878"/>
    <n v="10"/>
    <n v="0.05"/>
    <n v="601.28"/>
    <x v="4"/>
    <x v="2"/>
    <s v="Bad"/>
    <n v="387.8"/>
    <n v="45766"/>
    <x v="0"/>
    <n v="4"/>
    <x v="8"/>
    <n v="0.15504899432697267"/>
    <s v="Low"/>
  </r>
  <r>
    <s v="ORD100949"/>
    <d v="2025-07-17T00:00:00"/>
    <s v="Customer 2"/>
    <x v="0"/>
    <s v="Tamil Nadu"/>
    <x v="0"/>
    <s v="Binders"/>
    <x v="25"/>
    <n v="10009.9"/>
    <n v="10"/>
    <n v="0.05"/>
    <n v="1722.02"/>
    <x v="3"/>
    <x v="2"/>
    <s v="Good"/>
    <n v="1000.99"/>
    <n v="45855"/>
    <x v="0"/>
    <n v="7"/>
    <x v="6"/>
    <n v="0.17203168862825802"/>
    <s v="Low"/>
  </r>
  <r>
    <s v="ORD100950"/>
    <d v="2025-03-22T00:00:00"/>
    <s v="Customer 179"/>
    <x v="1"/>
    <s v="Rajasthan"/>
    <x v="0"/>
    <s v="Paper"/>
    <x v="11"/>
    <n v="680.58"/>
    <n v="6"/>
    <n v="0"/>
    <n v="170.33"/>
    <x v="7"/>
    <x v="1"/>
    <s v="Bad"/>
    <n v="113.43"/>
    <n v="45738"/>
    <x v="0"/>
    <n v="3"/>
    <x v="3"/>
    <n v="0.25027182697111289"/>
    <s v="No Discount"/>
  </r>
  <r>
    <s v="ORD100951"/>
    <d v="2024-10-31T00:00:00"/>
    <s v="Customer 154"/>
    <x v="0"/>
    <s v="Karnataka"/>
    <x v="2"/>
    <s v="Phones"/>
    <x v="13"/>
    <n v="2151.58"/>
    <n v="2"/>
    <n v="0.1"/>
    <n v="717.01"/>
    <x v="1"/>
    <x v="3"/>
    <s v="Bad"/>
    <n v="1075.79"/>
    <n v="45596"/>
    <x v="1"/>
    <n v="10"/>
    <x v="2"/>
    <n v="0.3332481246339899"/>
    <s v="Low"/>
  </r>
  <r>
    <s v="ORD100952"/>
    <d v="2025-09-17T00:00:00"/>
    <s v="Customer 123"/>
    <x v="0"/>
    <s v="Karnataka"/>
    <x v="0"/>
    <s v="Writing"/>
    <x v="3"/>
    <n v="3975.75"/>
    <n v="9"/>
    <n v="0.2"/>
    <n v="155.88999999999999"/>
    <x v="8"/>
    <x v="3"/>
    <s v="Bad"/>
    <n v="441.75"/>
    <n v="45917"/>
    <x v="0"/>
    <n v="9"/>
    <x v="5"/>
    <n v="3.9210211909702565E-2"/>
    <s v="medium"/>
  </r>
  <r>
    <s v="ORD100953"/>
    <d v="2025-03-03T00:00:00"/>
    <s v="Customer 181"/>
    <x v="2"/>
    <s v="Uttarakhand"/>
    <x v="0"/>
    <s v="Writing"/>
    <x v="3"/>
    <n v="892.93"/>
    <n v="1"/>
    <n v="0.2"/>
    <n v="-127.16"/>
    <x v="4"/>
    <x v="3"/>
    <s v="Bad"/>
    <n v="892.93"/>
    <n v="45719"/>
    <x v="0"/>
    <n v="3"/>
    <x v="3"/>
    <n v="-0.14240757954150943"/>
    <s v="medium"/>
  </r>
  <r>
    <s v="ORD100954"/>
    <d v="2025-05-08T00:00:00"/>
    <s v="Customer 188"/>
    <x v="3"/>
    <s v="Assam"/>
    <x v="2"/>
    <s v="Phones"/>
    <x v="8"/>
    <n v="8385.4"/>
    <n v="10"/>
    <n v="0"/>
    <n v="729.15"/>
    <x v="7"/>
    <x v="2"/>
    <s v="Good"/>
    <n v="838.54"/>
    <n v="45785"/>
    <x v="0"/>
    <n v="5"/>
    <x v="7"/>
    <n v="8.6954706990721969E-2"/>
    <s v="No Discount"/>
  </r>
  <r>
    <s v="ORD100955"/>
    <d v="2024-06-30T00:00:00"/>
    <s v="Customer 115"/>
    <x v="3"/>
    <s v="Bihar"/>
    <x v="0"/>
    <s v="Writing"/>
    <x v="3"/>
    <n v="38.56"/>
    <n v="1"/>
    <n v="0"/>
    <n v="8.7799999999999994"/>
    <x v="3"/>
    <x v="2"/>
    <s v="Bad"/>
    <n v="38.56"/>
    <n v="45473"/>
    <x v="1"/>
    <n v="6"/>
    <x v="9"/>
    <n v="0.22769709543568462"/>
    <s v="No Discount"/>
  </r>
  <r>
    <s v="ORD100956"/>
    <d v="2025-08-29T00:00:00"/>
    <s v="Customer 26"/>
    <x v="2"/>
    <s v="Punjab"/>
    <x v="2"/>
    <s v="Phones"/>
    <x v="23"/>
    <n v="1980.54"/>
    <n v="6"/>
    <n v="0.05"/>
    <n v="73.11"/>
    <x v="7"/>
    <x v="2"/>
    <s v="Bad"/>
    <n v="330.09"/>
    <n v="45898"/>
    <x v="0"/>
    <n v="8"/>
    <x v="11"/>
    <n v="3.6914174921990971E-2"/>
    <s v="Low"/>
  </r>
  <r>
    <s v="ORD100957"/>
    <d v="2025-03-06T00:00:00"/>
    <s v="Customer 107"/>
    <x v="0"/>
    <s v="Kerala"/>
    <x v="1"/>
    <s v="Tables"/>
    <x v="9"/>
    <n v="7100.6"/>
    <n v="10"/>
    <n v="0.15"/>
    <n v="43.14"/>
    <x v="8"/>
    <x v="2"/>
    <s v="Good"/>
    <n v="710.06000000000006"/>
    <n v="45722"/>
    <x v="0"/>
    <n v="3"/>
    <x v="3"/>
    <n v="6.0755429118666028E-3"/>
    <s v="medium"/>
  </r>
  <r>
    <s v="ORD100958"/>
    <d v="2024-09-16T00:00:00"/>
    <s v="Customer 123"/>
    <x v="2"/>
    <s v="Delhi"/>
    <x v="2"/>
    <s v="Computers"/>
    <x v="6"/>
    <n v="2096.9499999999998"/>
    <n v="5"/>
    <n v="0.2"/>
    <n v="342.93"/>
    <x v="7"/>
    <x v="0"/>
    <s v="Bad"/>
    <n v="419.39"/>
    <n v="45551"/>
    <x v="1"/>
    <n v="9"/>
    <x v="5"/>
    <n v="0.16353751877727177"/>
    <s v="medium"/>
  </r>
  <r>
    <s v="ORD100959"/>
    <d v="2024-05-11T00:00:00"/>
    <s v="Customer 14"/>
    <x v="1"/>
    <s v="Gujarat"/>
    <x v="0"/>
    <s v="Writing"/>
    <x v="3"/>
    <n v="4721.04"/>
    <n v="8"/>
    <n v="0.05"/>
    <n v="1382.34"/>
    <x v="1"/>
    <x v="0"/>
    <s v="Bad"/>
    <n v="590.13"/>
    <n v="45423"/>
    <x v="1"/>
    <n v="5"/>
    <x v="7"/>
    <n v="0.29280412790402111"/>
    <s v="Low"/>
  </r>
  <r>
    <s v="ORD100960"/>
    <d v="2024-05-16T00:00:00"/>
    <s v="Customer 24"/>
    <x v="1"/>
    <s v="Rajasthan"/>
    <x v="2"/>
    <s v="Accessories"/>
    <x v="12"/>
    <n v="8636.94"/>
    <n v="9"/>
    <n v="0.2"/>
    <n v="597.38"/>
    <x v="1"/>
    <x v="1"/>
    <s v="Good"/>
    <n v="959.66000000000008"/>
    <n v="45428"/>
    <x v="1"/>
    <n v="5"/>
    <x v="7"/>
    <n v="6.9165699889081084E-2"/>
    <s v="medium"/>
  </r>
  <r>
    <s v="ORD100961"/>
    <d v="2025-01-31T00:00:00"/>
    <s v="Customer 37"/>
    <x v="3"/>
    <s v="Bihar"/>
    <x v="1"/>
    <s v="Chairs"/>
    <x v="14"/>
    <n v="2921.52"/>
    <n v="4"/>
    <n v="0.25"/>
    <n v="209.28"/>
    <x v="3"/>
    <x v="3"/>
    <s v="Bad"/>
    <n v="730.38"/>
    <n v="45688"/>
    <x v="0"/>
    <n v="1"/>
    <x v="0"/>
    <n v="7.1633943974369507E-2"/>
    <s v="high"/>
  </r>
  <r>
    <s v="ORD100962"/>
    <d v="2024-07-16T00:00:00"/>
    <s v="Customer 137"/>
    <x v="3"/>
    <s v="Bihar"/>
    <x v="0"/>
    <s v="Writing"/>
    <x v="19"/>
    <n v="1065.1400000000001"/>
    <n v="1"/>
    <n v="0.15"/>
    <n v="216.92"/>
    <x v="7"/>
    <x v="2"/>
    <s v="Bad"/>
    <n v="1065.1400000000001"/>
    <n v="45489"/>
    <x v="1"/>
    <n v="7"/>
    <x v="6"/>
    <n v="0.20365397975852936"/>
    <s v="medium"/>
  </r>
  <r>
    <s v="ORD100963"/>
    <d v="2024-05-14T00:00:00"/>
    <s v="Customer 120"/>
    <x v="1"/>
    <s v="Goa"/>
    <x v="1"/>
    <s v="Storage"/>
    <x v="15"/>
    <n v="3447"/>
    <n v="3"/>
    <n v="0.2"/>
    <n v="686.58"/>
    <x v="5"/>
    <x v="1"/>
    <s v="Bad"/>
    <n v="1149"/>
    <n v="45426"/>
    <x v="1"/>
    <n v="5"/>
    <x v="7"/>
    <n v="0.19918189730200175"/>
    <s v="medium"/>
  </r>
  <r>
    <s v="ORD100964"/>
    <d v="2024-07-22T00:00:00"/>
    <s v="Customer 121"/>
    <x v="1"/>
    <s v="Goa"/>
    <x v="2"/>
    <s v="Phones"/>
    <x v="13"/>
    <n v="5534.05"/>
    <n v="5"/>
    <n v="0.15"/>
    <n v="977.7"/>
    <x v="5"/>
    <x v="2"/>
    <s v="Bad"/>
    <n v="1106.81"/>
    <n v="45495"/>
    <x v="1"/>
    <n v="7"/>
    <x v="6"/>
    <n v="0.17666988914086429"/>
    <s v="medium"/>
  </r>
  <r>
    <s v="ORD100965"/>
    <d v="2024-04-24T00:00:00"/>
    <s v="Customer 93"/>
    <x v="3"/>
    <s v="West Bengal"/>
    <x v="1"/>
    <s v="Chairs"/>
    <x v="14"/>
    <n v="2598.7199999999998"/>
    <n v="4"/>
    <n v="0.1"/>
    <n v="679.71"/>
    <x v="7"/>
    <x v="1"/>
    <s v="Bad"/>
    <n v="649.67999999999995"/>
    <n v="45406"/>
    <x v="1"/>
    <n v="4"/>
    <x v="8"/>
    <n v="0.26155568895456227"/>
    <s v="Low"/>
  </r>
  <r>
    <s v="ORD100966"/>
    <d v="2024-05-19T00:00:00"/>
    <s v="Customer 58"/>
    <x v="2"/>
    <s v="Haryana"/>
    <x v="1"/>
    <s v="Storage"/>
    <x v="24"/>
    <n v="1545.63"/>
    <n v="3"/>
    <n v="0.05"/>
    <n v="274.3"/>
    <x v="9"/>
    <x v="3"/>
    <s v="Bad"/>
    <n v="515.21"/>
    <n v="45431"/>
    <x v="1"/>
    <n v="5"/>
    <x v="7"/>
    <n v="0.17746808744654283"/>
    <s v="Low"/>
  </r>
  <r>
    <s v="ORD100967"/>
    <d v="2024-01-11T00:00:00"/>
    <s v="Customer 103"/>
    <x v="2"/>
    <s v="Haryana"/>
    <x v="0"/>
    <s v="Binders"/>
    <x v="22"/>
    <n v="569.14"/>
    <n v="2"/>
    <n v="0.15"/>
    <n v="105.8"/>
    <x v="1"/>
    <x v="1"/>
    <s v="Bad"/>
    <n v="284.57"/>
    <n v="45302"/>
    <x v="1"/>
    <n v="1"/>
    <x v="0"/>
    <n v="0.18589450750254771"/>
    <s v="medium"/>
  </r>
  <r>
    <s v="ORD100968"/>
    <d v="2024-11-09T00:00:00"/>
    <s v="Customer 158"/>
    <x v="3"/>
    <s v="Odisha"/>
    <x v="1"/>
    <s v="Tables"/>
    <x v="17"/>
    <n v="5968.15"/>
    <n v="5"/>
    <n v="0.15"/>
    <n v="-307.77"/>
    <x v="6"/>
    <x v="1"/>
    <s v="Bad"/>
    <n v="1193.6299999999999"/>
    <n v="45605"/>
    <x v="1"/>
    <n v="11"/>
    <x v="10"/>
    <n v="-5.1568744083174856E-2"/>
    <s v="medium"/>
  </r>
  <r>
    <s v="ORD100969"/>
    <d v="2025-01-22T00:00:00"/>
    <s v="Customer 69"/>
    <x v="3"/>
    <s v="Assam"/>
    <x v="1"/>
    <s v="Tables"/>
    <x v="17"/>
    <n v="7458.1"/>
    <n v="10"/>
    <n v="0.15"/>
    <n v="1437.34"/>
    <x v="7"/>
    <x v="3"/>
    <s v="Good"/>
    <n v="745.81000000000006"/>
    <n v="45679"/>
    <x v="0"/>
    <n v="1"/>
    <x v="0"/>
    <n v="0.19272200694546868"/>
    <s v="medium"/>
  </r>
  <r>
    <s v="ORD100970"/>
    <d v="2024-10-22T00:00:00"/>
    <s v="Customer 179"/>
    <x v="1"/>
    <s v="Gujarat"/>
    <x v="1"/>
    <s v="Storage"/>
    <x v="15"/>
    <n v="617.82000000000005"/>
    <n v="3"/>
    <n v="0.05"/>
    <n v="128.08000000000001"/>
    <x v="4"/>
    <x v="1"/>
    <s v="Bad"/>
    <n v="205.94000000000003"/>
    <n v="45587"/>
    <x v="1"/>
    <n v="10"/>
    <x v="2"/>
    <n v="0.2073095723673562"/>
    <s v="Low"/>
  </r>
  <r>
    <s v="ORD100971"/>
    <d v="2025-06-20T00:00:00"/>
    <s v="Customer 172"/>
    <x v="0"/>
    <s v="Kerala"/>
    <x v="0"/>
    <s v="Paper"/>
    <x v="21"/>
    <n v="942.36"/>
    <n v="4"/>
    <n v="0.3"/>
    <n v="-23.18"/>
    <x v="0"/>
    <x v="2"/>
    <s v="Bad"/>
    <n v="235.59"/>
    <n v="45828"/>
    <x v="0"/>
    <n v="6"/>
    <x v="9"/>
    <n v="-2.4597818243558726E-2"/>
    <s v="high"/>
  </r>
  <r>
    <s v="ORD100972"/>
    <d v="2024-09-25T00:00:00"/>
    <s v="Customer 180"/>
    <x v="3"/>
    <s v="Assam"/>
    <x v="2"/>
    <s v="Phones"/>
    <x v="13"/>
    <n v="2154.36"/>
    <n v="3"/>
    <n v="0.25"/>
    <n v="-332.03"/>
    <x v="3"/>
    <x v="3"/>
    <s v="Bad"/>
    <n v="718.12"/>
    <n v="45560"/>
    <x v="1"/>
    <n v="9"/>
    <x v="5"/>
    <n v="-0.15412001708163908"/>
    <s v="high"/>
  </r>
  <r>
    <s v="ORD100973"/>
    <d v="2025-06-24T00:00:00"/>
    <s v="Customer 34"/>
    <x v="3"/>
    <s v="Bihar"/>
    <x v="1"/>
    <s v="Chairs"/>
    <x v="5"/>
    <n v="3565.6"/>
    <n v="5"/>
    <n v="0.3"/>
    <n v="224.18"/>
    <x v="7"/>
    <x v="2"/>
    <s v="Bad"/>
    <n v="713.12"/>
    <n v="45832"/>
    <x v="0"/>
    <n v="6"/>
    <x v="9"/>
    <n v="6.2873008750280457E-2"/>
    <s v="high"/>
  </r>
  <r>
    <s v="ORD100974"/>
    <d v="2024-06-05T00:00:00"/>
    <s v="Customer 124"/>
    <x v="2"/>
    <s v="Haryana"/>
    <x v="2"/>
    <s v="Accessories"/>
    <x v="18"/>
    <n v="2005.83"/>
    <n v="3"/>
    <n v="0.1"/>
    <n v="88.28"/>
    <x v="2"/>
    <x v="3"/>
    <s v="Bad"/>
    <n v="668.61"/>
    <n v="45448"/>
    <x v="1"/>
    <n v="6"/>
    <x v="9"/>
    <n v="4.4011705877367475E-2"/>
    <s v="Low"/>
  </r>
  <r>
    <s v="ORD100975"/>
    <d v="2024-02-25T00:00:00"/>
    <s v="Customer 183"/>
    <x v="1"/>
    <s v="Maharashtra"/>
    <x v="0"/>
    <s v="Binders"/>
    <x v="25"/>
    <n v="873.64"/>
    <n v="1"/>
    <n v="0.3"/>
    <n v="-37.43"/>
    <x v="1"/>
    <x v="1"/>
    <s v="Bad"/>
    <n v="873.64"/>
    <n v="45347"/>
    <x v="1"/>
    <n v="2"/>
    <x v="1"/>
    <n v="-4.2843734261251772E-2"/>
    <s v="high"/>
  </r>
  <r>
    <s v="ORD100976"/>
    <d v="2024-09-08T00:00:00"/>
    <s v="Customer 16"/>
    <x v="2"/>
    <s v="Delhi"/>
    <x v="0"/>
    <s v="Binders"/>
    <x v="0"/>
    <n v="876.9"/>
    <n v="5"/>
    <n v="0.2"/>
    <n v="-63.97"/>
    <x v="7"/>
    <x v="1"/>
    <s v="Bad"/>
    <n v="175.38"/>
    <n v="45543"/>
    <x v="1"/>
    <n v="9"/>
    <x v="5"/>
    <n v="-7.2950165355228649E-2"/>
    <s v="medium"/>
  </r>
  <r>
    <s v="ORD100977"/>
    <d v="2024-01-01T00:00:00"/>
    <s v="Customer 117"/>
    <x v="1"/>
    <s v="Goa"/>
    <x v="1"/>
    <s v="Tables"/>
    <x v="16"/>
    <n v="2997.96"/>
    <n v="4"/>
    <n v="0.15"/>
    <n v="-230.14"/>
    <x v="6"/>
    <x v="2"/>
    <s v="Bad"/>
    <n v="749.49"/>
    <n v="45292"/>
    <x v="1"/>
    <n v="1"/>
    <x v="0"/>
    <n v="-7.6765533896382868E-2"/>
    <s v="medium"/>
  </r>
  <r>
    <s v="ORD100978"/>
    <d v="2024-01-22T00:00:00"/>
    <s v="Customer 64"/>
    <x v="2"/>
    <s v="Haryana"/>
    <x v="2"/>
    <s v="Phones"/>
    <x v="13"/>
    <n v="278.8"/>
    <n v="2"/>
    <n v="0.15"/>
    <n v="65.040000000000006"/>
    <x v="5"/>
    <x v="3"/>
    <s v="Bad"/>
    <n v="139.4"/>
    <n v="45313"/>
    <x v="1"/>
    <n v="1"/>
    <x v="0"/>
    <n v="0.23328550932568151"/>
    <s v="medium"/>
  </r>
  <r>
    <s v="ORD100979"/>
    <d v="2024-04-24T00:00:00"/>
    <s v="Customer 118"/>
    <x v="1"/>
    <s v="Maharashtra"/>
    <x v="0"/>
    <s v="Paper"/>
    <x v="11"/>
    <n v="4141.5600000000004"/>
    <n v="4"/>
    <n v="0.2"/>
    <n v="45.75"/>
    <x v="8"/>
    <x v="1"/>
    <s v="Bad"/>
    <n v="1035.3900000000001"/>
    <n v="45406"/>
    <x v="1"/>
    <n v="4"/>
    <x v="8"/>
    <n v="1.1046562164981311E-2"/>
    <s v="medium"/>
  </r>
  <r>
    <s v="ORD100980"/>
    <d v="2024-10-25T00:00:00"/>
    <s v="Customer 132"/>
    <x v="1"/>
    <s v="Maharashtra"/>
    <x v="0"/>
    <s v="Paper"/>
    <x v="21"/>
    <n v="371.82"/>
    <n v="1"/>
    <n v="0"/>
    <n v="114.27"/>
    <x v="6"/>
    <x v="1"/>
    <s v="Bad"/>
    <n v="371.82"/>
    <n v="45590"/>
    <x v="1"/>
    <n v="10"/>
    <x v="2"/>
    <n v="0.30732612554461836"/>
    <s v="No Discount"/>
  </r>
  <r>
    <s v="ORD100981"/>
    <d v="2025-07-31T00:00:00"/>
    <s v="Customer 192"/>
    <x v="2"/>
    <s v="Punjab"/>
    <x v="0"/>
    <s v="Binders"/>
    <x v="0"/>
    <n v="1609.85"/>
    <n v="5"/>
    <n v="0.3"/>
    <n v="91.25"/>
    <x v="9"/>
    <x v="0"/>
    <s v="Bad"/>
    <n v="321.96999999999997"/>
    <n v="45869"/>
    <x v="0"/>
    <n v="7"/>
    <x v="6"/>
    <n v="5.6682299593129801E-2"/>
    <s v="high"/>
  </r>
  <r>
    <s v="ORD100982"/>
    <d v="2025-11-06T00:00:00"/>
    <s v="Customer 56"/>
    <x v="0"/>
    <s v="Tamil Nadu"/>
    <x v="0"/>
    <s v="Paper"/>
    <x v="2"/>
    <n v="2520.1999999999998"/>
    <n v="4"/>
    <n v="0.1"/>
    <n v="3.39"/>
    <x v="6"/>
    <x v="2"/>
    <s v="Bad"/>
    <n v="630.04999999999995"/>
    <n v="45967"/>
    <x v="0"/>
    <n v="11"/>
    <x v="10"/>
    <n v="1.3451313387826363E-3"/>
    <s v="Low"/>
  </r>
  <r>
    <s v="ORD100983"/>
    <d v="2024-12-10T00:00:00"/>
    <s v="Customer 23"/>
    <x v="3"/>
    <s v="Bihar"/>
    <x v="2"/>
    <s v="Accessories"/>
    <x v="12"/>
    <n v="2402.4699999999998"/>
    <n v="7"/>
    <n v="0.1"/>
    <n v="300.33999999999997"/>
    <x v="7"/>
    <x v="2"/>
    <s v="Bad"/>
    <n v="343.21"/>
    <n v="45636"/>
    <x v="1"/>
    <n v="12"/>
    <x v="4"/>
    <n v="0.12501300744650298"/>
    <s v="Low"/>
  </r>
  <r>
    <s v="ORD100984"/>
    <d v="2024-07-22T00:00:00"/>
    <s v="Customer 183"/>
    <x v="1"/>
    <s v="Gujarat"/>
    <x v="1"/>
    <s v="Chairs"/>
    <x v="4"/>
    <n v="4246.7"/>
    <n v="10"/>
    <n v="0.1"/>
    <n v="1344.22"/>
    <x v="3"/>
    <x v="2"/>
    <s v="Bad"/>
    <n v="424.66999999999996"/>
    <n v="45495"/>
    <x v="1"/>
    <n v="7"/>
    <x v="6"/>
    <n v="0.31653283726187392"/>
    <s v="Low"/>
  </r>
  <r>
    <s v="ORD100985"/>
    <d v="2024-10-18T00:00:00"/>
    <s v="Customer 138"/>
    <x v="3"/>
    <s v="Bihar"/>
    <x v="0"/>
    <s v="Binders"/>
    <x v="22"/>
    <n v="2540.31"/>
    <n v="3"/>
    <n v="0.15"/>
    <n v="526.41999999999996"/>
    <x v="6"/>
    <x v="0"/>
    <s v="Bad"/>
    <n v="846.77"/>
    <n v="45583"/>
    <x v="1"/>
    <n v="10"/>
    <x v="2"/>
    <n v="0.20722667705909908"/>
    <s v="medium"/>
  </r>
  <r>
    <s v="ORD100986"/>
    <d v="2025-01-10T00:00:00"/>
    <s v="Customer 118"/>
    <x v="2"/>
    <s v="Delhi"/>
    <x v="1"/>
    <s v="Chairs"/>
    <x v="4"/>
    <n v="2358.15"/>
    <n v="3"/>
    <n v="0.25"/>
    <n v="-342.56"/>
    <x v="5"/>
    <x v="1"/>
    <s v="Bad"/>
    <n v="786.05000000000007"/>
    <n v="45667"/>
    <x v="0"/>
    <n v="1"/>
    <x v="0"/>
    <n v="-0.14526641647053834"/>
    <s v="high"/>
  </r>
  <r>
    <s v="ORD100987"/>
    <d v="2024-03-14T00:00:00"/>
    <s v="Customer 79"/>
    <x v="3"/>
    <s v="Assam"/>
    <x v="2"/>
    <s v="Phones"/>
    <x v="23"/>
    <n v="1295.1600000000001"/>
    <n v="2"/>
    <n v="0.3"/>
    <n v="62.67"/>
    <x v="6"/>
    <x v="0"/>
    <s v="Bad"/>
    <n v="647.58000000000004"/>
    <n v="45365"/>
    <x v="1"/>
    <n v="3"/>
    <x v="3"/>
    <n v="4.8387843972945425E-2"/>
    <s v="high"/>
  </r>
  <r>
    <s v="ORD100988"/>
    <d v="2024-06-04T00:00:00"/>
    <s v="Customer 88"/>
    <x v="1"/>
    <s v="Gujarat"/>
    <x v="1"/>
    <s v="Tables"/>
    <x v="17"/>
    <n v="299.45999999999998"/>
    <n v="1"/>
    <n v="0"/>
    <n v="120.22"/>
    <x v="5"/>
    <x v="0"/>
    <s v="Bad"/>
    <n v="299.45999999999998"/>
    <n v="45447"/>
    <x v="1"/>
    <n v="6"/>
    <x v="9"/>
    <n v="0.40145595405062451"/>
    <s v="No Discount"/>
  </r>
  <r>
    <s v="ORD100989"/>
    <d v="2024-12-11T00:00:00"/>
    <s v="Customer 17"/>
    <x v="3"/>
    <s v="Assam"/>
    <x v="0"/>
    <s v="Writing"/>
    <x v="19"/>
    <n v="8178.66"/>
    <n v="7"/>
    <n v="0.05"/>
    <n v="316.08"/>
    <x v="4"/>
    <x v="1"/>
    <s v="Bad"/>
    <n v="1168.3799999999999"/>
    <n v="45637"/>
    <x v="1"/>
    <n v="12"/>
    <x v="4"/>
    <n v="3.8646917710236151E-2"/>
    <s v="Low"/>
  </r>
  <r>
    <s v="ORD100990"/>
    <d v="2025-10-29T00:00:00"/>
    <s v="Customer 190"/>
    <x v="2"/>
    <s v="Uttarakhand"/>
    <x v="2"/>
    <s v="Phones"/>
    <x v="13"/>
    <n v="1793.54"/>
    <n v="7"/>
    <n v="0.25"/>
    <n v="56.25"/>
    <x v="5"/>
    <x v="3"/>
    <s v="Bad"/>
    <n v="256.21999999999997"/>
    <n v="45959"/>
    <x v="0"/>
    <n v="10"/>
    <x v="2"/>
    <n v="3.13625567313804E-2"/>
    <s v="high"/>
  </r>
  <r>
    <s v="ORD100991"/>
    <d v="2025-02-23T00:00:00"/>
    <s v="Customer 189"/>
    <x v="1"/>
    <s v="Goa"/>
    <x v="2"/>
    <s v="Phones"/>
    <x v="23"/>
    <n v="7369.3"/>
    <n v="10"/>
    <n v="0.1"/>
    <n v="128.79"/>
    <x v="4"/>
    <x v="0"/>
    <s v="Good"/>
    <n v="736.93000000000006"/>
    <n v="45711"/>
    <x v="0"/>
    <n v="2"/>
    <x v="1"/>
    <n v="1.7476558153420269E-2"/>
    <s v="Low"/>
  </r>
  <r>
    <s v="ORD100992"/>
    <d v="2024-03-19T00:00:00"/>
    <s v="Customer 11"/>
    <x v="2"/>
    <s v="Punjab"/>
    <x v="0"/>
    <s v="Binders"/>
    <x v="22"/>
    <n v="7309.68"/>
    <n v="8"/>
    <n v="0"/>
    <n v="2359.42"/>
    <x v="3"/>
    <x v="0"/>
    <s v="Good"/>
    <n v="913.71"/>
    <n v="45370"/>
    <x v="1"/>
    <n v="3"/>
    <x v="3"/>
    <n v="0.32278020378457062"/>
    <s v="No Discount"/>
  </r>
  <r>
    <s v="ORD100993"/>
    <d v="2025-12-07T00:00:00"/>
    <s v="Customer 82"/>
    <x v="3"/>
    <s v="Bihar"/>
    <x v="0"/>
    <s v="Paper"/>
    <x v="2"/>
    <n v="1539.21"/>
    <n v="3"/>
    <n v="0.15"/>
    <n v="431.45"/>
    <x v="0"/>
    <x v="2"/>
    <s v="Bad"/>
    <n v="513.07000000000005"/>
    <n v="45998"/>
    <x v="0"/>
    <n v="12"/>
    <x v="4"/>
    <n v="0.28030613106723579"/>
    <s v="medium"/>
  </r>
  <r>
    <s v="ORD100994"/>
    <d v="2025-07-28T00:00:00"/>
    <s v="Customer 73"/>
    <x v="2"/>
    <s v="Punjab"/>
    <x v="1"/>
    <s v="Chairs"/>
    <x v="4"/>
    <n v="2703.12"/>
    <n v="7"/>
    <n v="0"/>
    <n v="940.01"/>
    <x v="3"/>
    <x v="3"/>
    <s v="Bad"/>
    <n v="386.15999999999997"/>
    <n v="45866"/>
    <x v="0"/>
    <n v="7"/>
    <x v="6"/>
    <n v="0.34775000739885764"/>
    <s v="No Discount"/>
  </r>
  <r>
    <s v="ORD100995"/>
    <d v="2024-01-19T00:00:00"/>
    <s v="Customer 53"/>
    <x v="2"/>
    <s v="Delhi"/>
    <x v="1"/>
    <s v="Chairs"/>
    <x v="14"/>
    <n v="5973.3"/>
    <n v="9"/>
    <n v="0.1"/>
    <n v="867.98"/>
    <x v="4"/>
    <x v="3"/>
    <s v="Good"/>
    <n v="663.7"/>
    <n v="45310"/>
    <x v="1"/>
    <n v="1"/>
    <x v="0"/>
    <n v="0.14530996266720239"/>
    <s v="Low"/>
  </r>
  <r>
    <s v="ORD100996"/>
    <d v="2025-07-17T00:00:00"/>
    <s v="Customer 117"/>
    <x v="0"/>
    <s v="Telangana"/>
    <x v="2"/>
    <s v="Accessories"/>
    <x v="12"/>
    <n v="5162.08"/>
    <n v="7"/>
    <n v="0.15"/>
    <n v="-74.239999999999995"/>
    <x v="0"/>
    <x v="3"/>
    <s v="Bad"/>
    <n v="737.43999999999994"/>
    <n v="45855"/>
    <x v="0"/>
    <n v="7"/>
    <x v="6"/>
    <n v="-1.4381799584663546E-2"/>
    <s v="medium"/>
  </r>
  <r>
    <s v="ORD100997"/>
    <d v="2025-02-10T00:00:00"/>
    <s v="Customer 100"/>
    <x v="1"/>
    <s v="Rajasthan"/>
    <x v="0"/>
    <s v="Paper"/>
    <x v="11"/>
    <n v="1363.59"/>
    <n v="3"/>
    <n v="0.1"/>
    <n v="470.13"/>
    <x v="2"/>
    <x v="2"/>
    <s v="Bad"/>
    <n v="454.53"/>
    <n v="45698"/>
    <x v="0"/>
    <n v="2"/>
    <x v="1"/>
    <n v="0.34477372230655845"/>
    <s v="Low"/>
  </r>
  <r>
    <s v="ORD100998"/>
    <d v="2024-05-06T00:00:00"/>
    <s v="Customer 31"/>
    <x v="2"/>
    <s v="Uttarakhand"/>
    <x v="2"/>
    <s v="Accessories"/>
    <x v="12"/>
    <n v="4257.6099999999997"/>
    <n v="7"/>
    <n v="0.2"/>
    <n v="885.3"/>
    <x v="7"/>
    <x v="0"/>
    <s v="Bad"/>
    <n v="608.2299999999999"/>
    <n v="45418"/>
    <x v="1"/>
    <n v="5"/>
    <x v="7"/>
    <n v="0.2079335589685293"/>
    <s v="medium"/>
  </r>
  <r>
    <s v="ORD100999"/>
    <d v="2024-01-21T00:00:00"/>
    <s v="Customer 67"/>
    <x v="1"/>
    <s v="Gujarat"/>
    <x v="1"/>
    <s v="Chairs"/>
    <x v="14"/>
    <n v="2930.27"/>
    <n v="7"/>
    <n v="0"/>
    <n v="1168.75"/>
    <x v="5"/>
    <x v="3"/>
    <s v="Bad"/>
    <n v="418.61"/>
    <n v="45312"/>
    <x v="1"/>
    <n v="1"/>
    <x v="0"/>
    <n v="0.3988540305159593"/>
    <s v="No Discount"/>
  </r>
  <r>
    <s v="ORD101000"/>
    <d v="2025-08-31T00:00:00"/>
    <s v="Customer 93"/>
    <x v="2"/>
    <s v="Haryana"/>
    <x v="1"/>
    <s v="Chairs"/>
    <x v="14"/>
    <n v="3425.5"/>
    <n v="10"/>
    <n v="0.2"/>
    <n v="657.03"/>
    <x v="8"/>
    <x v="0"/>
    <s v="Bad"/>
    <n v="342.55"/>
    <n v="45900"/>
    <x v="0"/>
    <n v="8"/>
    <x v="11"/>
    <n v="0.19180557582834623"/>
    <s v="medium"/>
  </r>
  <r>
    <s v="ORD101001"/>
    <d v="2024-11-15T00:00:00"/>
    <s v="Customer 144"/>
    <x v="1"/>
    <s v="Rajasthan"/>
    <x v="1"/>
    <s v="Tables"/>
    <x v="17"/>
    <n v="5809.85"/>
    <n v="5"/>
    <n v="0.15"/>
    <n v="1528.75"/>
    <x v="4"/>
    <x v="0"/>
    <s v="Bad"/>
    <n v="1161.97"/>
    <n v="45611"/>
    <x v="1"/>
    <n v="11"/>
    <x v="10"/>
    <n v="0.26313071766052476"/>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AA403C-21A1-4577-A40A-8495D223505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B20" firstHeaderRow="1" firstDataRow="1" firstDataCol="0"/>
  <pivotFields count="22">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dataField="1" numFmtId="9" showAll="0"/>
    <pivotField showAll="0"/>
  </pivotFields>
  <rowItems count="1">
    <i/>
  </rowItems>
  <colItems count="1">
    <i/>
  </colItems>
  <dataFields count="1">
    <dataField name="Average of profit_margin" fld="2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7618CB-C322-446D-B104-0CF09B59107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6:B17" firstHeaderRow="1" firstDataRow="1" firstDataCol="0"/>
  <pivotFields count="22">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numFmtId="9" showAll="0"/>
    <pivotField showAll="0"/>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CEDE7-7225-44E8-874E-5959BEF1E3C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2">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numFmtId="9" showAll="0"/>
    <pivotField showAll="0"/>
  </pivotFields>
  <rowItems count="1">
    <i/>
  </rowItems>
  <colItems count="1">
    <i/>
  </colItems>
  <dataFields count="1">
    <dataField name="Sum of Sales" fld="8" baseField="0" baseItem="0" numFmtId="166"/>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934FCC-6B8B-481E-BBA8-55E65316304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22">
    <pivotField dataField="1"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numFmtId="9"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471BD3-AE2C-486C-AE7E-4A2141FD560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22">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numFmtId="9" showAll="0"/>
    <pivotField showAll="0"/>
  </pivotFields>
  <rowItems count="1">
    <i/>
  </rowItems>
  <colItems count="1">
    <i/>
  </colItems>
  <dataFields count="1">
    <dataField name="Average of Sales" fld="8" subtotal="average" baseField="0" baseItem="0" numFmtId="165"/>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DD8BD2-3DAD-49E3-9DFA-59C9AA60790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2">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numFmtId="9" showAll="0"/>
    <pivotField showAll="0"/>
  </pivotFields>
  <rowItems count="1">
    <i/>
  </rowItems>
  <colItems count="1">
    <i/>
  </colItems>
  <dataFields count="1">
    <dataField name="Sum of Profit" fld="11" baseField="0" baseItem="0" numFmtId="164"/>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6CCD6E-FDBA-4CB5-9C9E-3F24359A1C7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location ref="A4:B17" firstHeaderRow="1" firstDataRow="1" firstDataCol="1"/>
  <pivotFields count="22">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axis="axisRow" showAll="0">
      <items count="13">
        <item x="0"/>
        <item x="1"/>
        <item x="3"/>
        <item x="8"/>
        <item x="7"/>
        <item x="9"/>
        <item x="6"/>
        <item x="11"/>
        <item x="5"/>
        <item x="2"/>
        <item x="10"/>
        <item x="4"/>
        <item t="default"/>
      </items>
    </pivotField>
    <pivotField numFmtId="9"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Sales" fld="8" baseField="0" baseItem="0" numFmtId="164"/>
  </dataFields>
  <formats count="4">
    <format>
      <pivotArea type="all" dataOnly="0" outline="0" fieldPosition="0"/>
    </format>
    <format>
      <pivotArea field="12" type="button" dataOnly="0" labelOnly="1" outline="0"/>
    </format>
    <format>
      <pivotArea dataOnly="0" labelOnly="1" grandRow="1" outline="0" fieldPosition="0"/>
    </format>
    <format dxfId="52">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57A627-D543-446F-8D1D-C44BEB2AE03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B7" firstHeaderRow="1" firstDataRow="1" firstDataCol="1"/>
  <pivotFields count="22">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numFmtId="9" showAll="0"/>
    <pivotField showAll="0"/>
  </pivotFields>
  <rowFields count="1">
    <field x="3"/>
  </rowFields>
  <rowItems count="5">
    <i>
      <x v="3"/>
    </i>
    <i>
      <x v="1"/>
    </i>
    <i>
      <x/>
    </i>
    <i>
      <x v="2"/>
    </i>
    <i t="grand">
      <x/>
    </i>
  </rowItems>
  <colItems count="1">
    <i/>
  </colItems>
  <dataFields count="1">
    <dataField name="Sum of Sales" fld="8" baseField="0" baseItem="0" numFmtId="164"/>
  </dataFields>
  <formats count="4">
    <format>
      <pivotArea type="all" dataOnly="0" outline="0" fieldPosition="0"/>
    </format>
    <format>
      <pivotArea field="12" type="button" dataOnly="0" labelOnly="1" outline="0"/>
    </format>
    <format>
      <pivotArea dataOnly="0" labelOnly="1" grandRow="1" outline="0" fieldPosition="0"/>
    </format>
    <format dxfId="51">
      <pivotArea outline="0" collapsedLevelsAreSubtotals="1" fieldPosition="0"/>
    </format>
  </format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2B3AD0-726D-49F8-8E41-65E9F9FFE1C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22">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axis="axisRow" showAll="0" measureFilter="1" sortType="descending">
      <items count="28">
        <item x="11"/>
        <item x="24"/>
        <item x="7"/>
        <item x="9"/>
        <item x="17"/>
        <item x="23"/>
        <item x="10"/>
        <item x="0"/>
        <item x="15"/>
        <item x="25"/>
        <item x="4"/>
        <item x="13"/>
        <item x="1"/>
        <item x="12"/>
        <item x="6"/>
        <item x="19"/>
        <item x="26"/>
        <item x="18"/>
        <item x="2"/>
        <item x="14"/>
        <item x="3"/>
        <item x="22"/>
        <item x="8"/>
        <item x="21"/>
        <item x="16"/>
        <item x="5"/>
        <item x="2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numFmtId="9" showAll="0"/>
    <pivotField showAll="0"/>
  </pivotFields>
  <rowFields count="1">
    <field x="7"/>
  </rowFields>
  <rowItems count="11">
    <i>
      <x v="4"/>
    </i>
    <i>
      <x v="16"/>
    </i>
    <i>
      <x v="11"/>
    </i>
    <i>
      <x v="13"/>
    </i>
    <i>
      <x v="9"/>
    </i>
    <i>
      <x v="10"/>
    </i>
    <i>
      <x/>
    </i>
    <i>
      <x v="22"/>
    </i>
    <i>
      <x v="7"/>
    </i>
    <i>
      <x v="19"/>
    </i>
    <i t="grand">
      <x/>
    </i>
  </rowItems>
  <colItems count="1">
    <i/>
  </colItems>
  <dataFields count="1">
    <dataField name="Sum of Sales" fld="8" baseField="0" baseItem="0" numFmtId="164"/>
  </dataFields>
  <formats count="2">
    <format>
      <pivotArea collapsedLevelsAreSubtotals="1" fieldPosition="0">
        <references count="1">
          <reference field="7" count="0"/>
        </references>
      </pivotArea>
    </format>
    <format dxfId="50">
      <pivotArea outline="0" collapsedLevelsAreSubtotals="1" fieldPosition="0"/>
    </format>
  </formats>
  <chartFormats count="1">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7FAB4C-706A-41D8-A3C1-C7E3D98EF7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3:C14" firstHeaderRow="1" firstDataRow="1" firstDataCol="1"/>
  <pivotFields count="22">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axis="axisRow" showAll="0" sortType="descending">
      <items count="11">
        <item x="0"/>
        <item x="7"/>
        <item x="4"/>
        <item x="8"/>
        <item x="3"/>
        <item x="2"/>
        <item x="5"/>
        <item x="6"/>
        <item x="9"/>
        <item x="1"/>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numFmtId="9" showAll="0"/>
    <pivotField showAll="0"/>
  </pivotFields>
  <rowFields count="1">
    <field x="12"/>
  </rowFields>
  <rowItems count="11">
    <i>
      <x v="4"/>
    </i>
    <i>
      <x v="7"/>
    </i>
    <i>
      <x v="6"/>
    </i>
    <i>
      <x v="5"/>
    </i>
    <i>
      <x/>
    </i>
    <i>
      <x v="1"/>
    </i>
    <i>
      <x v="9"/>
    </i>
    <i>
      <x v="8"/>
    </i>
    <i>
      <x v="2"/>
    </i>
    <i>
      <x v="3"/>
    </i>
    <i t="grand">
      <x/>
    </i>
  </rowItems>
  <colItems count="1">
    <i/>
  </colItems>
  <dataFields count="1">
    <dataField name="Sum of Sales" fld="8" baseField="0" baseItem="0" numFmtId="164"/>
  </dataFields>
  <formats count="6">
    <format>
      <pivotArea type="all" dataOnly="0" outline="0" fieldPosition="0"/>
    </format>
    <format>
      <pivotArea field="12" type="button" dataOnly="0" labelOnly="1" outline="0" axis="axisRow" fieldPosition="0"/>
    </format>
    <format>
      <pivotArea dataOnly="0" labelOnly="1" fieldPosition="0">
        <references count="1">
          <reference field="12" count="0"/>
        </references>
      </pivotArea>
    </format>
    <format>
      <pivotArea dataOnly="0" labelOnly="1" grandRow="1" outline="0" fieldPosition="0"/>
    </format>
    <format>
      <pivotArea dataOnly="0" labelOnly="1" outline="0" fieldPosition="0">
        <references count="1">
          <reference field="4294967294" count="1">
            <x v="0"/>
          </reference>
        </references>
      </pivotArea>
    </format>
    <format dxfId="49">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8"/>
          </reference>
        </references>
      </pivotArea>
    </chartFormat>
    <chartFormat chart="4" format="4">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AE8FE7-0410-4F5D-AFDA-7EB37349EBF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C11:D15" firstHeaderRow="1" firstDataRow="1" firstDataCol="1"/>
  <pivotFields count="22">
    <pivotField showAll="0"/>
    <pivotField showAll="0"/>
    <pivotField showAll="0"/>
    <pivotField showAll="0">
      <items count="5">
        <item x="3"/>
        <item x="2"/>
        <item x="0"/>
        <item x="1"/>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items count="11">
        <item x="0"/>
        <item x="7"/>
        <item x="4"/>
        <item x="8"/>
        <item x="3"/>
        <item x="2"/>
        <item x="5"/>
        <item x="6"/>
        <item x="9"/>
        <item x="1"/>
        <item t="default"/>
      </items>
    </pivotField>
    <pivotField showAll="0">
      <items count="5">
        <item x="1"/>
        <item x="3"/>
        <item x="0"/>
        <item x="2"/>
        <item t="default"/>
      </items>
    </pivotField>
    <pivotField showAll="0"/>
    <pivotField showAll="0"/>
    <pivotField showAll="0"/>
    <pivotField showAll="0">
      <items count="3">
        <item x="1"/>
        <item x="0"/>
        <item t="default"/>
      </items>
    </pivotField>
    <pivotField showAll="0"/>
    <pivotField showAll="0"/>
    <pivotField numFmtId="9" showAll="0"/>
    <pivotField showAll="0"/>
  </pivotFields>
  <rowFields count="1">
    <field x="5"/>
  </rowFields>
  <rowItems count="4">
    <i>
      <x/>
    </i>
    <i>
      <x v="1"/>
    </i>
    <i>
      <x v="2"/>
    </i>
    <i t="grand">
      <x/>
    </i>
  </rowItems>
  <colItems count="1">
    <i/>
  </colItems>
  <dataFields count="1">
    <dataField name="Sum of Profit" fld="11" baseField="0" baseItem="0"/>
  </dataFields>
  <formats count="7">
    <format>
      <pivotArea type="all" dataOnly="0" outline="0" fieldPosition="0"/>
    </format>
    <format>
      <pivotArea field="5" type="button" dataOnly="0" labelOnly="1" outline="0" axis="axisRow" fieldPosition="0"/>
    </format>
    <format>
      <pivotArea dataOnly="0" labelOnly="1" fieldPosition="0">
        <references count="1">
          <reference field="5" count="0"/>
        </references>
      </pivotArea>
    </format>
    <format>
      <pivotArea dataOnly="0" labelOnly="1" grandRow="1" outline="0" fieldPosition="0"/>
    </format>
    <format>
      <pivotArea dataOnly="0" labelOnly="1" outline="0" axis="axisValues" fieldPosition="0"/>
    </format>
    <format>
      <pivotArea collapsedLevelsAreSubtotals="1" fieldPosition="0">
        <references count="1">
          <reference field="5" count="0"/>
        </references>
      </pivotArea>
    </format>
    <format dxfId="48">
      <pivotArea outline="0" collapsedLevelsAreSubtotals="1" fieldPosition="0"/>
    </format>
  </formats>
  <chartFormats count="6">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5" count="1" selected="0">
            <x v="0"/>
          </reference>
        </references>
      </pivotArea>
    </chartFormat>
    <chartFormat chart="32" format="8">
      <pivotArea type="data" outline="0" fieldPosition="0">
        <references count="2">
          <reference field="4294967294" count="1" selected="0">
            <x v="0"/>
          </reference>
          <reference field="5" count="1" selected="0">
            <x v="1"/>
          </reference>
        </references>
      </pivotArea>
    </chartFormat>
    <chartFormat chart="32" format="9">
      <pivotArea type="data" outline="0" fieldPosition="0">
        <references count="2">
          <reference field="4294967294" count="1" selected="0">
            <x v="0"/>
          </reference>
          <reference field="5" count="1" selected="0">
            <x v="2"/>
          </reference>
        </references>
      </pivotArea>
    </chartFormat>
    <chartFormat chart="32" format="10" series="1">
      <pivotArea type="data" outline="0" fieldPosition="0">
        <references count="2">
          <reference field="4294967294" count="1" selected="0">
            <x v="0"/>
          </reference>
          <reference field="5" count="1" selected="0">
            <x v="1"/>
          </reference>
        </references>
      </pivotArea>
    </chartFormat>
    <chartFormat chart="32" format="11"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FD39A0-F40B-49E9-961B-E7970D80B0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D7" firstHeaderRow="1" firstDataRow="1" firstDataCol="1"/>
  <pivotFields count="22">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s>
  <rowFields count="1">
    <field x="5"/>
  </rowFields>
  <rowItems count="4">
    <i>
      <x v="1"/>
    </i>
    <i>
      <x v="2"/>
    </i>
    <i>
      <x/>
    </i>
    <i t="grand">
      <x/>
    </i>
  </rowItems>
  <colItems count="1">
    <i/>
  </colItems>
  <dataFields count="1">
    <dataField name="Sum of Sales" fld="8" baseField="0" baseItem="0"/>
  </dataFields>
  <formats count="7">
    <format>
      <pivotArea outline="0" collapsedLevelsAreSubtotals="1" fieldPosition="0"/>
    </format>
    <format>
      <pivotArea type="all" dataOnly="0" outline="0" fieldPosition="0"/>
    </format>
    <format>
      <pivotArea outline="0" collapsedLevelsAreSubtotals="1" fieldPosition="0"/>
    </format>
    <format>
      <pivotArea field="5" type="button" dataOnly="0" labelOnly="1" outline="0" axis="axisRow" fieldPosition="0"/>
    </format>
    <format>
      <pivotArea dataOnly="0" labelOnly="1" fieldPosition="0">
        <references count="1">
          <reference field="5" count="0"/>
        </references>
      </pivotArea>
    </format>
    <format>
      <pivotArea dataOnly="0" labelOnly="1" grandRow="1" outline="0" fieldPosition="0"/>
    </format>
    <format>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49BFFC-5CB8-4CF1-A458-2A3A28C9F6C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4:C9" firstHeaderRow="1" firstDataRow="1" firstDataCol="1"/>
  <pivotFields count="22">
    <pivotField showAll="0"/>
    <pivotField showAll="0"/>
    <pivotField showAll="0"/>
    <pivotField showAll="0">
      <items count="5">
        <item x="3"/>
        <item x="2"/>
        <item x="0"/>
        <item x="1"/>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1">
        <item x="0"/>
        <item x="7"/>
        <item x="4"/>
        <item x="8"/>
        <item x="3"/>
        <item x="2"/>
        <item x="5"/>
        <item x="6"/>
        <item x="9"/>
        <item x="1"/>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numFmtId="9" showAll="0"/>
    <pivotField showAll="0"/>
  </pivotFields>
  <rowFields count="1">
    <field x="13"/>
  </rowFields>
  <rowItems count="5">
    <i>
      <x/>
    </i>
    <i>
      <x v="2"/>
    </i>
    <i>
      <x v="1"/>
    </i>
    <i>
      <x v="3"/>
    </i>
    <i t="grand">
      <x/>
    </i>
  </rowItems>
  <colItems count="1">
    <i/>
  </colItems>
  <dataFields count="1">
    <dataField name="Sum of Sales" fld="8" baseField="0" baseItem="0" numFmtId="164"/>
  </dataFields>
  <formats count="1">
    <format dxfId="47">
      <pivotArea outline="0" collapsedLevelsAreSubtotals="1" fieldPosition="0"/>
    </format>
  </formats>
  <chartFormats count="5">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3" count="1" selected="0">
            <x v="0"/>
          </reference>
        </references>
      </pivotArea>
    </chartFormat>
    <chartFormat chart="16" format="8">
      <pivotArea type="data" outline="0" fieldPosition="0">
        <references count="2">
          <reference field="4294967294" count="1" selected="0">
            <x v="0"/>
          </reference>
          <reference field="13" count="1" selected="0">
            <x v="2"/>
          </reference>
        </references>
      </pivotArea>
    </chartFormat>
    <chartFormat chart="16" format="9">
      <pivotArea type="data" outline="0" fieldPosition="0">
        <references count="2">
          <reference field="4294967294" count="1" selected="0">
            <x v="0"/>
          </reference>
          <reference field="13" count="1" selected="0">
            <x v="1"/>
          </reference>
        </references>
      </pivotArea>
    </chartFormat>
    <chartFormat chart="16" format="1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3AC9C6B-A246-4D93-B448-115398CB0ABF}" sourceName="Segment">
  <pivotTables>
    <pivotTable tabId="5" name="PivotTable3"/>
    <pivotTable tabId="14" name="PivotTable9"/>
    <pivotTable tabId="10" name="PivotTable7"/>
    <pivotTable tabId="11" name="PivotTable8"/>
    <pivotTable tabId="4" name="PivotTable11"/>
    <pivotTable tabId="3" name="PivotTable12"/>
    <pivotTable tabId="20" name="PivotTable13"/>
    <pivotTable tabId="20" name="PivotTable14"/>
    <pivotTable tabId="20" name="PivotTable15"/>
    <pivotTable tabId="20" name="PivotTable17"/>
    <pivotTable tabId="20" name="PivotTable18"/>
    <pivotTable tabId="20" name="PivotTable19"/>
  </pivotTables>
  <data>
    <tabular pivotCacheId="494458690">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63DE59B4-7DEA-4BD7-A6BF-533C64FE1711}" sourceName="Sales Person">
  <pivotTables>
    <pivotTable tabId="5" name="PivotTable3"/>
    <pivotTable tabId="14" name="PivotTable9"/>
    <pivotTable tabId="10" name="PivotTable7"/>
    <pivotTable tabId="11" name="PivotTable8"/>
    <pivotTable tabId="4" name="PivotTable11"/>
    <pivotTable tabId="3" name="PivotTable12"/>
    <pivotTable tabId="20" name="PivotTable13"/>
    <pivotTable tabId="20" name="PivotTable14"/>
    <pivotTable tabId="20" name="PivotTable15"/>
    <pivotTable tabId="20" name="PivotTable17"/>
    <pivotTable tabId="20" name="PivotTable18"/>
    <pivotTable tabId="20" name="PivotTable19"/>
  </pivotTables>
  <data>
    <tabular pivotCacheId="494458690">
      <items count="10">
        <i x="0" s="1"/>
        <i x="7" s="1"/>
        <i x="4" s="1"/>
        <i x="8" s="1"/>
        <i x="3" s="1"/>
        <i x="2" s="1"/>
        <i x="5" s="1"/>
        <i x="6" s="1"/>
        <i x="9"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461738C-7757-452E-AD55-50BDFF8CB656}" sourceName="Category">
  <pivotTables>
    <pivotTable tabId="5" name="PivotTable3"/>
    <pivotTable tabId="14" name="PivotTable9"/>
    <pivotTable tabId="10" name="PivotTable7"/>
    <pivotTable tabId="11" name="PivotTable8"/>
    <pivotTable tabId="4" name="PivotTable11"/>
    <pivotTable tabId="3" name="PivotTable12"/>
    <pivotTable tabId="20" name="PivotTable13"/>
    <pivotTable tabId="20" name="PivotTable14"/>
    <pivotTable tabId="20" name="PivotTable15"/>
    <pivotTable tabId="20" name="PivotTable17"/>
    <pivotTable tabId="20" name="PivotTable18"/>
    <pivotTable tabId="20" name="PivotTable19"/>
  </pivotTables>
  <data>
    <tabular pivotCacheId="49445869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35C124-1CCA-4B44-9373-7932BC843F8C}" sourceName="Region">
  <pivotTables>
    <pivotTable tabId="5" name="PivotTable3"/>
    <pivotTable tabId="14" name="PivotTable9"/>
    <pivotTable tabId="10" name="PivotTable7"/>
    <pivotTable tabId="11" name="PivotTable8"/>
    <pivotTable tabId="4" name="PivotTable11"/>
    <pivotTable tabId="3" name="PivotTable12"/>
    <pivotTable tabId="20" name="PivotTable13"/>
    <pivotTable tabId="20" name="PivotTable14"/>
    <pivotTable tabId="20" name="PivotTable15"/>
    <pivotTable tabId="20" name="PivotTable17"/>
    <pivotTable tabId="20" name="PivotTable18"/>
    <pivotTable tabId="20" name="PivotTable19"/>
  </pivotTables>
  <data>
    <tabular pivotCacheId="494458690">
      <items count="4">
        <i x="3" s="1"/>
        <i x="2" s="1"/>
        <i x="0"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8B664FE-F6A1-4382-926B-4F5825D3A361}" sourceName="Year">
  <pivotTables>
    <pivotTable tabId="5" name="PivotTable3"/>
    <pivotTable tabId="14" name="PivotTable9"/>
    <pivotTable tabId="10" name="PivotTable7"/>
    <pivotTable tabId="11" name="PivotTable8"/>
    <pivotTable tabId="4" name="PivotTable11"/>
    <pivotTable tabId="3" name="PivotTable12"/>
    <pivotTable tabId="20" name="PivotTable13"/>
    <pivotTable tabId="20" name="PivotTable14"/>
    <pivotTable tabId="20" name="PivotTable15"/>
    <pivotTable tabId="20" name="PivotTable17"/>
    <pivotTable tabId="20" name="PivotTable18"/>
    <pivotTable tabId="20" name="PivotTable19"/>
  </pivotTables>
  <data>
    <tabular pivotCacheId="4944586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D9E743C-07EF-46AB-9C9B-14053740D2C3}" cache="Slicer_Segment" caption="Segment" startItem="3" style="Slicer Style 1" rowHeight="234950"/>
  <slicer name="Sales Person" xr10:uid="{1CCB4290-CCE5-4B1C-942D-F2220CA59C67}" cache="Slicer_Sales_Person" caption="Sales Person" startItem="9" style="Slicer Style 1" rowHeight="234950"/>
  <slicer name="Category 1" xr10:uid="{BD5A8CE3-CD9D-49DB-B4C5-3B95D8CB64C9}" cache="Slicer_Category1" caption="Category" style="Slicer Style 1" rowHeight="234950"/>
  <slicer name="Region" xr10:uid="{CDC54015-37DB-43AB-AB56-594BA53A7CC9}" cache="Slicer_Region" caption="Region" startItem="3" style="Slicer Style 1" rowHeight="234950"/>
  <slicer name="Year" xr10:uid="{1533A277-87C1-4734-A2BB-FB554BB6AD29}" cache="Slicer_Year" caption="Year" style="Slicer Style 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1001">
  <autoFilter ref="A1:V1001" xr:uid="{00000000-0009-0000-0100-000001000000}"/>
  <tableColumns count="22">
    <tableColumn id="1" xr3:uid="{00000000-0010-0000-0000-000001000000}" name="Order ID" totalsRowLabel="Total"/>
    <tableColumn id="2" xr3:uid="{00000000-0010-0000-0000-000002000000}" name="Order Date" dataDxfId="56"/>
    <tableColumn id="3" xr3:uid="{00000000-0010-0000-0000-000003000000}" name="Customer Name"/>
    <tableColumn id="4" xr3:uid="{00000000-0010-0000-0000-000004000000}" name="Region"/>
    <tableColumn id="5" xr3:uid="{00000000-0010-0000-0000-000005000000}" name="State"/>
    <tableColumn id="6" xr3:uid="{00000000-0010-0000-0000-000006000000}" name="Category"/>
    <tableColumn id="7" xr3:uid="{00000000-0010-0000-0000-000007000000}" name="Sub Category"/>
    <tableColumn id="8" xr3:uid="{00000000-0010-0000-0000-000008000000}" name="Product Name"/>
    <tableColumn id="9" xr3:uid="{00000000-0010-0000-0000-000009000000}" name="Sales"/>
    <tableColumn id="10" xr3:uid="{00000000-0010-0000-0000-00000A000000}" name="Quantity"/>
    <tableColumn id="11" xr3:uid="{00000000-0010-0000-0000-00000B000000}" name="Discount"/>
    <tableColumn id="12" xr3:uid="{00000000-0010-0000-0000-00000C000000}" name="Profit"/>
    <tableColumn id="13" xr3:uid="{00000000-0010-0000-0000-00000D000000}" name="Sales Person"/>
    <tableColumn id="14" xr3:uid="{00000000-0010-0000-0000-00000E000000}" name="Segment"/>
    <tableColumn id="15" xr3:uid="{00000000-0010-0000-0000-00000F000000}" name="salesman rank"/>
    <tableColumn id="16" xr3:uid="{00000000-0010-0000-0000-000010000000}" name="Unit price"/>
    <tableColumn id="17" xr3:uid="{00000000-0010-0000-0000-000011000000}" name="Order_Date_New"/>
    <tableColumn id="18" xr3:uid="{00000000-0010-0000-0000-000012000000}" name="Year"/>
    <tableColumn id="19" xr3:uid="{00000000-0010-0000-0000-000013000000}" name="Month_num"/>
    <tableColumn id="20" xr3:uid="{00000000-0010-0000-0000-000014000000}" name="Month_name"/>
    <tableColumn id="21" xr3:uid="{00000000-0010-0000-0000-000015000000}" name="profit_margin"/>
    <tableColumn id="22" xr3:uid="{00000000-0010-0000-0000-000016000000}" name="Discount_Bucket" totalsRowFunction="coun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zoomScale="111" zoomScaleNormal="100" workbookViewId="0">
      <selection activeCell="AA3" sqref="AA3:AB9"/>
    </sheetView>
  </sheetViews>
  <sheetFormatPr defaultColWidth="8.6640625" defaultRowHeight="14.4" x14ac:dyDescent="0.3"/>
  <cols>
    <col min="1" max="1" width="10.6640625" customWidth="1"/>
    <col min="2" max="2" width="12.33203125" customWidth="1"/>
    <col min="3" max="3" width="16.88671875" customWidth="1"/>
    <col min="5" max="5" width="11.44140625" customWidth="1"/>
    <col min="6" max="6" width="13.109375" customWidth="1"/>
    <col min="7" max="7" width="14.44140625" customWidth="1"/>
    <col min="8" max="8" width="15.44140625" customWidth="1"/>
    <col min="10" max="11" width="10.5546875" customWidth="1"/>
    <col min="13" max="13" width="13.6640625" customWidth="1"/>
    <col min="14" max="14" width="12.6640625" customWidth="1"/>
    <col min="15" max="15" width="15.33203125" customWidth="1"/>
    <col min="16" max="16" width="11.33203125" customWidth="1"/>
    <col min="17" max="17" width="17.77734375" customWidth="1"/>
    <col min="19" max="19" width="13.88671875" customWidth="1"/>
    <col min="20" max="20" width="14.77734375" customWidth="1"/>
    <col min="21" max="21" width="14.33203125" bestFit="1" customWidth="1"/>
    <col min="22" max="22" width="17.44140625" bestFit="1" customWidth="1"/>
    <col min="27" max="27" width="17.33203125" bestFit="1" customWidth="1"/>
    <col min="28" max="28" width="12.8867187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s="6">
        <v>45688</v>
      </c>
      <c r="C2" t="s">
        <v>23</v>
      </c>
      <c r="D2" t="s">
        <v>24</v>
      </c>
      <c r="E2" t="s">
        <v>25</v>
      </c>
      <c r="F2" t="s">
        <v>26</v>
      </c>
      <c r="G2" t="s">
        <v>27</v>
      </c>
      <c r="H2" t="s">
        <v>28</v>
      </c>
      <c r="I2">
        <v>5565.9</v>
      </c>
      <c r="J2">
        <v>10</v>
      </c>
      <c r="K2">
        <v>0</v>
      </c>
      <c r="L2">
        <v>421.59</v>
      </c>
      <c r="M2" t="s">
        <v>29</v>
      </c>
      <c r="N2" t="s">
        <v>30</v>
      </c>
      <c r="O2" t="str">
        <f t="shared" ref="O2:O65" si="0">IF(AND(I2&gt;5000,J2&gt;7),"Good","Bad")</f>
        <v>Good</v>
      </c>
      <c r="P2">
        <f t="shared" ref="P2:P65" si="1">I2/J2</f>
        <v>556.58999999999992</v>
      </c>
      <c r="Q2">
        <v>45688</v>
      </c>
      <c r="R2">
        <f>YEAR(Table1[[#This Row],[Order_Date_New]])</f>
        <v>2025</v>
      </c>
      <c r="S2">
        <f>MONTH(Table1[[#This Row],[Order_Date_New]])</f>
        <v>1</v>
      </c>
      <c r="T2" t="str">
        <f>TEXT(Table1[[#This Row],[Order_Date_New]],"mmmm")</f>
        <v>January</v>
      </c>
      <c r="U2">
        <f>Table1[[#This Row],[Profit]]/Table1[[#This Row],[Sales]]</f>
        <v>7.5745162507411201E-2</v>
      </c>
      <c r="V2" t="str">
        <f>IF(Table1[[#This Row],[Discount]]=0,"No Discount",IF(Table1[[#This Row],[Discount]]&lt;=0.1,"Low",IF(Table1[[#This Row],[Discount]]&lt;=0.2,"medium","high")))</f>
        <v>No Discount</v>
      </c>
    </row>
    <row r="3" spans="1:22" x14ac:dyDescent="0.3">
      <c r="A3" t="s">
        <v>31</v>
      </c>
      <c r="B3" s="6">
        <v>45696</v>
      </c>
      <c r="C3" t="s">
        <v>32</v>
      </c>
      <c r="D3" t="s">
        <v>33</v>
      </c>
      <c r="E3" t="s">
        <v>34</v>
      </c>
      <c r="F3" t="s">
        <v>26</v>
      </c>
      <c r="G3" t="s">
        <v>35</v>
      </c>
      <c r="H3" t="s">
        <v>36</v>
      </c>
      <c r="I3">
        <v>997.04</v>
      </c>
      <c r="J3">
        <v>4</v>
      </c>
      <c r="K3">
        <v>0.25</v>
      </c>
      <c r="L3">
        <v>-161.72</v>
      </c>
      <c r="M3" t="s">
        <v>37</v>
      </c>
      <c r="N3" t="s">
        <v>38</v>
      </c>
      <c r="O3" t="str">
        <f t="shared" si="0"/>
        <v>Bad</v>
      </c>
      <c r="P3">
        <f t="shared" si="1"/>
        <v>249.26</v>
      </c>
      <c r="Q3">
        <v>45696</v>
      </c>
      <c r="R3">
        <f>YEAR(Table1[[#This Row],[Order_Date_New]])</f>
        <v>2025</v>
      </c>
      <c r="S3">
        <f>MONTH(Table1[[#This Row],[Order_Date_New]])</f>
        <v>2</v>
      </c>
      <c r="T3" t="str">
        <f>TEXT(Table1[[#This Row],[Order_Date_New]],"mmmm")</f>
        <v>February</v>
      </c>
      <c r="U3">
        <f>Table1[[#This Row],[Profit]]/Table1[[#This Row],[Sales]]</f>
        <v>-0.16220011233250423</v>
      </c>
      <c r="V3" t="str">
        <f>IF(Table1[[#This Row],[Discount]]=0,"No Discount",IF(Table1[[#This Row],[Discount]]&lt;=0.1,"Low",IF(Table1[[#This Row],[Discount]]&lt;=0.2,"medium","high")))</f>
        <v>high</v>
      </c>
    </row>
    <row r="4" spans="1:22" x14ac:dyDescent="0.3">
      <c r="A4" t="s">
        <v>39</v>
      </c>
      <c r="B4" s="6">
        <v>45961</v>
      </c>
      <c r="C4" t="s">
        <v>40</v>
      </c>
      <c r="D4" t="s">
        <v>33</v>
      </c>
      <c r="E4" t="s">
        <v>34</v>
      </c>
      <c r="F4" t="s">
        <v>26</v>
      </c>
      <c r="G4" t="s">
        <v>41</v>
      </c>
      <c r="H4" t="s">
        <v>42</v>
      </c>
      <c r="I4">
        <v>1711.71</v>
      </c>
      <c r="J4">
        <v>7</v>
      </c>
      <c r="K4">
        <v>0</v>
      </c>
      <c r="L4">
        <v>356.91</v>
      </c>
      <c r="M4" t="s">
        <v>43</v>
      </c>
      <c r="N4" t="s">
        <v>44</v>
      </c>
      <c r="O4" t="str">
        <f t="shared" si="0"/>
        <v>Bad</v>
      </c>
      <c r="P4">
        <f t="shared" si="1"/>
        <v>244.53</v>
      </c>
      <c r="Q4">
        <v>45961</v>
      </c>
      <c r="R4">
        <f>YEAR(Table1[[#This Row],[Order_Date_New]])</f>
        <v>2025</v>
      </c>
      <c r="S4">
        <f>MONTH(Table1[[#This Row],[Order_Date_New]])</f>
        <v>10</v>
      </c>
      <c r="T4" t="str">
        <f>TEXT(Table1[[#This Row],[Order_Date_New]],"mmmm")</f>
        <v>October</v>
      </c>
      <c r="U4">
        <f>Table1[[#This Row],[Profit]]/Table1[[#This Row],[Sales]]</f>
        <v>0.20851078745815588</v>
      </c>
      <c r="V4" t="str">
        <f>IF(Table1[[#This Row],[Discount]]=0,"No Discount",IF(Table1[[#This Row],[Discount]]&lt;=0.1,"Low",IF(Table1[[#This Row],[Discount]]&lt;=0.2,"medium","high")))</f>
        <v>No Discount</v>
      </c>
    </row>
    <row r="5" spans="1:22" x14ac:dyDescent="0.3">
      <c r="A5" t="s">
        <v>46</v>
      </c>
      <c r="B5" s="6">
        <v>45742</v>
      </c>
      <c r="C5" t="s">
        <v>47</v>
      </c>
      <c r="D5" t="s">
        <v>33</v>
      </c>
      <c r="E5" t="s">
        <v>48</v>
      </c>
      <c r="F5" t="s">
        <v>26</v>
      </c>
      <c r="G5" t="s">
        <v>41</v>
      </c>
      <c r="H5" t="s">
        <v>42</v>
      </c>
      <c r="I5">
        <v>1435.1</v>
      </c>
      <c r="J5">
        <v>5</v>
      </c>
      <c r="K5">
        <v>0.3</v>
      </c>
      <c r="L5">
        <v>-122.01</v>
      </c>
      <c r="M5" t="s">
        <v>49</v>
      </c>
      <c r="N5" t="s">
        <v>38</v>
      </c>
      <c r="O5" t="str">
        <f t="shared" si="0"/>
        <v>Bad</v>
      </c>
      <c r="P5">
        <f t="shared" si="1"/>
        <v>287.02</v>
      </c>
      <c r="Q5">
        <v>45742</v>
      </c>
      <c r="R5">
        <f>YEAR(Table1[[#This Row],[Order_Date_New]])</f>
        <v>2025</v>
      </c>
      <c r="S5">
        <f>MONTH(Table1[[#This Row],[Order_Date_New]])</f>
        <v>3</v>
      </c>
      <c r="T5" t="str">
        <f>TEXT(Table1[[#This Row],[Order_Date_New]],"mmmm")</f>
        <v>March</v>
      </c>
      <c r="U5">
        <f>Table1[[#This Row],[Profit]]/Table1[[#This Row],[Sales]]</f>
        <v>-8.5018465612152469E-2</v>
      </c>
      <c r="V5" t="str">
        <f>IF(Table1[[#This Row],[Discount]]=0,"No Discount",IF(Table1[[#This Row],[Discount]]&lt;=0.1,"Low",IF(Table1[[#This Row],[Discount]]&lt;=0.2,"medium","high")))</f>
        <v>high</v>
      </c>
    </row>
    <row r="6" spans="1:22" x14ac:dyDescent="0.3">
      <c r="A6" t="s">
        <v>51</v>
      </c>
      <c r="B6" s="6">
        <v>45698</v>
      </c>
      <c r="C6" t="s">
        <v>52</v>
      </c>
      <c r="D6" t="s">
        <v>53</v>
      </c>
      <c r="E6" t="s">
        <v>54</v>
      </c>
      <c r="F6" t="s">
        <v>26</v>
      </c>
      <c r="G6" t="s">
        <v>35</v>
      </c>
      <c r="H6" t="s">
        <v>55</v>
      </c>
      <c r="I6">
        <v>1413.08</v>
      </c>
      <c r="J6">
        <v>2</v>
      </c>
      <c r="K6">
        <v>0.1</v>
      </c>
      <c r="L6">
        <v>416.9</v>
      </c>
      <c r="M6" t="s">
        <v>37</v>
      </c>
      <c r="N6" t="s">
        <v>30</v>
      </c>
      <c r="O6" t="str">
        <f t="shared" si="0"/>
        <v>Bad</v>
      </c>
      <c r="P6">
        <f t="shared" si="1"/>
        <v>706.54</v>
      </c>
      <c r="Q6">
        <v>45698</v>
      </c>
      <c r="R6">
        <f>YEAR(Table1[[#This Row],[Order_Date_New]])</f>
        <v>2025</v>
      </c>
      <c r="S6">
        <f>MONTH(Table1[[#This Row],[Order_Date_New]])</f>
        <v>2</v>
      </c>
      <c r="T6" t="str">
        <f>TEXT(Table1[[#This Row],[Order_Date_New]],"mmmm")</f>
        <v>February</v>
      </c>
      <c r="U6">
        <f>Table1[[#This Row],[Profit]]/Table1[[#This Row],[Sales]]</f>
        <v>0.29502929770430547</v>
      </c>
      <c r="V6" t="str">
        <f>IF(Table1[[#This Row],[Discount]]=0,"No Discount",IF(Table1[[#This Row],[Discount]]&lt;=0.1,"Low",IF(Table1[[#This Row],[Discount]]&lt;=0.2,"medium","high")))</f>
        <v>Low</v>
      </c>
    </row>
    <row r="7" spans="1:22" x14ac:dyDescent="0.3">
      <c r="A7" t="s">
        <v>57</v>
      </c>
      <c r="B7" s="6">
        <v>45629</v>
      </c>
      <c r="C7" t="s">
        <v>58</v>
      </c>
      <c r="D7" t="s">
        <v>24</v>
      </c>
      <c r="E7" t="s">
        <v>59</v>
      </c>
      <c r="F7" t="s">
        <v>60</v>
      </c>
      <c r="G7" t="s">
        <v>61</v>
      </c>
      <c r="H7" t="s">
        <v>62</v>
      </c>
      <c r="I7">
        <v>6869.16</v>
      </c>
      <c r="J7">
        <v>9</v>
      </c>
      <c r="K7">
        <v>0</v>
      </c>
      <c r="L7">
        <v>721.16</v>
      </c>
      <c r="M7" t="s">
        <v>49</v>
      </c>
      <c r="N7" t="s">
        <v>30</v>
      </c>
      <c r="O7" t="str">
        <f t="shared" si="0"/>
        <v>Good</v>
      </c>
      <c r="P7">
        <f t="shared" si="1"/>
        <v>763.24</v>
      </c>
      <c r="Q7">
        <v>45629</v>
      </c>
      <c r="R7">
        <f>YEAR(Table1[[#This Row],[Order_Date_New]])</f>
        <v>2024</v>
      </c>
      <c r="S7">
        <f>MONTH(Table1[[#This Row],[Order_Date_New]])</f>
        <v>12</v>
      </c>
      <c r="T7" t="str">
        <f>TEXT(Table1[[#This Row],[Order_Date_New]],"mmmm")</f>
        <v>December</v>
      </c>
      <c r="U7">
        <f>Table1[[#This Row],[Profit]]/Table1[[#This Row],[Sales]]</f>
        <v>0.10498518013847399</v>
      </c>
      <c r="V7" t="str">
        <f>IF(Table1[[#This Row],[Discount]]=0,"No Discount",IF(Table1[[#This Row],[Discount]]&lt;=0.1,"Low",IF(Table1[[#This Row],[Discount]]&lt;=0.2,"medium","high")))</f>
        <v>No Discount</v>
      </c>
    </row>
    <row r="8" spans="1:22" x14ac:dyDescent="0.3">
      <c r="A8" t="s">
        <v>64</v>
      </c>
      <c r="B8" s="6">
        <v>45580</v>
      </c>
      <c r="C8" t="s">
        <v>65</v>
      </c>
      <c r="D8" t="s">
        <v>33</v>
      </c>
      <c r="E8" t="s">
        <v>66</v>
      </c>
      <c r="F8" t="s">
        <v>60</v>
      </c>
      <c r="G8" t="s">
        <v>61</v>
      </c>
      <c r="H8" t="s">
        <v>67</v>
      </c>
      <c r="I8">
        <v>5509.7</v>
      </c>
      <c r="J8">
        <v>10</v>
      </c>
      <c r="K8">
        <v>0.2</v>
      </c>
      <c r="L8">
        <v>-457.71</v>
      </c>
      <c r="M8" t="s">
        <v>68</v>
      </c>
      <c r="N8" t="s">
        <v>30</v>
      </c>
      <c r="O8" t="str">
        <f t="shared" si="0"/>
        <v>Good</v>
      </c>
      <c r="P8">
        <f t="shared" si="1"/>
        <v>550.97</v>
      </c>
      <c r="Q8">
        <v>45580</v>
      </c>
      <c r="R8">
        <f>YEAR(Table1[[#This Row],[Order_Date_New]])</f>
        <v>2024</v>
      </c>
      <c r="S8">
        <f>MONTH(Table1[[#This Row],[Order_Date_New]])</f>
        <v>10</v>
      </c>
      <c r="T8" t="str">
        <f>TEXT(Table1[[#This Row],[Order_Date_New]],"mmmm")</f>
        <v>October</v>
      </c>
      <c r="U8">
        <f>Table1[[#This Row],[Profit]]/Table1[[#This Row],[Sales]]</f>
        <v>-8.3073488574695542E-2</v>
      </c>
      <c r="V8" t="str">
        <f>IF(Table1[[#This Row],[Discount]]=0,"No Discount",IF(Table1[[#This Row],[Discount]]&lt;=0.1,"Low",IF(Table1[[#This Row],[Discount]]&lt;=0.2,"medium","high")))</f>
        <v>medium</v>
      </c>
    </row>
    <row r="9" spans="1:22" x14ac:dyDescent="0.3">
      <c r="A9" t="s">
        <v>70</v>
      </c>
      <c r="B9" s="6">
        <v>45903</v>
      </c>
      <c r="C9" t="s">
        <v>71</v>
      </c>
      <c r="D9" t="s">
        <v>33</v>
      </c>
      <c r="E9" t="s">
        <v>34</v>
      </c>
      <c r="F9" t="s">
        <v>72</v>
      </c>
      <c r="G9" t="s">
        <v>73</v>
      </c>
      <c r="H9" t="s">
        <v>74</v>
      </c>
      <c r="I9">
        <v>4643.04</v>
      </c>
      <c r="J9">
        <v>6</v>
      </c>
      <c r="K9">
        <v>0.25</v>
      </c>
      <c r="L9">
        <v>-634.04</v>
      </c>
      <c r="M9" t="s">
        <v>68</v>
      </c>
      <c r="N9" t="s">
        <v>38</v>
      </c>
      <c r="O9" t="str">
        <f t="shared" si="0"/>
        <v>Bad</v>
      </c>
      <c r="P9">
        <f t="shared" si="1"/>
        <v>773.84</v>
      </c>
      <c r="Q9">
        <v>45903</v>
      </c>
      <c r="R9">
        <f>YEAR(Table1[[#This Row],[Order_Date_New]])</f>
        <v>2025</v>
      </c>
      <c r="S9">
        <f>MONTH(Table1[[#This Row],[Order_Date_New]])</f>
        <v>9</v>
      </c>
      <c r="T9" t="str">
        <f>TEXT(Table1[[#This Row],[Order_Date_New]],"mmmm")</f>
        <v>September</v>
      </c>
      <c r="U9">
        <f>Table1[[#This Row],[Profit]]/Table1[[#This Row],[Sales]]</f>
        <v>-0.13655708329025809</v>
      </c>
      <c r="V9" t="str">
        <f>IF(Table1[[#This Row],[Discount]]=0,"No Discount",IF(Table1[[#This Row],[Discount]]&lt;=0.1,"Low",IF(Table1[[#This Row],[Discount]]&lt;=0.2,"medium","high")))</f>
        <v>high</v>
      </c>
    </row>
    <row r="10" spans="1:22" x14ac:dyDescent="0.3">
      <c r="A10" t="s">
        <v>75</v>
      </c>
      <c r="B10" s="6">
        <v>45567</v>
      </c>
      <c r="C10" t="s">
        <v>76</v>
      </c>
      <c r="D10" t="s">
        <v>53</v>
      </c>
      <c r="E10" t="s">
        <v>77</v>
      </c>
      <c r="F10" t="s">
        <v>60</v>
      </c>
      <c r="G10" t="s">
        <v>78</v>
      </c>
      <c r="H10" t="s">
        <v>79</v>
      </c>
      <c r="I10">
        <v>101.16</v>
      </c>
      <c r="J10">
        <v>6</v>
      </c>
      <c r="K10">
        <v>0.3</v>
      </c>
      <c r="L10">
        <v>-23.27</v>
      </c>
      <c r="M10" t="s">
        <v>37</v>
      </c>
      <c r="N10" t="s">
        <v>80</v>
      </c>
      <c r="O10" t="str">
        <f t="shared" si="0"/>
        <v>Bad</v>
      </c>
      <c r="P10">
        <f t="shared" si="1"/>
        <v>16.86</v>
      </c>
      <c r="Q10">
        <v>45567</v>
      </c>
      <c r="R10">
        <f>YEAR(Table1[[#This Row],[Order_Date_New]])</f>
        <v>2024</v>
      </c>
      <c r="S10">
        <f>MONTH(Table1[[#This Row],[Order_Date_New]])</f>
        <v>10</v>
      </c>
      <c r="T10" t="str">
        <f>TEXT(Table1[[#This Row],[Order_Date_New]],"mmmm")</f>
        <v>October</v>
      </c>
      <c r="U10">
        <f>Table1[[#This Row],[Profit]]/Table1[[#This Row],[Sales]]</f>
        <v>-0.23003163305654409</v>
      </c>
      <c r="V10" t="str">
        <f>IF(Table1[[#This Row],[Discount]]=0,"No Discount",IF(Table1[[#This Row],[Discount]]&lt;=0.1,"Low",IF(Table1[[#This Row],[Discount]]&lt;=0.2,"medium","high")))</f>
        <v>high</v>
      </c>
    </row>
    <row r="11" spans="1:22" x14ac:dyDescent="0.3">
      <c r="A11" t="s">
        <v>82</v>
      </c>
      <c r="B11" s="6">
        <v>45484</v>
      </c>
      <c r="C11" t="s">
        <v>83</v>
      </c>
      <c r="D11" t="s">
        <v>24</v>
      </c>
      <c r="E11" t="s">
        <v>84</v>
      </c>
      <c r="F11" t="s">
        <v>72</v>
      </c>
      <c r="G11" t="s">
        <v>73</v>
      </c>
      <c r="H11" t="s">
        <v>74</v>
      </c>
      <c r="I11">
        <v>2687.4</v>
      </c>
      <c r="J11">
        <v>10</v>
      </c>
      <c r="K11">
        <v>0.15</v>
      </c>
      <c r="L11">
        <v>145.56</v>
      </c>
      <c r="M11" t="s">
        <v>43</v>
      </c>
      <c r="N11" t="s">
        <v>38</v>
      </c>
      <c r="O11" t="str">
        <f t="shared" si="0"/>
        <v>Bad</v>
      </c>
      <c r="P11">
        <f t="shared" si="1"/>
        <v>268.74</v>
      </c>
      <c r="Q11">
        <v>45484</v>
      </c>
      <c r="R11">
        <f>YEAR(Table1[[#This Row],[Order_Date_New]])</f>
        <v>2024</v>
      </c>
      <c r="S11">
        <f>MONTH(Table1[[#This Row],[Order_Date_New]])</f>
        <v>7</v>
      </c>
      <c r="T11" t="str">
        <f>TEXT(Table1[[#This Row],[Order_Date_New]],"mmmm")</f>
        <v>July</v>
      </c>
      <c r="U11">
        <f>Table1[[#This Row],[Profit]]/Table1[[#This Row],[Sales]]</f>
        <v>5.4163875865148467E-2</v>
      </c>
      <c r="V11" t="str">
        <f>IF(Table1[[#This Row],[Discount]]=0,"No Discount",IF(Table1[[#This Row],[Discount]]&lt;=0.1,"Low",IF(Table1[[#This Row],[Discount]]&lt;=0.2,"medium","high")))</f>
        <v>medium</v>
      </c>
    </row>
    <row r="12" spans="1:22" x14ac:dyDescent="0.3">
      <c r="A12" t="s">
        <v>85</v>
      </c>
      <c r="B12" s="6">
        <v>45368</v>
      </c>
      <c r="C12" t="s">
        <v>86</v>
      </c>
      <c r="D12" t="s">
        <v>53</v>
      </c>
      <c r="E12" t="s">
        <v>87</v>
      </c>
      <c r="F12" t="s">
        <v>72</v>
      </c>
      <c r="G12" t="s">
        <v>88</v>
      </c>
      <c r="H12" t="s">
        <v>89</v>
      </c>
      <c r="I12">
        <v>1715.22</v>
      </c>
      <c r="J12">
        <v>3</v>
      </c>
      <c r="K12">
        <v>0.15</v>
      </c>
      <c r="L12">
        <v>175.1</v>
      </c>
      <c r="M12" t="s">
        <v>90</v>
      </c>
      <c r="N12" t="s">
        <v>80</v>
      </c>
      <c r="O12" t="str">
        <f t="shared" si="0"/>
        <v>Bad</v>
      </c>
      <c r="P12">
        <f t="shared" si="1"/>
        <v>571.74</v>
      </c>
      <c r="Q12">
        <v>45368</v>
      </c>
      <c r="R12">
        <f>YEAR(Table1[[#This Row],[Order_Date_New]])</f>
        <v>2024</v>
      </c>
      <c r="S12">
        <f>MONTH(Table1[[#This Row],[Order_Date_New]])</f>
        <v>3</v>
      </c>
      <c r="T12" t="str">
        <f>TEXT(Table1[[#This Row],[Order_Date_New]],"mmmm")</f>
        <v>March</v>
      </c>
      <c r="U12">
        <f>Table1[[#This Row],[Profit]]/Table1[[#This Row],[Sales]]</f>
        <v>0.10208602978043632</v>
      </c>
      <c r="V12" t="str">
        <f>IF(Table1[[#This Row],[Discount]]=0,"No Discount",IF(Table1[[#This Row],[Discount]]&lt;=0.1,"Low",IF(Table1[[#This Row],[Discount]]&lt;=0.2,"medium","high")))</f>
        <v>medium</v>
      </c>
    </row>
    <row r="13" spans="1:22" x14ac:dyDescent="0.3">
      <c r="A13" t="s">
        <v>91</v>
      </c>
      <c r="B13" s="6">
        <v>45428</v>
      </c>
      <c r="C13" t="s">
        <v>92</v>
      </c>
      <c r="D13" t="s">
        <v>33</v>
      </c>
      <c r="E13" t="s">
        <v>34</v>
      </c>
      <c r="F13" t="s">
        <v>26</v>
      </c>
      <c r="G13" t="s">
        <v>41</v>
      </c>
      <c r="H13" t="s">
        <v>42</v>
      </c>
      <c r="I13">
        <v>572.04</v>
      </c>
      <c r="J13">
        <v>1</v>
      </c>
      <c r="K13">
        <v>0.15</v>
      </c>
      <c r="L13">
        <v>117.9</v>
      </c>
      <c r="M13" t="s">
        <v>49</v>
      </c>
      <c r="N13" t="s">
        <v>30</v>
      </c>
      <c r="O13" t="str">
        <f t="shared" si="0"/>
        <v>Bad</v>
      </c>
      <c r="P13">
        <f t="shared" si="1"/>
        <v>572.04</v>
      </c>
      <c r="Q13">
        <v>45428</v>
      </c>
      <c r="R13">
        <f>YEAR(Table1[[#This Row],[Order_Date_New]])</f>
        <v>2024</v>
      </c>
      <c r="S13">
        <f>MONTH(Table1[[#This Row],[Order_Date_New]])</f>
        <v>5</v>
      </c>
      <c r="T13" t="str">
        <f>TEXT(Table1[[#This Row],[Order_Date_New]],"mmmm")</f>
        <v>May</v>
      </c>
      <c r="U13">
        <f>Table1[[#This Row],[Profit]]/Table1[[#This Row],[Sales]]</f>
        <v>0.20610446821900569</v>
      </c>
      <c r="V13" t="str">
        <f>IF(Table1[[#This Row],[Discount]]=0,"No Discount",IF(Table1[[#This Row],[Discount]]&lt;=0.1,"Low",IF(Table1[[#This Row],[Discount]]&lt;=0.2,"medium","high")))</f>
        <v>medium</v>
      </c>
    </row>
    <row r="14" spans="1:22" x14ac:dyDescent="0.3">
      <c r="A14" t="s">
        <v>93</v>
      </c>
      <c r="B14" s="6">
        <v>45797</v>
      </c>
      <c r="C14" t="s">
        <v>94</v>
      </c>
      <c r="D14" t="s">
        <v>53</v>
      </c>
      <c r="E14" t="s">
        <v>87</v>
      </c>
      <c r="F14" t="s">
        <v>72</v>
      </c>
      <c r="G14" t="s">
        <v>88</v>
      </c>
      <c r="H14" t="s">
        <v>89</v>
      </c>
      <c r="I14">
        <v>4129.79</v>
      </c>
      <c r="J14">
        <v>7</v>
      </c>
      <c r="K14">
        <v>0.05</v>
      </c>
      <c r="L14">
        <v>1549.7</v>
      </c>
      <c r="M14" t="s">
        <v>49</v>
      </c>
      <c r="N14" t="s">
        <v>30</v>
      </c>
      <c r="O14" t="str">
        <f t="shared" si="0"/>
        <v>Bad</v>
      </c>
      <c r="P14">
        <f t="shared" si="1"/>
        <v>589.97</v>
      </c>
      <c r="Q14">
        <v>45797</v>
      </c>
      <c r="R14">
        <f>YEAR(Table1[[#This Row],[Order_Date_New]])</f>
        <v>2025</v>
      </c>
      <c r="S14">
        <f>MONTH(Table1[[#This Row],[Order_Date_New]])</f>
        <v>5</v>
      </c>
      <c r="T14" t="str">
        <f>TEXT(Table1[[#This Row],[Order_Date_New]],"mmmm")</f>
        <v>May</v>
      </c>
      <c r="U14">
        <f>Table1[[#This Row],[Profit]]/Table1[[#This Row],[Sales]]</f>
        <v>0.37524910467602468</v>
      </c>
      <c r="V14" t="str">
        <f>IF(Table1[[#This Row],[Discount]]=0,"No Discount",IF(Table1[[#This Row],[Discount]]&lt;=0.1,"Low",IF(Table1[[#This Row],[Discount]]&lt;=0.2,"medium","high")))</f>
        <v>Low</v>
      </c>
    </row>
    <row r="15" spans="1:22" x14ac:dyDescent="0.3">
      <c r="A15" t="s">
        <v>95</v>
      </c>
      <c r="B15" s="6">
        <v>45739</v>
      </c>
      <c r="C15" t="s">
        <v>96</v>
      </c>
      <c r="D15" t="s">
        <v>24</v>
      </c>
      <c r="E15" t="s">
        <v>97</v>
      </c>
      <c r="F15" t="s">
        <v>60</v>
      </c>
      <c r="G15" t="s">
        <v>98</v>
      </c>
      <c r="H15" t="s">
        <v>99</v>
      </c>
      <c r="I15">
        <v>3401.7</v>
      </c>
      <c r="J15">
        <v>10</v>
      </c>
      <c r="K15">
        <v>0.3</v>
      </c>
      <c r="L15">
        <v>-758.03</v>
      </c>
      <c r="M15" t="s">
        <v>43</v>
      </c>
      <c r="N15" t="s">
        <v>44</v>
      </c>
      <c r="O15" t="str">
        <f t="shared" si="0"/>
        <v>Bad</v>
      </c>
      <c r="P15">
        <f t="shared" si="1"/>
        <v>340.16999999999996</v>
      </c>
      <c r="Q15">
        <v>45739</v>
      </c>
      <c r="R15">
        <f>YEAR(Table1[[#This Row],[Order_Date_New]])</f>
        <v>2025</v>
      </c>
      <c r="S15">
        <f>MONTH(Table1[[#This Row],[Order_Date_New]])</f>
        <v>3</v>
      </c>
      <c r="T15" t="str">
        <f>TEXT(Table1[[#This Row],[Order_Date_New]],"mmmm")</f>
        <v>March</v>
      </c>
      <c r="U15">
        <f>Table1[[#This Row],[Profit]]/Table1[[#This Row],[Sales]]</f>
        <v>-0.22283858070964518</v>
      </c>
      <c r="V15" t="str">
        <f>IF(Table1[[#This Row],[Discount]]=0,"No Discount",IF(Table1[[#This Row],[Discount]]&lt;=0.1,"Low",IF(Table1[[#This Row],[Discount]]&lt;=0.2,"medium","high")))</f>
        <v>high</v>
      </c>
    </row>
    <row r="16" spans="1:22" x14ac:dyDescent="0.3">
      <c r="A16" t="s">
        <v>100</v>
      </c>
      <c r="B16" s="6">
        <v>45747</v>
      </c>
      <c r="C16" t="s">
        <v>101</v>
      </c>
      <c r="D16" t="s">
        <v>53</v>
      </c>
      <c r="E16" t="s">
        <v>54</v>
      </c>
      <c r="F16" t="s">
        <v>72</v>
      </c>
      <c r="G16" t="s">
        <v>73</v>
      </c>
      <c r="H16" t="s">
        <v>102</v>
      </c>
      <c r="I16">
        <v>4558.92</v>
      </c>
      <c r="J16">
        <v>4</v>
      </c>
      <c r="K16">
        <v>0</v>
      </c>
      <c r="L16">
        <v>1562.19</v>
      </c>
      <c r="M16" t="s">
        <v>29</v>
      </c>
      <c r="N16" t="s">
        <v>44</v>
      </c>
      <c r="O16" t="str">
        <f t="shared" si="0"/>
        <v>Bad</v>
      </c>
      <c r="P16">
        <f t="shared" si="1"/>
        <v>1139.73</v>
      </c>
      <c r="Q16">
        <v>45747</v>
      </c>
      <c r="R16">
        <f>YEAR(Table1[[#This Row],[Order_Date_New]])</f>
        <v>2025</v>
      </c>
      <c r="S16">
        <f>MONTH(Table1[[#This Row],[Order_Date_New]])</f>
        <v>3</v>
      </c>
      <c r="T16" t="str">
        <f>TEXT(Table1[[#This Row],[Order_Date_New]],"mmmm")</f>
        <v>March</v>
      </c>
      <c r="U16">
        <f>Table1[[#This Row],[Profit]]/Table1[[#This Row],[Sales]]</f>
        <v>0.34266668421468244</v>
      </c>
      <c r="V16" t="str">
        <f>IF(Table1[[#This Row],[Discount]]=0,"No Discount",IF(Table1[[#This Row],[Discount]]&lt;=0.1,"Low",IF(Table1[[#This Row],[Discount]]&lt;=0.2,"medium","high")))</f>
        <v>No Discount</v>
      </c>
    </row>
    <row r="17" spans="1:22" x14ac:dyDescent="0.3">
      <c r="A17" t="s">
        <v>103</v>
      </c>
      <c r="B17" s="6">
        <v>45743</v>
      </c>
      <c r="C17" t="s">
        <v>104</v>
      </c>
      <c r="D17" t="s">
        <v>53</v>
      </c>
      <c r="E17" t="s">
        <v>77</v>
      </c>
      <c r="F17" t="s">
        <v>26</v>
      </c>
      <c r="G17" t="s">
        <v>35</v>
      </c>
      <c r="H17" t="s">
        <v>36</v>
      </c>
      <c r="I17">
        <v>10284.39</v>
      </c>
      <c r="J17">
        <v>9</v>
      </c>
      <c r="K17">
        <v>0.3</v>
      </c>
      <c r="L17">
        <v>-1904.11</v>
      </c>
      <c r="M17" t="s">
        <v>105</v>
      </c>
      <c r="N17" t="s">
        <v>30</v>
      </c>
      <c r="O17" t="str">
        <f t="shared" si="0"/>
        <v>Good</v>
      </c>
      <c r="P17">
        <f t="shared" si="1"/>
        <v>1142.71</v>
      </c>
      <c r="Q17">
        <v>45743</v>
      </c>
      <c r="R17">
        <f>YEAR(Table1[[#This Row],[Order_Date_New]])</f>
        <v>2025</v>
      </c>
      <c r="S17">
        <f>MONTH(Table1[[#This Row],[Order_Date_New]])</f>
        <v>3</v>
      </c>
      <c r="T17" t="str">
        <f>TEXT(Table1[[#This Row],[Order_Date_New]],"mmmm")</f>
        <v>March</v>
      </c>
      <c r="U17">
        <f>Table1[[#This Row],[Profit]]/Table1[[#This Row],[Sales]]</f>
        <v>-0.18514564305709916</v>
      </c>
      <c r="V17" t="str">
        <f>IF(Table1[[#This Row],[Discount]]=0,"No Discount",IF(Table1[[#This Row],[Discount]]&lt;=0.1,"Low",IF(Table1[[#This Row],[Discount]]&lt;=0.2,"medium","high")))</f>
        <v>high</v>
      </c>
    </row>
    <row r="18" spans="1:22" x14ac:dyDescent="0.3">
      <c r="A18" t="s">
        <v>106</v>
      </c>
      <c r="B18" s="6">
        <v>45785</v>
      </c>
      <c r="C18" t="s">
        <v>94</v>
      </c>
      <c r="D18" t="s">
        <v>53</v>
      </c>
      <c r="E18" t="s">
        <v>107</v>
      </c>
      <c r="F18" t="s">
        <v>26</v>
      </c>
      <c r="G18" t="s">
        <v>41</v>
      </c>
      <c r="H18" t="s">
        <v>108</v>
      </c>
      <c r="I18">
        <v>3409.8</v>
      </c>
      <c r="J18">
        <v>3</v>
      </c>
      <c r="K18">
        <v>0.3</v>
      </c>
      <c r="L18">
        <v>-816.01</v>
      </c>
      <c r="M18" t="s">
        <v>29</v>
      </c>
      <c r="N18" t="s">
        <v>80</v>
      </c>
      <c r="O18" t="str">
        <f t="shared" si="0"/>
        <v>Bad</v>
      </c>
      <c r="P18">
        <f t="shared" si="1"/>
        <v>1136.6000000000001</v>
      </c>
      <c r="Q18">
        <v>45785</v>
      </c>
      <c r="R18">
        <f>YEAR(Table1[[#This Row],[Order_Date_New]])</f>
        <v>2025</v>
      </c>
      <c r="S18">
        <f>MONTH(Table1[[#This Row],[Order_Date_New]])</f>
        <v>5</v>
      </c>
      <c r="T18" t="str">
        <f>TEXT(Table1[[#This Row],[Order_Date_New]],"mmmm")</f>
        <v>May</v>
      </c>
      <c r="U18">
        <f>Table1[[#This Row],[Profit]]/Table1[[#This Row],[Sales]]</f>
        <v>-0.23931315619684437</v>
      </c>
      <c r="V18" t="str">
        <f>IF(Table1[[#This Row],[Discount]]=0,"No Discount",IF(Table1[[#This Row],[Discount]]&lt;=0.1,"Low",IF(Table1[[#This Row],[Discount]]&lt;=0.2,"medium","high")))</f>
        <v>high</v>
      </c>
    </row>
    <row r="19" spans="1:22" x14ac:dyDescent="0.3">
      <c r="A19" t="s">
        <v>109</v>
      </c>
      <c r="B19" s="6">
        <v>45317</v>
      </c>
      <c r="C19" t="s">
        <v>110</v>
      </c>
      <c r="D19" t="s">
        <v>24</v>
      </c>
      <c r="E19" t="s">
        <v>97</v>
      </c>
      <c r="F19" t="s">
        <v>72</v>
      </c>
      <c r="G19" t="s">
        <v>111</v>
      </c>
      <c r="H19" t="s">
        <v>112</v>
      </c>
      <c r="I19">
        <v>2092.9499999999998</v>
      </c>
      <c r="J19">
        <v>5</v>
      </c>
      <c r="K19">
        <v>0.2</v>
      </c>
      <c r="L19">
        <v>206.77</v>
      </c>
      <c r="M19" t="s">
        <v>113</v>
      </c>
      <c r="N19" t="s">
        <v>80</v>
      </c>
      <c r="O19" t="str">
        <f t="shared" si="0"/>
        <v>Bad</v>
      </c>
      <c r="P19">
        <f t="shared" si="1"/>
        <v>418.59</v>
      </c>
      <c r="Q19">
        <v>45317</v>
      </c>
      <c r="R19">
        <f>YEAR(Table1[[#This Row],[Order_Date_New]])</f>
        <v>2024</v>
      </c>
      <c r="S19">
        <f>MONTH(Table1[[#This Row],[Order_Date_New]])</f>
        <v>1</v>
      </c>
      <c r="T19" t="str">
        <f>TEXT(Table1[[#This Row],[Order_Date_New]],"mmmm")</f>
        <v>January</v>
      </c>
      <c r="U19">
        <f>Table1[[#This Row],[Profit]]/Table1[[#This Row],[Sales]]</f>
        <v>9.8793568886022129E-2</v>
      </c>
      <c r="V19" t="str">
        <f>IF(Table1[[#This Row],[Discount]]=0,"No Discount",IF(Table1[[#This Row],[Discount]]&lt;=0.1,"Low",IF(Table1[[#This Row],[Discount]]&lt;=0.2,"medium","high")))</f>
        <v>medium</v>
      </c>
    </row>
    <row r="20" spans="1:22" x14ac:dyDescent="0.3">
      <c r="A20" t="s">
        <v>114</v>
      </c>
      <c r="B20" s="6">
        <v>46022</v>
      </c>
      <c r="C20" t="s">
        <v>115</v>
      </c>
      <c r="D20" t="s">
        <v>33</v>
      </c>
      <c r="E20" t="s">
        <v>34</v>
      </c>
      <c r="F20" t="s">
        <v>26</v>
      </c>
      <c r="G20" t="s">
        <v>27</v>
      </c>
      <c r="H20" t="s">
        <v>28</v>
      </c>
      <c r="I20">
        <v>4459.5</v>
      </c>
      <c r="J20">
        <v>9</v>
      </c>
      <c r="K20">
        <v>0.1</v>
      </c>
      <c r="L20">
        <v>404.54</v>
      </c>
      <c r="M20" t="s">
        <v>29</v>
      </c>
      <c r="N20" t="s">
        <v>44</v>
      </c>
      <c r="O20" t="str">
        <f t="shared" si="0"/>
        <v>Bad</v>
      </c>
      <c r="P20">
        <f t="shared" si="1"/>
        <v>495.5</v>
      </c>
      <c r="Q20">
        <v>46022</v>
      </c>
      <c r="R20">
        <f>YEAR(Table1[[#This Row],[Order_Date_New]])</f>
        <v>2025</v>
      </c>
      <c r="S20">
        <f>MONTH(Table1[[#This Row],[Order_Date_New]])</f>
        <v>12</v>
      </c>
      <c r="T20" t="str">
        <f>TEXT(Table1[[#This Row],[Order_Date_New]],"mmmm")</f>
        <v>December</v>
      </c>
      <c r="U20">
        <f>Table1[[#This Row],[Profit]]/Table1[[#This Row],[Sales]]</f>
        <v>9.0714205628433686E-2</v>
      </c>
      <c r="V20" t="str">
        <f>IF(Table1[[#This Row],[Discount]]=0,"No Discount",IF(Table1[[#This Row],[Discount]]&lt;=0.1,"Low",IF(Table1[[#This Row],[Discount]]&lt;=0.2,"medium","high")))</f>
        <v>Low</v>
      </c>
    </row>
    <row r="21" spans="1:22" ht="13.2" customHeight="1" x14ac:dyDescent="0.3">
      <c r="A21" t="s">
        <v>116</v>
      </c>
      <c r="B21" s="6">
        <v>45854</v>
      </c>
      <c r="C21" t="s">
        <v>117</v>
      </c>
      <c r="D21" t="s">
        <v>33</v>
      </c>
      <c r="E21" t="s">
        <v>118</v>
      </c>
      <c r="F21" t="s">
        <v>72</v>
      </c>
      <c r="G21" t="s">
        <v>88</v>
      </c>
      <c r="H21" t="s">
        <v>119</v>
      </c>
      <c r="I21">
        <v>1628.37</v>
      </c>
      <c r="J21">
        <v>3</v>
      </c>
      <c r="K21">
        <v>0.3</v>
      </c>
      <c r="L21">
        <v>-315.85000000000002</v>
      </c>
      <c r="M21" t="s">
        <v>68</v>
      </c>
      <c r="N21" t="s">
        <v>80</v>
      </c>
      <c r="O21" t="str">
        <f t="shared" si="0"/>
        <v>Bad</v>
      </c>
      <c r="P21">
        <f t="shared" si="1"/>
        <v>542.79</v>
      </c>
      <c r="Q21">
        <v>45854</v>
      </c>
      <c r="R21">
        <f>YEAR(Table1[[#This Row],[Order_Date_New]])</f>
        <v>2025</v>
      </c>
      <c r="S21">
        <f>MONTH(Table1[[#This Row],[Order_Date_New]])</f>
        <v>7</v>
      </c>
      <c r="T21" t="str">
        <f>TEXT(Table1[[#This Row],[Order_Date_New]],"mmmm")</f>
        <v>July</v>
      </c>
      <c r="U21">
        <f>Table1[[#This Row],[Profit]]/Table1[[#This Row],[Sales]]</f>
        <v>-0.19396697310807742</v>
      </c>
      <c r="V21" t="str">
        <f>IF(Table1[[#This Row],[Discount]]=0,"No Discount",IF(Table1[[#This Row],[Discount]]&lt;=0.1,"Low",IF(Table1[[#This Row],[Discount]]&lt;=0.2,"medium","high")))</f>
        <v>high</v>
      </c>
    </row>
    <row r="22" spans="1:22" x14ac:dyDescent="0.3">
      <c r="A22" t="s">
        <v>120</v>
      </c>
      <c r="B22" s="6">
        <v>45646</v>
      </c>
      <c r="C22" t="s">
        <v>121</v>
      </c>
      <c r="D22" t="s">
        <v>24</v>
      </c>
      <c r="E22" t="s">
        <v>97</v>
      </c>
      <c r="F22" t="s">
        <v>60</v>
      </c>
      <c r="G22" t="s">
        <v>61</v>
      </c>
      <c r="H22" t="s">
        <v>122</v>
      </c>
      <c r="I22">
        <v>9072.99</v>
      </c>
      <c r="J22">
        <v>9</v>
      </c>
      <c r="K22">
        <v>0.2</v>
      </c>
      <c r="L22">
        <v>1494.8</v>
      </c>
      <c r="M22" t="s">
        <v>49</v>
      </c>
      <c r="N22" t="s">
        <v>80</v>
      </c>
      <c r="O22" t="str">
        <f t="shared" si="0"/>
        <v>Good</v>
      </c>
      <c r="P22">
        <f t="shared" si="1"/>
        <v>1008.11</v>
      </c>
      <c r="Q22">
        <v>45646</v>
      </c>
      <c r="R22">
        <f>YEAR(Table1[[#This Row],[Order_Date_New]])</f>
        <v>2024</v>
      </c>
      <c r="S22">
        <f>MONTH(Table1[[#This Row],[Order_Date_New]])</f>
        <v>12</v>
      </c>
      <c r="T22" t="str">
        <f>TEXT(Table1[[#This Row],[Order_Date_New]],"mmmm")</f>
        <v>December</v>
      </c>
      <c r="U22">
        <f>Table1[[#This Row],[Profit]]/Table1[[#This Row],[Sales]]</f>
        <v>0.16475274413396246</v>
      </c>
      <c r="V22" t="str">
        <f>IF(Table1[[#This Row],[Discount]]=0,"No Discount",IF(Table1[[#This Row],[Discount]]&lt;=0.1,"Low",IF(Table1[[#This Row],[Discount]]&lt;=0.2,"medium","high")))</f>
        <v>medium</v>
      </c>
    </row>
    <row r="23" spans="1:22" x14ac:dyDescent="0.3">
      <c r="A23" t="s">
        <v>123</v>
      </c>
      <c r="B23" s="6">
        <v>45305</v>
      </c>
      <c r="C23" t="s">
        <v>124</v>
      </c>
      <c r="D23" t="s">
        <v>53</v>
      </c>
      <c r="E23" t="s">
        <v>77</v>
      </c>
      <c r="F23" t="s">
        <v>60</v>
      </c>
      <c r="G23" t="s">
        <v>78</v>
      </c>
      <c r="H23" t="s">
        <v>125</v>
      </c>
      <c r="I23">
        <v>1321.02</v>
      </c>
      <c r="J23">
        <v>2</v>
      </c>
      <c r="K23">
        <v>0.3</v>
      </c>
      <c r="L23">
        <v>66.61</v>
      </c>
      <c r="M23" t="s">
        <v>49</v>
      </c>
      <c r="N23" t="s">
        <v>38</v>
      </c>
      <c r="O23" t="str">
        <f t="shared" si="0"/>
        <v>Bad</v>
      </c>
      <c r="P23">
        <f t="shared" si="1"/>
        <v>660.51</v>
      </c>
      <c r="Q23">
        <v>45305</v>
      </c>
      <c r="R23">
        <f>YEAR(Table1[[#This Row],[Order_Date_New]])</f>
        <v>2024</v>
      </c>
      <c r="S23">
        <f>MONTH(Table1[[#This Row],[Order_Date_New]])</f>
        <v>1</v>
      </c>
      <c r="T23" t="str">
        <f>TEXT(Table1[[#This Row],[Order_Date_New]],"mmmm")</f>
        <v>January</v>
      </c>
      <c r="U23">
        <f>Table1[[#This Row],[Profit]]/Table1[[#This Row],[Sales]]</f>
        <v>5.0423157862863548E-2</v>
      </c>
      <c r="V23" t="str">
        <f>IF(Table1[[#This Row],[Discount]]=0,"No Discount",IF(Table1[[#This Row],[Discount]]&lt;=0.1,"Low",IF(Table1[[#This Row],[Discount]]&lt;=0.2,"medium","high")))</f>
        <v>high</v>
      </c>
    </row>
    <row r="24" spans="1:22" x14ac:dyDescent="0.3">
      <c r="A24" t="s">
        <v>126</v>
      </c>
      <c r="B24" s="6">
        <v>45862</v>
      </c>
      <c r="C24" t="s">
        <v>127</v>
      </c>
      <c r="D24" t="s">
        <v>128</v>
      </c>
      <c r="E24" t="s">
        <v>129</v>
      </c>
      <c r="F24" t="s">
        <v>60</v>
      </c>
      <c r="G24" t="s">
        <v>61</v>
      </c>
      <c r="H24" t="s">
        <v>122</v>
      </c>
      <c r="I24">
        <v>191.35</v>
      </c>
      <c r="J24">
        <v>1</v>
      </c>
      <c r="K24">
        <v>0.25</v>
      </c>
      <c r="L24">
        <v>-35.39</v>
      </c>
      <c r="M24" t="s">
        <v>113</v>
      </c>
      <c r="N24" t="s">
        <v>44</v>
      </c>
      <c r="O24" t="str">
        <f t="shared" si="0"/>
        <v>Bad</v>
      </c>
      <c r="P24">
        <f t="shared" si="1"/>
        <v>191.35</v>
      </c>
      <c r="Q24">
        <v>45862</v>
      </c>
      <c r="R24">
        <f>YEAR(Table1[[#This Row],[Order_Date_New]])</f>
        <v>2025</v>
      </c>
      <c r="S24">
        <f>MONTH(Table1[[#This Row],[Order_Date_New]])</f>
        <v>7</v>
      </c>
      <c r="T24" t="str">
        <f>TEXT(Table1[[#This Row],[Order_Date_New]],"mmmm")</f>
        <v>July</v>
      </c>
      <c r="U24">
        <f>Table1[[#This Row],[Profit]]/Table1[[#This Row],[Sales]]</f>
        <v>-0.18494904625032663</v>
      </c>
      <c r="V24" t="str">
        <f>IF(Table1[[#This Row],[Discount]]=0,"No Discount",IF(Table1[[#This Row],[Discount]]&lt;=0.1,"Low",IF(Table1[[#This Row],[Discount]]&lt;=0.2,"medium","high")))</f>
        <v>high</v>
      </c>
    </row>
    <row r="25" spans="1:22" x14ac:dyDescent="0.3">
      <c r="A25" t="s">
        <v>130</v>
      </c>
      <c r="B25" s="6">
        <v>45430</v>
      </c>
      <c r="C25" t="s">
        <v>131</v>
      </c>
      <c r="D25" t="s">
        <v>128</v>
      </c>
      <c r="E25" t="s">
        <v>132</v>
      </c>
      <c r="F25" t="s">
        <v>72</v>
      </c>
      <c r="G25" t="s">
        <v>88</v>
      </c>
      <c r="H25" t="s">
        <v>89</v>
      </c>
      <c r="I25">
        <v>6352.3</v>
      </c>
      <c r="J25">
        <v>10</v>
      </c>
      <c r="K25">
        <v>0</v>
      </c>
      <c r="L25">
        <v>1494.43</v>
      </c>
      <c r="M25" t="s">
        <v>133</v>
      </c>
      <c r="N25" t="s">
        <v>30</v>
      </c>
      <c r="O25" t="str">
        <f t="shared" si="0"/>
        <v>Good</v>
      </c>
      <c r="P25">
        <f t="shared" si="1"/>
        <v>635.23</v>
      </c>
      <c r="Q25">
        <v>45430</v>
      </c>
      <c r="R25">
        <f>YEAR(Table1[[#This Row],[Order_Date_New]])</f>
        <v>2024</v>
      </c>
      <c r="S25">
        <f>MONTH(Table1[[#This Row],[Order_Date_New]])</f>
        <v>5</v>
      </c>
      <c r="T25" t="str">
        <f>TEXT(Table1[[#This Row],[Order_Date_New]],"mmmm")</f>
        <v>May</v>
      </c>
      <c r="U25">
        <f>Table1[[#This Row],[Profit]]/Table1[[#This Row],[Sales]]</f>
        <v>0.23525809549297105</v>
      </c>
      <c r="V25" t="str">
        <f>IF(Table1[[#This Row],[Discount]]=0,"No Discount",IF(Table1[[#This Row],[Discount]]&lt;=0.1,"Low",IF(Table1[[#This Row],[Discount]]&lt;=0.2,"medium","high")))</f>
        <v>No Discount</v>
      </c>
    </row>
    <row r="26" spans="1:22" x14ac:dyDescent="0.3">
      <c r="A26" t="s">
        <v>134</v>
      </c>
      <c r="B26" s="6">
        <v>45648</v>
      </c>
      <c r="C26" t="s">
        <v>135</v>
      </c>
      <c r="D26" t="s">
        <v>33</v>
      </c>
      <c r="E26" t="s">
        <v>48</v>
      </c>
      <c r="F26" t="s">
        <v>60</v>
      </c>
      <c r="G26" t="s">
        <v>61</v>
      </c>
      <c r="H26" t="s">
        <v>62</v>
      </c>
      <c r="I26">
        <v>10778.04</v>
      </c>
      <c r="J26">
        <v>9</v>
      </c>
      <c r="K26">
        <v>0.15</v>
      </c>
      <c r="L26">
        <v>156.16</v>
      </c>
      <c r="M26" t="s">
        <v>49</v>
      </c>
      <c r="N26" t="s">
        <v>30</v>
      </c>
      <c r="O26" t="str">
        <f t="shared" si="0"/>
        <v>Good</v>
      </c>
      <c r="P26">
        <f t="shared" si="1"/>
        <v>1197.5600000000002</v>
      </c>
      <c r="Q26">
        <v>45648</v>
      </c>
      <c r="R26">
        <f>YEAR(Table1[[#This Row],[Order_Date_New]])</f>
        <v>2024</v>
      </c>
      <c r="S26">
        <f>MONTH(Table1[[#This Row],[Order_Date_New]])</f>
        <v>12</v>
      </c>
      <c r="T26" t="str">
        <f>TEXT(Table1[[#This Row],[Order_Date_New]],"mmmm")</f>
        <v>December</v>
      </c>
      <c r="U26">
        <f>Table1[[#This Row],[Profit]]/Table1[[#This Row],[Sales]]</f>
        <v>1.4488719655892907E-2</v>
      </c>
      <c r="V26" t="str">
        <f>IF(Table1[[#This Row],[Discount]]=0,"No Discount",IF(Table1[[#This Row],[Discount]]&lt;=0.1,"Low",IF(Table1[[#This Row],[Discount]]&lt;=0.2,"medium","high")))</f>
        <v>medium</v>
      </c>
    </row>
    <row r="27" spans="1:22" x14ac:dyDescent="0.3">
      <c r="A27" t="s">
        <v>136</v>
      </c>
      <c r="B27" s="6">
        <v>45902</v>
      </c>
      <c r="C27" t="s">
        <v>137</v>
      </c>
      <c r="D27" t="s">
        <v>24</v>
      </c>
      <c r="E27" t="s">
        <v>97</v>
      </c>
      <c r="F27" t="s">
        <v>60</v>
      </c>
      <c r="G27" t="s">
        <v>98</v>
      </c>
      <c r="H27" t="s">
        <v>138</v>
      </c>
      <c r="I27">
        <v>2001.92</v>
      </c>
      <c r="J27">
        <v>8</v>
      </c>
      <c r="K27">
        <v>0.05</v>
      </c>
      <c r="L27">
        <v>505.07</v>
      </c>
      <c r="M27" t="s">
        <v>105</v>
      </c>
      <c r="N27" t="s">
        <v>30</v>
      </c>
      <c r="O27" t="str">
        <f t="shared" si="0"/>
        <v>Bad</v>
      </c>
      <c r="P27">
        <f t="shared" si="1"/>
        <v>250.24</v>
      </c>
      <c r="Q27">
        <v>45902</v>
      </c>
      <c r="R27">
        <f>YEAR(Table1[[#This Row],[Order_Date_New]])</f>
        <v>2025</v>
      </c>
      <c r="S27">
        <f>MONTH(Table1[[#This Row],[Order_Date_New]])</f>
        <v>9</v>
      </c>
      <c r="T27" t="str">
        <f>TEXT(Table1[[#This Row],[Order_Date_New]],"mmmm")</f>
        <v>September</v>
      </c>
      <c r="U27">
        <f>Table1[[#This Row],[Profit]]/Table1[[#This Row],[Sales]]</f>
        <v>0.25229279891304346</v>
      </c>
      <c r="V27" t="str">
        <f>IF(Table1[[#This Row],[Discount]]=0,"No Discount",IF(Table1[[#This Row],[Discount]]&lt;=0.1,"Low",IF(Table1[[#This Row],[Discount]]&lt;=0.2,"medium","high")))</f>
        <v>Low</v>
      </c>
    </row>
    <row r="28" spans="1:22" x14ac:dyDescent="0.3">
      <c r="A28" t="s">
        <v>139</v>
      </c>
      <c r="B28" s="6">
        <v>45503</v>
      </c>
      <c r="C28" t="s">
        <v>140</v>
      </c>
      <c r="D28" t="s">
        <v>128</v>
      </c>
      <c r="E28" t="s">
        <v>132</v>
      </c>
      <c r="F28" t="s">
        <v>60</v>
      </c>
      <c r="G28" t="s">
        <v>98</v>
      </c>
      <c r="H28" t="s">
        <v>141</v>
      </c>
      <c r="I28">
        <v>2181.9499999999998</v>
      </c>
      <c r="J28">
        <v>5</v>
      </c>
      <c r="K28">
        <v>0.3</v>
      </c>
      <c r="L28">
        <v>260.37</v>
      </c>
      <c r="M28" t="s">
        <v>105</v>
      </c>
      <c r="N28" t="s">
        <v>30</v>
      </c>
      <c r="O28" t="str">
        <f t="shared" si="0"/>
        <v>Bad</v>
      </c>
      <c r="P28">
        <f t="shared" si="1"/>
        <v>436.39</v>
      </c>
      <c r="Q28">
        <v>45503</v>
      </c>
      <c r="R28">
        <f>YEAR(Table1[[#This Row],[Order_Date_New]])</f>
        <v>2024</v>
      </c>
      <c r="S28">
        <f>MONTH(Table1[[#This Row],[Order_Date_New]])</f>
        <v>7</v>
      </c>
      <c r="T28" t="str">
        <f>TEXT(Table1[[#This Row],[Order_Date_New]],"mmmm")</f>
        <v>July</v>
      </c>
      <c r="U28">
        <f>Table1[[#This Row],[Profit]]/Table1[[#This Row],[Sales]]</f>
        <v>0.11932904053713422</v>
      </c>
      <c r="V28" t="str">
        <f>IF(Table1[[#This Row],[Discount]]=0,"No Discount",IF(Table1[[#This Row],[Discount]]&lt;=0.1,"Low",IF(Table1[[#This Row],[Discount]]&lt;=0.2,"medium","high")))</f>
        <v>high</v>
      </c>
    </row>
    <row r="29" spans="1:22" x14ac:dyDescent="0.3">
      <c r="A29" t="s">
        <v>142</v>
      </c>
      <c r="B29" s="6">
        <v>45295</v>
      </c>
      <c r="C29" t="s">
        <v>143</v>
      </c>
      <c r="D29" t="s">
        <v>53</v>
      </c>
      <c r="E29" t="s">
        <v>107</v>
      </c>
      <c r="F29" t="s">
        <v>72</v>
      </c>
      <c r="G29" t="s">
        <v>111</v>
      </c>
      <c r="H29" t="s">
        <v>112</v>
      </c>
      <c r="I29">
        <v>2112.54</v>
      </c>
      <c r="J29">
        <v>6</v>
      </c>
      <c r="K29">
        <v>0.05</v>
      </c>
      <c r="L29">
        <v>242.56</v>
      </c>
      <c r="M29" t="s">
        <v>49</v>
      </c>
      <c r="N29" t="s">
        <v>38</v>
      </c>
      <c r="O29" t="str">
        <f t="shared" si="0"/>
        <v>Bad</v>
      </c>
      <c r="P29">
        <f t="shared" si="1"/>
        <v>352.09</v>
      </c>
      <c r="Q29">
        <v>45295</v>
      </c>
      <c r="R29">
        <f>YEAR(Table1[[#This Row],[Order_Date_New]])</f>
        <v>2024</v>
      </c>
      <c r="S29">
        <f>MONTH(Table1[[#This Row],[Order_Date_New]])</f>
        <v>1</v>
      </c>
      <c r="T29" t="str">
        <f>TEXT(Table1[[#This Row],[Order_Date_New]],"mmmm")</f>
        <v>January</v>
      </c>
      <c r="U29">
        <f>Table1[[#This Row],[Profit]]/Table1[[#This Row],[Sales]]</f>
        <v>0.11481912768515626</v>
      </c>
      <c r="V29" t="str">
        <f>IF(Table1[[#This Row],[Discount]]=0,"No Discount",IF(Table1[[#This Row],[Discount]]&lt;=0.1,"Low",IF(Table1[[#This Row],[Discount]]&lt;=0.2,"medium","high")))</f>
        <v>Low</v>
      </c>
    </row>
    <row r="30" spans="1:22" x14ac:dyDescent="0.3">
      <c r="A30" t="s">
        <v>144</v>
      </c>
      <c r="B30" s="6">
        <v>45580</v>
      </c>
      <c r="C30" t="s">
        <v>145</v>
      </c>
      <c r="D30" t="s">
        <v>128</v>
      </c>
      <c r="E30" t="s">
        <v>146</v>
      </c>
      <c r="F30" t="s">
        <v>60</v>
      </c>
      <c r="G30" t="s">
        <v>61</v>
      </c>
      <c r="H30" t="s">
        <v>122</v>
      </c>
      <c r="I30">
        <v>2720.6</v>
      </c>
      <c r="J30">
        <v>5</v>
      </c>
      <c r="K30">
        <v>0.05</v>
      </c>
      <c r="L30">
        <v>240.81</v>
      </c>
      <c r="M30" t="s">
        <v>105</v>
      </c>
      <c r="N30" t="s">
        <v>44</v>
      </c>
      <c r="O30" t="str">
        <f t="shared" si="0"/>
        <v>Bad</v>
      </c>
      <c r="P30">
        <f t="shared" si="1"/>
        <v>544.12</v>
      </c>
      <c r="Q30">
        <v>45580</v>
      </c>
      <c r="R30">
        <f>YEAR(Table1[[#This Row],[Order_Date_New]])</f>
        <v>2024</v>
      </c>
      <c r="S30">
        <f>MONTH(Table1[[#This Row],[Order_Date_New]])</f>
        <v>10</v>
      </c>
      <c r="T30" t="str">
        <f>TEXT(Table1[[#This Row],[Order_Date_New]],"mmmm")</f>
        <v>October</v>
      </c>
      <c r="U30">
        <f>Table1[[#This Row],[Profit]]/Table1[[#This Row],[Sales]]</f>
        <v>8.8513563184591637E-2</v>
      </c>
      <c r="V30" t="str">
        <f>IF(Table1[[#This Row],[Discount]]=0,"No Discount",IF(Table1[[#This Row],[Discount]]&lt;=0.1,"Low",IF(Table1[[#This Row],[Discount]]&lt;=0.2,"medium","high")))</f>
        <v>Low</v>
      </c>
    </row>
    <row r="31" spans="1:22" x14ac:dyDescent="0.3">
      <c r="A31" t="s">
        <v>147</v>
      </c>
      <c r="B31" s="6">
        <v>45676</v>
      </c>
      <c r="C31" t="s">
        <v>148</v>
      </c>
      <c r="D31" t="s">
        <v>53</v>
      </c>
      <c r="E31" t="s">
        <v>107</v>
      </c>
      <c r="F31" t="s">
        <v>72</v>
      </c>
      <c r="G31" t="s">
        <v>73</v>
      </c>
      <c r="H31" t="s">
        <v>102</v>
      </c>
      <c r="I31">
        <v>6996.29</v>
      </c>
      <c r="J31">
        <v>7</v>
      </c>
      <c r="K31">
        <v>0.3</v>
      </c>
      <c r="L31">
        <v>320.13</v>
      </c>
      <c r="M31" t="s">
        <v>90</v>
      </c>
      <c r="N31" t="s">
        <v>38</v>
      </c>
      <c r="O31" t="str">
        <f t="shared" si="0"/>
        <v>Bad</v>
      </c>
      <c r="P31">
        <f t="shared" si="1"/>
        <v>999.47</v>
      </c>
      <c r="Q31">
        <v>45676</v>
      </c>
      <c r="R31">
        <f>YEAR(Table1[[#This Row],[Order_Date_New]])</f>
        <v>2025</v>
      </c>
      <c r="S31">
        <f>MONTH(Table1[[#This Row],[Order_Date_New]])</f>
        <v>1</v>
      </c>
      <c r="T31" t="str">
        <f>TEXT(Table1[[#This Row],[Order_Date_New]],"mmmm")</f>
        <v>January</v>
      </c>
      <c r="U31">
        <f>Table1[[#This Row],[Profit]]/Table1[[#This Row],[Sales]]</f>
        <v>4.5757108410314606E-2</v>
      </c>
      <c r="V31" t="str">
        <f>IF(Table1[[#This Row],[Discount]]=0,"No Discount",IF(Table1[[#This Row],[Discount]]&lt;=0.1,"Low",IF(Table1[[#This Row],[Discount]]&lt;=0.2,"medium","high")))</f>
        <v>high</v>
      </c>
    </row>
    <row r="32" spans="1:22" x14ac:dyDescent="0.3">
      <c r="A32" t="s">
        <v>149</v>
      </c>
      <c r="B32" s="6">
        <v>45663</v>
      </c>
      <c r="C32" t="s">
        <v>150</v>
      </c>
      <c r="D32" t="s">
        <v>33</v>
      </c>
      <c r="E32" t="s">
        <v>48</v>
      </c>
      <c r="F32" t="s">
        <v>26</v>
      </c>
      <c r="G32" t="s">
        <v>27</v>
      </c>
      <c r="H32" t="s">
        <v>28</v>
      </c>
      <c r="I32">
        <v>9500.58</v>
      </c>
      <c r="J32">
        <v>9</v>
      </c>
      <c r="K32">
        <v>0.3</v>
      </c>
      <c r="L32">
        <v>-133.25</v>
      </c>
      <c r="M32" t="s">
        <v>49</v>
      </c>
      <c r="N32" t="s">
        <v>38</v>
      </c>
      <c r="O32" t="str">
        <f t="shared" si="0"/>
        <v>Good</v>
      </c>
      <c r="P32">
        <f t="shared" si="1"/>
        <v>1055.6199999999999</v>
      </c>
      <c r="Q32">
        <v>45663</v>
      </c>
      <c r="R32">
        <f>YEAR(Table1[[#This Row],[Order_Date_New]])</f>
        <v>2025</v>
      </c>
      <c r="S32">
        <f>MONTH(Table1[[#This Row],[Order_Date_New]])</f>
        <v>1</v>
      </c>
      <c r="T32" t="str">
        <f>TEXT(Table1[[#This Row],[Order_Date_New]],"mmmm")</f>
        <v>January</v>
      </c>
      <c r="U32">
        <f>Table1[[#This Row],[Profit]]/Table1[[#This Row],[Sales]]</f>
        <v>-1.4025459498262212E-2</v>
      </c>
      <c r="V32" t="str">
        <f>IF(Table1[[#This Row],[Discount]]=0,"No Discount",IF(Table1[[#This Row],[Discount]]&lt;=0.1,"Low",IF(Table1[[#This Row],[Discount]]&lt;=0.2,"medium","high")))</f>
        <v>high</v>
      </c>
    </row>
    <row r="33" spans="1:22" x14ac:dyDescent="0.3">
      <c r="A33" t="s">
        <v>151</v>
      </c>
      <c r="B33" s="6">
        <v>45769</v>
      </c>
      <c r="C33" t="s">
        <v>152</v>
      </c>
      <c r="D33" t="s">
        <v>128</v>
      </c>
      <c r="E33" t="s">
        <v>132</v>
      </c>
      <c r="F33" t="s">
        <v>26</v>
      </c>
      <c r="G33" t="s">
        <v>27</v>
      </c>
      <c r="H33" t="s">
        <v>28</v>
      </c>
      <c r="I33">
        <v>9145.17</v>
      </c>
      <c r="J33">
        <v>9</v>
      </c>
      <c r="K33">
        <v>0.2</v>
      </c>
      <c r="L33">
        <v>-374.38</v>
      </c>
      <c r="M33" t="s">
        <v>105</v>
      </c>
      <c r="N33" t="s">
        <v>44</v>
      </c>
      <c r="O33" t="str">
        <f t="shared" si="0"/>
        <v>Good</v>
      </c>
      <c r="P33">
        <f t="shared" si="1"/>
        <v>1016.13</v>
      </c>
      <c r="Q33">
        <v>45769</v>
      </c>
      <c r="R33">
        <f>YEAR(Table1[[#This Row],[Order_Date_New]])</f>
        <v>2025</v>
      </c>
      <c r="S33">
        <f>MONTH(Table1[[#This Row],[Order_Date_New]])</f>
        <v>4</v>
      </c>
      <c r="T33" t="str">
        <f>TEXT(Table1[[#This Row],[Order_Date_New]],"mmmm")</f>
        <v>April</v>
      </c>
      <c r="U33">
        <f>Table1[[#This Row],[Profit]]/Table1[[#This Row],[Sales]]</f>
        <v>-4.0937456602775014E-2</v>
      </c>
      <c r="V33" t="str">
        <f>IF(Table1[[#This Row],[Discount]]=0,"No Discount",IF(Table1[[#This Row],[Discount]]&lt;=0.1,"Low",IF(Table1[[#This Row],[Discount]]&lt;=0.2,"medium","high")))</f>
        <v>medium</v>
      </c>
    </row>
    <row r="34" spans="1:22" x14ac:dyDescent="0.3">
      <c r="A34" t="s">
        <v>153</v>
      </c>
      <c r="B34" s="6">
        <v>45483</v>
      </c>
      <c r="C34" t="s">
        <v>154</v>
      </c>
      <c r="D34" t="s">
        <v>24</v>
      </c>
      <c r="E34" t="s">
        <v>59</v>
      </c>
      <c r="F34" t="s">
        <v>60</v>
      </c>
      <c r="G34" t="s">
        <v>98</v>
      </c>
      <c r="H34" t="s">
        <v>99</v>
      </c>
      <c r="I34">
        <v>367.5</v>
      </c>
      <c r="J34">
        <v>10</v>
      </c>
      <c r="K34">
        <v>0.05</v>
      </c>
      <c r="L34">
        <v>143.15</v>
      </c>
      <c r="M34" t="s">
        <v>37</v>
      </c>
      <c r="N34" t="s">
        <v>38</v>
      </c>
      <c r="O34" t="str">
        <f t="shared" si="0"/>
        <v>Bad</v>
      </c>
      <c r="P34">
        <f t="shared" si="1"/>
        <v>36.75</v>
      </c>
      <c r="Q34">
        <v>45483</v>
      </c>
      <c r="R34">
        <f>YEAR(Table1[[#This Row],[Order_Date_New]])</f>
        <v>2024</v>
      </c>
      <c r="S34">
        <f>MONTH(Table1[[#This Row],[Order_Date_New]])</f>
        <v>7</v>
      </c>
      <c r="T34" t="str">
        <f>TEXT(Table1[[#This Row],[Order_Date_New]],"mmmm")</f>
        <v>July</v>
      </c>
      <c r="U34">
        <f>Table1[[#This Row],[Profit]]/Table1[[#This Row],[Sales]]</f>
        <v>0.38952380952380955</v>
      </c>
      <c r="V34" t="str">
        <f>IF(Table1[[#This Row],[Discount]]=0,"No Discount",IF(Table1[[#This Row],[Discount]]&lt;=0.1,"Low",IF(Table1[[#This Row],[Discount]]&lt;=0.2,"medium","high")))</f>
        <v>Low</v>
      </c>
    </row>
    <row r="35" spans="1:22" x14ac:dyDescent="0.3">
      <c r="A35" t="s">
        <v>155</v>
      </c>
      <c r="B35" s="6">
        <v>45464</v>
      </c>
      <c r="C35" t="s">
        <v>156</v>
      </c>
      <c r="D35" t="s">
        <v>128</v>
      </c>
      <c r="E35" t="s">
        <v>129</v>
      </c>
      <c r="F35" t="s">
        <v>72</v>
      </c>
      <c r="G35" t="s">
        <v>88</v>
      </c>
      <c r="H35" t="s">
        <v>89</v>
      </c>
      <c r="I35">
        <v>1061.6600000000001</v>
      </c>
      <c r="J35">
        <v>1</v>
      </c>
      <c r="K35">
        <v>0</v>
      </c>
      <c r="L35">
        <v>422.8</v>
      </c>
      <c r="M35" t="s">
        <v>133</v>
      </c>
      <c r="N35" t="s">
        <v>80</v>
      </c>
      <c r="O35" t="str">
        <f t="shared" si="0"/>
        <v>Bad</v>
      </c>
      <c r="P35">
        <f t="shared" si="1"/>
        <v>1061.6600000000001</v>
      </c>
      <c r="Q35">
        <v>45464</v>
      </c>
      <c r="R35">
        <f>YEAR(Table1[[#This Row],[Order_Date_New]])</f>
        <v>2024</v>
      </c>
      <c r="S35">
        <f>MONTH(Table1[[#This Row],[Order_Date_New]])</f>
        <v>6</v>
      </c>
      <c r="T35" t="str">
        <f>TEXT(Table1[[#This Row],[Order_Date_New]],"mmmm")</f>
        <v>June</v>
      </c>
      <c r="U35">
        <f>Table1[[#This Row],[Profit]]/Table1[[#This Row],[Sales]]</f>
        <v>0.39824425899063726</v>
      </c>
      <c r="V35" t="str">
        <f>IF(Table1[[#This Row],[Discount]]=0,"No Discount",IF(Table1[[#This Row],[Discount]]&lt;=0.1,"Low",IF(Table1[[#This Row],[Discount]]&lt;=0.2,"medium","high")))</f>
        <v>No Discount</v>
      </c>
    </row>
    <row r="36" spans="1:22" x14ac:dyDescent="0.3">
      <c r="A36" t="s">
        <v>157</v>
      </c>
      <c r="B36" s="6">
        <v>45730</v>
      </c>
      <c r="C36" t="s">
        <v>117</v>
      </c>
      <c r="D36" t="s">
        <v>33</v>
      </c>
      <c r="E36" t="s">
        <v>66</v>
      </c>
      <c r="F36" t="s">
        <v>72</v>
      </c>
      <c r="G36" t="s">
        <v>111</v>
      </c>
      <c r="H36" t="s">
        <v>158</v>
      </c>
      <c r="I36">
        <v>1527.6</v>
      </c>
      <c r="J36">
        <v>8</v>
      </c>
      <c r="K36">
        <v>0</v>
      </c>
      <c r="L36">
        <v>419.74</v>
      </c>
      <c r="M36" t="s">
        <v>29</v>
      </c>
      <c r="N36" t="s">
        <v>44</v>
      </c>
      <c r="O36" t="str">
        <f t="shared" si="0"/>
        <v>Bad</v>
      </c>
      <c r="P36">
        <f t="shared" si="1"/>
        <v>190.95</v>
      </c>
      <c r="Q36">
        <v>45730</v>
      </c>
      <c r="R36">
        <f>YEAR(Table1[[#This Row],[Order_Date_New]])</f>
        <v>2025</v>
      </c>
      <c r="S36">
        <f>MONTH(Table1[[#This Row],[Order_Date_New]])</f>
        <v>3</v>
      </c>
      <c r="T36" t="str">
        <f>TEXT(Table1[[#This Row],[Order_Date_New]],"mmmm")</f>
        <v>March</v>
      </c>
      <c r="U36">
        <f>Table1[[#This Row],[Profit]]/Table1[[#This Row],[Sales]]</f>
        <v>0.27477088242995551</v>
      </c>
      <c r="V36" t="str">
        <f>IF(Table1[[#This Row],[Discount]]=0,"No Discount",IF(Table1[[#This Row],[Discount]]&lt;=0.1,"Low",IF(Table1[[#This Row],[Discount]]&lt;=0.2,"medium","high")))</f>
        <v>No Discount</v>
      </c>
    </row>
    <row r="37" spans="1:22" x14ac:dyDescent="0.3">
      <c r="A37" t="s">
        <v>159</v>
      </c>
      <c r="B37" s="6">
        <v>45476</v>
      </c>
      <c r="C37" t="s">
        <v>65</v>
      </c>
      <c r="D37" t="s">
        <v>24</v>
      </c>
      <c r="E37" t="s">
        <v>97</v>
      </c>
      <c r="F37" t="s">
        <v>72</v>
      </c>
      <c r="G37" t="s">
        <v>73</v>
      </c>
      <c r="H37" t="s">
        <v>74</v>
      </c>
      <c r="I37">
        <v>1241.5</v>
      </c>
      <c r="J37">
        <v>2</v>
      </c>
      <c r="K37">
        <v>0.25</v>
      </c>
      <c r="L37">
        <v>151.36000000000001</v>
      </c>
      <c r="M37" t="s">
        <v>68</v>
      </c>
      <c r="N37" t="s">
        <v>44</v>
      </c>
      <c r="O37" t="str">
        <f t="shared" si="0"/>
        <v>Bad</v>
      </c>
      <c r="P37">
        <f t="shared" si="1"/>
        <v>620.75</v>
      </c>
      <c r="Q37">
        <v>45476</v>
      </c>
      <c r="R37">
        <f>YEAR(Table1[[#This Row],[Order_Date_New]])</f>
        <v>2024</v>
      </c>
      <c r="S37">
        <f>MONTH(Table1[[#This Row],[Order_Date_New]])</f>
        <v>7</v>
      </c>
      <c r="T37" t="str">
        <f>TEXT(Table1[[#This Row],[Order_Date_New]],"mmmm")</f>
        <v>July</v>
      </c>
      <c r="U37">
        <f>Table1[[#This Row],[Profit]]/Table1[[#This Row],[Sales]]</f>
        <v>0.12191703584373742</v>
      </c>
      <c r="V37" t="str">
        <f>IF(Table1[[#This Row],[Discount]]=0,"No Discount",IF(Table1[[#This Row],[Discount]]&lt;=0.1,"Low",IF(Table1[[#This Row],[Discount]]&lt;=0.2,"medium","high")))</f>
        <v>high</v>
      </c>
    </row>
    <row r="38" spans="1:22" x14ac:dyDescent="0.3">
      <c r="A38" t="s">
        <v>160</v>
      </c>
      <c r="B38" s="6">
        <v>45641</v>
      </c>
      <c r="C38" t="s">
        <v>161</v>
      </c>
      <c r="D38" t="s">
        <v>24</v>
      </c>
      <c r="E38" t="s">
        <v>84</v>
      </c>
      <c r="F38" t="s">
        <v>72</v>
      </c>
      <c r="G38" t="s">
        <v>88</v>
      </c>
      <c r="H38" t="s">
        <v>89</v>
      </c>
      <c r="I38">
        <v>1378.65</v>
      </c>
      <c r="J38">
        <v>7</v>
      </c>
      <c r="K38">
        <v>0.05</v>
      </c>
      <c r="L38">
        <v>74.28</v>
      </c>
      <c r="M38" t="s">
        <v>37</v>
      </c>
      <c r="N38" t="s">
        <v>38</v>
      </c>
      <c r="O38" t="str">
        <f t="shared" si="0"/>
        <v>Bad</v>
      </c>
      <c r="P38">
        <f t="shared" si="1"/>
        <v>196.95000000000002</v>
      </c>
      <c r="Q38">
        <v>45641</v>
      </c>
      <c r="R38">
        <f>YEAR(Table1[[#This Row],[Order_Date_New]])</f>
        <v>2024</v>
      </c>
      <c r="S38">
        <f>MONTH(Table1[[#This Row],[Order_Date_New]])</f>
        <v>12</v>
      </c>
      <c r="T38" t="str">
        <f>TEXT(Table1[[#This Row],[Order_Date_New]],"mmmm")</f>
        <v>December</v>
      </c>
      <c r="U38">
        <f>Table1[[#This Row],[Profit]]/Table1[[#This Row],[Sales]]</f>
        <v>5.3878794472853875E-2</v>
      </c>
      <c r="V38" t="str">
        <f>IF(Table1[[#This Row],[Discount]]=0,"No Discount",IF(Table1[[#This Row],[Discount]]&lt;=0.1,"Low",IF(Table1[[#This Row],[Discount]]&lt;=0.2,"medium","high")))</f>
        <v>Low</v>
      </c>
    </row>
    <row r="39" spans="1:22" x14ac:dyDescent="0.3">
      <c r="A39" t="s">
        <v>162</v>
      </c>
      <c r="B39" s="6">
        <v>45927</v>
      </c>
      <c r="C39" t="s">
        <v>163</v>
      </c>
      <c r="D39" t="s">
        <v>53</v>
      </c>
      <c r="E39" t="s">
        <v>87</v>
      </c>
      <c r="F39" t="s">
        <v>72</v>
      </c>
      <c r="G39" t="s">
        <v>88</v>
      </c>
      <c r="H39" t="s">
        <v>119</v>
      </c>
      <c r="I39">
        <v>1707.48</v>
      </c>
      <c r="J39">
        <v>3</v>
      </c>
      <c r="K39">
        <v>0.2</v>
      </c>
      <c r="L39">
        <v>123.67</v>
      </c>
      <c r="M39" t="s">
        <v>37</v>
      </c>
      <c r="N39" t="s">
        <v>80</v>
      </c>
      <c r="O39" t="str">
        <f t="shared" si="0"/>
        <v>Bad</v>
      </c>
      <c r="P39">
        <f t="shared" si="1"/>
        <v>569.16</v>
      </c>
      <c r="Q39">
        <v>45927</v>
      </c>
      <c r="R39">
        <f>YEAR(Table1[[#This Row],[Order_Date_New]])</f>
        <v>2025</v>
      </c>
      <c r="S39">
        <f>MONTH(Table1[[#This Row],[Order_Date_New]])</f>
        <v>9</v>
      </c>
      <c r="T39" t="str">
        <f>TEXT(Table1[[#This Row],[Order_Date_New]],"mmmm")</f>
        <v>September</v>
      </c>
      <c r="U39">
        <f>Table1[[#This Row],[Profit]]/Table1[[#This Row],[Sales]]</f>
        <v>7.2428373978026095E-2</v>
      </c>
      <c r="V39" t="str">
        <f>IF(Table1[[#This Row],[Discount]]=0,"No Discount",IF(Table1[[#This Row],[Discount]]&lt;=0.1,"Low",IF(Table1[[#This Row],[Discount]]&lt;=0.2,"medium","high")))</f>
        <v>medium</v>
      </c>
    </row>
    <row r="40" spans="1:22" x14ac:dyDescent="0.3">
      <c r="A40" t="s">
        <v>164</v>
      </c>
      <c r="B40" s="6">
        <v>45836</v>
      </c>
      <c r="C40" t="s">
        <v>165</v>
      </c>
      <c r="D40" t="s">
        <v>33</v>
      </c>
      <c r="E40" t="s">
        <v>118</v>
      </c>
      <c r="F40" t="s">
        <v>72</v>
      </c>
      <c r="G40" t="s">
        <v>111</v>
      </c>
      <c r="H40" t="s">
        <v>112</v>
      </c>
      <c r="I40">
        <v>3156.15</v>
      </c>
      <c r="J40">
        <v>5</v>
      </c>
      <c r="K40">
        <v>0.25</v>
      </c>
      <c r="L40">
        <v>-557.66999999999996</v>
      </c>
      <c r="M40" t="s">
        <v>113</v>
      </c>
      <c r="N40" t="s">
        <v>30</v>
      </c>
      <c r="O40" t="str">
        <f t="shared" si="0"/>
        <v>Bad</v>
      </c>
      <c r="P40">
        <f t="shared" si="1"/>
        <v>631.23</v>
      </c>
      <c r="Q40">
        <v>45836</v>
      </c>
      <c r="R40">
        <f>YEAR(Table1[[#This Row],[Order_Date_New]])</f>
        <v>2025</v>
      </c>
      <c r="S40">
        <f>MONTH(Table1[[#This Row],[Order_Date_New]])</f>
        <v>6</v>
      </c>
      <c r="T40" t="str">
        <f>TEXT(Table1[[#This Row],[Order_Date_New]],"mmmm")</f>
        <v>June</v>
      </c>
      <c r="U40">
        <f>Table1[[#This Row],[Profit]]/Table1[[#This Row],[Sales]]</f>
        <v>-0.1766931229504301</v>
      </c>
      <c r="V40" t="str">
        <f>IF(Table1[[#This Row],[Discount]]=0,"No Discount",IF(Table1[[#This Row],[Discount]]&lt;=0.1,"Low",IF(Table1[[#This Row],[Discount]]&lt;=0.2,"medium","high")))</f>
        <v>high</v>
      </c>
    </row>
    <row r="41" spans="1:22" x14ac:dyDescent="0.3">
      <c r="A41" t="s">
        <v>166</v>
      </c>
      <c r="B41" s="6">
        <v>45917</v>
      </c>
      <c r="C41" t="s">
        <v>167</v>
      </c>
      <c r="D41" t="s">
        <v>128</v>
      </c>
      <c r="E41" t="s">
        <v>132</v>
      </c>
      <c r="F41" t="s">
        <v>72</v>
      </c>
      <c r="G41" t="s">
        <v>111</v>
      </c>
      <c r="H41" t="s">
        <v>158</v>
      </c>
      <c r="I41">
        <v>5676.9</v>
      </c>
      <c r="J41">
        <v>10</v>
      </c>
      <c r="K41">
        <v>0</v>
      </c>
      <c r="L41">
        <v>897.82</v>
      </c>
      <c r="M41" t="s">
        <v>105</v>
      </c>
      <c r="N41" t="s">
        <v>30</v>
      </c>
      <c r="O41" t="str">
        <f t="shared" si="0"/>
        <v>Good</v>
      </c>
      <c r="P41">
        <f t="shared" si="1"/>
        <v>567.68999999999994</v>
      </c>
      <c r="Q41">
        <v>45917</v>
      </c>
      <c r="R41">
        <f>YEAR(Table1[[#This Row],[Order_Date_New]])</f>
        <v>2025</v>
      </c>
      <c r="S41">
        <f>MONTH(Table1[[#This Row],[Order_Date_New]])</f>
        <v>9</v>
      </c>
      <c r="T41" t="str">
        <f>TEXT(Table1[[#This Row],[Order_Date_New]],"mmmm")</f>
        <v>September</v>
      </c>
      <c r="U41">
        <f>Table1[[#This Row],[Profit]]/Table1[[#This Row],[Sales]]</f>
        <v>0.1581532174250031</v>
      </c>
      <c r="V41" t="str">
        <f>IF(Table1[[#This Row],[Discount]]=0,"No Discount",IF(Table1[[#This Row],[Discount]]&lt;=0.1,"Low",IF(Table1[[#This Row],[Discount]]&lt;=0.2,"medium","high")))</f>
        <v>No Discount</v>
      </c>
    </row>
    <row r="42" spans="1:22" x14ac:dyDescent="0.3">
      <c r="A42" t="s">
        <v>168</v>
      </c>
      <c r="B42" s="6">
        <v>45797</v>
      </c>
      <c r="C42" t="s">
        <v>169</v>
      </c>
      <c r="D42" t="s">
        <v>53</v>
      </c>
      <c r="E42" t="s">
        <v>107</v>
      </c>
      <c r="F42" t="s">
        <v>60</v>
      </c>
      <c r="G42" t="s">
        <v>61</v>
      </c>
      <c r="H42" t="s">
        <v>122</v>
      </c>
      <c r="I42">
        <v>8876.4</v>
      </c>
      <c r="J42">
        <v>10</v>
      </c>
      <c r="K42">
        <v>0.3</v>
      </c>
      <c r="L42">
        <v>26.45</v>
      </c>
      <c r="M42" t="s">
        <v>170</v>
      </c>
      <c r="N42" t="s">
        <v>80</v>
      </c>
      <c r="O42" t="str">
        <f t="shared" si="0"/>
        <v>Good</v>
      </c>
      <c r="P42">
        <f t="shared" si="1"/>
        <v>887.64</v>
      </c>
      <c r="Q42">
        <v>45797</v>
      </c>
      <c r="R42">
        <f>YEAR(Table1[[#This Row],[Order_Date_New]])</f>
        <v>2025</v>
      </c>
      <c r="S42">
        <f>MONTH(Table1[[#This Row],[Order_Date_New]])</f>
        <v>5</v>
      </c>
      <c r="T42" t="str">
        <f>TEXT(Table1[[#This Row],[Order_Date_New]],"mmmm")</f>
        <v>May</v>
      </c>
      <c r="U42">
        <f>Table1[[#This Row],[Profit]]/Table1[[#This Row],[Sales]]</f>
        <v>2.9798116353476635E-3</v>
      </c>
      <c r="V42" t="str">
        <f>IF(Table1[[#This Row],[Discount]]=0,"No Discount",IF(Table1[[#This Row],[Discount]]&lt;=0.1,"Low",IF(Table1[[#This Row],[Discount]]&lt;=0.2,"medium","high")))</f>
        <v>high</v>
      </c>
    </row>
    <row r="43" spans="1:22" x14ac:dyDescent="0.3">
      <c r="A43" t="s">
        <v>171</v>
      </c>
      <c r="B43" s="6">
        <v>46003</v>
      </c>
      <c r="C43" t="s">
        <v>172</v>
      </c>
      <c r="D43" t="s">
        <v>53</v>
      </c>
      <c r="E43" t="s">
        <v>54</v>
      </c>
      <c r="F43" t="s">
        <v>26</v>
      </c>
      <c r="G43" t="s">
        <v>35</v>
      </c>
      <c r="H43" t="s">
        <v>173</v>
      </c>
      <c r="I43">
        <v>7931.8</v>
      </c>
      <c r="J43">
        <v>10</v>
      </c>
      <c r="K43">
        <v>0</v>
      </c>
      <c r="L43">
        <v>3114.24</v>
      </c>
      <c r="M43" t="s">
        <v>113</v>
      </c>
      <c r="N43" t="s">
        <v>80</v>
      </c>
      <c r="O43" t="str">
        <f t="shared" si="0"/>
        <v>Good</v>
      </c>
      <c r="P43">
        <f t="shared" si="1"/>
        <v>793.18000000000006</v>
      </c>
      <c r="Q43">
        <v>46003</v>
      </c>
      <c r="R43">
        <f>YEAR(Table1[[#This Row],[Order_Date_New]])</f>
        <v>2025</v>
      </c>
      <c r="S43">
        <f>MONTH(Table1[[#This Row],[Order_Date_New]])</f>
        <v>12</v>
      </c>
      <c r="T43" t="str">
        <f>TEXT(Table1[[#This Row],[Order_Date_New]],"mmmm")</f>
        <v>December</v>
      </c>
      <c r="U43">
        <f>Table1[[#This Row],[Profit]]/Table1[[#This Row],[Sales]]</f>
        <v>0.39262714642325824</v>
      </c>
      <c r="V43" t="str">
        <f>IF(Table1[[#This Row],[Discount]]=0,"No Discount",IF(Table1[[#This Row],[Discount]]&lt;=0.1,"Low",IF(Table1[[#This Row],[Discount]]&lt;=0.2,"medium","high")))</f>
        <v>No Discount</v>
      </c>
    </row>
    <row r="44" spans="1:22" x14ac:dyDescent="0.3">
      <c r="A44" t="s">
        <v>174</v>
      </c>
      <c r="B44" s="6">
        <v>45568</v>
      </c>
      <c r="C44" t="s">
        <v>175</v>
      </c>
      <c r="D44" t="s">
        <v>53</v>
      </c>
      <c r="E44" t="s">
        <v>54</v>
      </c>
      <c r="F44" t="s">
        <v>60</v>
      </c>
      <c r="G44" t="s">
        <v>98</v>
      </c>
      <c r="H44" t="s">
        <v>138</v>
      </c>
      <c r="I44">
        <v>420.83</v>
      </c>
      <c r="J44">
        <v>1</v>
      </c>
      <c r="K44">
        <v>0.15</v>
      </c>
      <c r="L44">
        <v>77.02</v>
      </c>
      <c r="M44" t="s">
        <v>133</v>
      </c>
      <c r="N44" t="s">
        <v>38</v>
      </c>
      <c r="O44" t="str">
        <f t="shared" si="0"/>
        <v>Bad</v>
      </c>
      <c r="P44">
        <f t="shared" si="1"/>
        <v>420.83</v>
      </c>
      <c r="Q44">
        <v>45568</v>
      </c>
      <c r="R44">
        <f>YEAR(Table1[[#This Row],[Order_Date_New]])</f>
        <v>2024</v>
      </c>
      <c r="S44">
        <f>MONTH(Table1[[#This Row],[Order_Date_New]])</f>
        <v>10</v>
      </c>
      <c r="T44" t="str">
        <f>TEXT(Table1[[#This Row],[Order_Date_New]],"mmmm")</f>
        <v>October</v>
      </c>
      <c r="U44">
        <f>Table1[[#This Row],[Profit]]/Table1[[#This Row],[Sales]]</f>
        <v>0.18301927143977378</v>
      </c>
      <c r="V44" t="str">
        <f>IF(Table1[[#This Row],[Discount]]=0,"No Discount",IF(Table1[[#This Row],[Discount]]&lt;=0.1,"Low",IF(Table1[[#This Row],[Discount]]&lt;=0.2,"medium","high")))</f>
        <v>medium</v>
      </c>
    </row>
    <row r="45" spans="1:22" x14ac:dyDescent="0.3">
      <c r="A45" t="s">
        <v>176</v>
      </c>
      <c r="B45" s="6">
        <v>45979</v>
      </c>
      <c r="C45" t="s">
        <v>177</v>
      </c>
      <c r="D45" t="s">
        <v>128</v>
      </c>
      <c r="E45" t="s">
        <v>129</v>
      </c>
      <c r="F45" t="s">
        <v>60</v>
      </c>
      <c r="G45" t="s">
        <v>78</v>
      </c>
      <c r="H45" t="s">
        <v>125</v>
      </c>
      <c r="I45">
        <v>1287.3</v>
      </c>
      <c r="J45">
        <v>2</v>
      </c>
      <c r="K45">
        <v>0.25</v>
      </c>
      <c r="L45">
        <v>128.31</v>
      </c>
      <c r="M45" t="s">
        <v>170</v>
      </c>
      <c r="N45" t="s">
        <v>38</v>
      </c>
      <c r="O45" t="str">
        <f t="shared" si="0"/>
        <v>Bad</v>
      </c>
      <c r="P45">
        <f t="shared" si="1"/>
        <v>643.65</v>
      </c>
      <c r="Q45">
        <v>45979</v>
      </c>
      <c r="R45">
        <f>YEAR(Table1[[#This Row],[Order_Date_New]])</f>
        <v>2025</v>
      </c>
      <c r="S45">
        <f>MONTH(Table1[[#This Row],[Order_Date_New]])</f>
        <v>11</v>
      </c>
      <c r="T45" t="str">
        <f>TEXT(Table1[[#This Row],[Order_Date_New]],"mmmm")</f>
        <v>November</v>
      </c>
      <c r="U45">
        <f>Table1[[#This Row],[Profit]]/Table1[[#This Row],[Sales]]</f>
        <v>9.9673735725938017E-2</v>
      </c>
      <c r="V45" t="str">
        <f>IF(Table1[[#This Row],[Discount]]=0,"No Discount",IF(Table1[[#This Row],[Discount]]&lt;=0.1,"Low",IF(Table1[[#This Row],[Discount]]&lt;=0.2,"medium","high")))</f>
        <v>high</v>
      </c>
    </row>
    <row r="46" spans="1:22" x14ac:dyDescent="0.3">
      <c r="A46" t="s">
        <v>178</v>
      </c>
      <c r="B46" s="6">
        <v>45468</v>
      </c>
      <c r="C46" t="s">
        <v>179</v>
      </c>
      <c r="D46" t="s">
        <v>53</v>
      </c>
      <c r="E46" t="s">
        <v>54</v>
      </c>
      <c r="F46" t="s">
        <v>72</v>
      </c>
      <c r="G46" t="s">
        <v>111</v>
      </c>
      <c r="H46" t="s">
        <v>112</v>
      </c>
      <c r="I46">
        <v>34.42</v>
      </c>
      <c r="J46">
        <v>1</v>
      </c>
      <c r="K46">
        <v>0</v>
      </c>
      <c r="L46">
        <v>2.4300000000000002</v>
      </c>
      <c r="M46" t="s">
        <v>170</v>
      </c>
      <c r="N46" t="s">
        <v>80</v>
      </c>
      <c r="O46" t="str">
        <f t="shared" si="0"/>
        <v>Bad</v>
      </c>
      <c r="P46">
        <f t="shared" si="1"/>
        <v>34.42</v>
      </c>
      <c r="Q46">
        <v>45468</v>
      </c>
      <c r="R46">
        <f>YEAR(Table1[[#This Row],[Order_Date_New]])</f>
        <v>2024</v>
      </c>
      <c r="S46">
        <f>MONTH(Table1[[#This Row],[Order_Date_New]])</f>
        <v>6</v>
      </c>
      <c r="T46" t="str">
        <f>TEXT(Table1[[#This Row],[Order_Date_New]],"mmmm")</f>
        <v>June</v>
      </c>
      <c r="U46">
        <f>Table1[[#This Row],[Profit]]/Table1[[#This Row],[Sales]]</f>
        <v>7.0598489250435797E-2</v>
      </c>
      <c r="V46" t="str">
        <f>IF(Table1[[#This Row],[Discount]]=0,"No Discount",IF(Table1[[#This Row],[Discount]]&lt;=0.1,"Low",IF(Table1[[#This Row],[Discount]]&lt;=0.2,"medium","high")))</f>
        <v>No Discount</v>
      </c>
    </row>
    <row r="47" spans="1:22" x14ac:dyDescent="0.3">
      <c r="A47" t="s">
        <v>180</v>
      </c>
      <c r="B47" s="6">
        <v>45355</v>
      </c>
      <c r="C47" t="s">
        <v>181</v>
      </c>
      <c r="D47" t="s">
        <v>33</v>
      </c>
      <c r="E47" t="s">
        <v>34</v>
      </c>
      <c r="F47" t="s">
        <v>72</v>
      </c>
      <c r="G47" t="s">
        <v>111</v>
      </c>
      <c r="H47" t="s">
        <v>182</v>
      </c>
      <c r="I47">
        <v>4291.29</v>
      </c>
      <c r="J47">
        <v>9</v>
      </c>
      <c r="K47">
        <v>0.3</v>
      </c>
      <c r="L47">
        <v>231.34</v>
      </c>
      <c r="M47" t="s">
        <v>113</v>
      </c>
      <c r="N47" t="s">
        <v>30</v>
      </c>
      <c r="O47" t="str">
        <f t="shared" si="0"/>
        <v>Bad</v>
      </c>
      <c r="P47">
        <f t="shared" si="1"/>
        <v>476.81</v>
      </c>
      <c r="Q47">
        <v>45355</v>
      </c>
      <c r="R47">
        <f>YEAR(Table1[[#This Row],[Order_Date_New]])</f>
        <v>2024</v>
      </c>
      <c r="S47">
        <f>MONTH(Table1[[#This Row],[Order_Date_New]])</f>
        <v>3</v>
      </c>
      <c r="T47" t="str">
        <f>TEXT(Table1[[#This Row],[Order_Date_New]],"mmmm")</f>
        <v>March</v>
      </c>
      <c r="U47">
        <f>Table1[[#This Row],[Profit]]/Table1[[#This Row],[Sales]]</f>
        <v>5.3909197467428213E-2</v>
      </c>
      <c r="V47" t="str">
        <f>IF(Table1[[#This Row],[Discount]]=0,"No Discount",IF(Table1[[#This Row],[Discount]]&lt;=0.1,"Low",IF(Table1[[#This Row],[Discount]]&lt;=0.2,"medium","high")))</f>
        <v>high</v>
      </c>
    </row>
    <row r="48" spans="1:22" x14ac:dyDescent="0.3">
      <c r="A48" t="s">
        <v>183</v>
      </c>
      <c r="B48" s="6">
        <v>45987</v>
      </c>
      <c r="C48" t="s">
        <v>184</v>
      </c>
      <c r="D48" t="s">
        <v>53</v>
      </c>
      <c r="E48" t="s">
        <v>54</v>
      </c>
      <c r="F48" t="s">
        <v>72</v>
      </c>
      <c r="G48" t="s">
        <v>88</v>
      </c>
      <c r="H48" t="s">
        <v>89</v>
      </c>
      <c r="I48">
        <v>9832.6</v>
      </c>
      <c r="J48">
        <v>10</v>
      </c>
      <c r="K48">
        <v>0.1</v>
      </c>
      <c r="L48">
        <v>-287.81</v>
      </c>
      <c r="M48" t="s">
        <v>68</v>
      </c>
      <c r="N48" t="s">
        <v>80</v>
      </c>
      <c r="O48" t="str">
        <f t="shared" si="0"/>
        <v>Good</v>
      </c>
      <c r="P48">
        <f t="shared" si="1"/>
        <v>983.26</v>
      </c>
      <c r="Q48">
        <v>45987</v>
      </c>
      <c r="R48">
        <f>YEAR(Table1[[#This Row],[Order_Date_New]])</f>
        <v>2025</v>
      </c>
      <c r="S48">
        <f>MONTH(Table1[[#This Row],[Order_Date_New]])</f>
        <v>11</v>
      </c>
      <c r="T48" t="str">
        <f>TEXT(Table1[[#This Row],[Order_Date_New]],"mmmm")</f>
        <v>November</v>
      </c>
      <c r="U48">
        <f>Table1[[#This Row],[Profit]]/Table1[[#This Row],[Sales]]</f>
        <v>-2.9270996481093506E-2</v>
      </c>
      <c r="V48" t="str">
        <f>IF(Table1[[#This Row],[Discount]]=0,"No Discount",IF(Table1[[#This Row],[Discount]]&lt;=0.1,"Low",IF(Table1[[#This Row],[Discount]]&lt;=0.2,"medium","high")))</f>
        <v>Low</v>
      </c>
    </row>
    <row r="49" spans="1:22" x14ac:dyDescent="0.3">
      <c r="A49" t="s">
        <v>185</v>
      </c>
      <c r="B49" s="6">
        <v>45886</v>
      </c>
      <c r="C49" t="s">
        <v>186</v>
      </c>
      <c r="D49" t="s">
        <v>128</v>
      </c>
      <c r="E49" t="s">
        <v>129</v>
      </c>
      <c r="F49" t="s">
        <v>60</v>
      </c>
      <c r="G49" t="s">
        <v>78</v>
      </c>
      <c r="H49" t="s">
        <v>79</v>
      </c>
      <c r="I49">
        <v>1748.01</v>
      </c>
      <c r="J49">
        <v>3</v>
      </c>
      <c r="K49">
        <v>0</v>
      </c>
      <c r="L49">
        <v>437.68</v>
      </c>
      <c r="M49" t="s">
        <v>37</v>
      </c>
      <c r="N49" t="s">
        <v>44</v>
      </c>
      <c r="O49" t="str">
        <f t="shared" si="0"/>
        <v>Bad</v>
      </c>
      <c r="P49">
        <f t="shared" si="1"/>
        <v>582.66999999999996</v>
      </c>
      <c r="Q49">
        <v>45886</v>
      </c>
      <c r="R49">
        <f>YEAR(Table1[[#This Row],[Order_Date_New]])</f>
        <v>2025</v>
      </c>
      <c r="S49">
        <f>MONTH(Table1[[#This Row],[Order_Date_New]])</f>
        <v>8</v>
      </c>
      <c r="T49" t="str">
        <f>TEXT(Table1[[#This Row],[Order_Date_New]],"mmmm")</f>
        <v>August</v>
      </c>
      <c r="U49">
        <f>Table1[[#This Row],[Profit]]/Table1[[#This Row],[Sales]]</f>
        <v>0.25038758359505953</v>
      </c>
      <c r="V49" t="str">
        <f>IF(Table1[[#This Row],[Discount]]=0,"No Discount",IF(Table1[[#This Row],[Discount]]&lt;=0.1,"Low",IF(Table1[[#This Row],[Discount]]&lt;=0.2,"medium","high")))</f>
        <v>No Discount</v>
      </c>
    </row>
    <row r="50" spans="1:22" x14ac:dyDescent="0.3">
      <c r="A50" t="s">
        <v>187</v>
      </c>
      <c r="B50" s="6">
        <v>45615</v>
      </c>
      <c r="C50" t="s">
        <v>188</v>
      </c>
      <c r="D50" t="s">
        <v>53</v>
      </c>
      <c r="E50" t="s">
        <v>77</v>
      </c>
      <c r="F50" t="s">
        <v>26</v>
      </c>
      <c r="G50" t="s">
        <v>41</v>
      </c>
      <c r="H50" t="s">
        <v>189</v>
      </c>
      <c r="I50">
        <v>3379.23</v>
      </c>
      <c r="J50">
        <v>3</v>
      </c>
      <c r="K50">
        <v>0.15</v>
      </c>
      <c r="L50">
        <v>254.75</v>
      </c>
      <c r="M50" t="s">
        <v>133</v>
      </c>
      <c r="N50" t="s">
        <v>44</v>
      </c>
      <c r="O50" t="str">
        <f t="shared" si="0"/>
        <v>Bad</v>
      </c>
      <c r="P50">
        <f t="shared" si="1"/>
        <v>1126.4100000000001</v>
      </c>
      <c r="Q50">
        <v>45615</v>
      </c>
      <c r="R50">
        <f>YEAR(Table1[[#This Row],[Order_Date_New]])</f>
        <v>2024</v>
      </c>
      <c r="S50">
        <f>MONTH(Table1[[#This Row],[Order_Date_New]])</f>
        <v>11</v>
      </c>
      <c r="T50" t="str">
        <f>TEXT(Table1[[#This Row],[Order_Date_New]],"mmmm")</f>
        <v>November</v>
      </c>
      <c r="U50">
        <f>Table1[[#This Row],[Profit]]/Table1[[#This Row],[Sales]]</f>
        <v>7.5386996445935911E-2</v>
      </c>
      <c r="V50" t="str">
        <f>IF(Table1[[#This Row],[Discount]]=0,"No Discount",IF(Table1[[#This Row],[Discount]]&lt;=0.1,"Low",IF(Table1[[#This Row],[Discount]]&lt;=0.2,"medium","high")))</f>
        <v>medium</v>
      </c>
    </row>
    <row r="51" spans="1:22" x14ac:dyDescent="0.3">
      <c r="A51" t="s">
        <v>190</v>
      </c>
      <c r="B51" s="6">
        <v>45791</v>
      </c>
      <c r="C51" t="s">
        <v>191</v>
      </c>
      <c r="D51" t="s">
        <v>128</v>
      </c>
      <c r="E51" t="s">
        <v>146</v>
      </c>
      <c r="F51" t="s">
        <v>60</v>
      </c>
      <c r="G51" t="s">
        <v>98</v>
      </c>
      <c r="H51" t="s">
        <v>99</v>
      </c>
      <c r="I51">
        <v>144.11000000000001</v>
      </c>
      <c r="J51">
        <v>1</v>
      </c>
      <c r="K51">
        <v>0.15</v>
      </c>
      <c r="L51">
        <v>12.24</v>
      </c>
      <c r="M51" t="s">
        <v>133</v>
      </c>
      <c r="N51" t="s">
        <v>80</v>
      </c>
      <c r="O51" t="str">
        <f t="shared" si="0"/>
        <v>Bad</v>
      </c>
      <c r="P51">
        <f t="shared" si="1"/>
        <v>144.11000000000001</v>
      </c>
      <c r="Q51">
        <v>45791</v>
      </c>
      <c r="R51">
        <f>YEAR(Table1[[#This Row],[Order_Date_New]])</f>
        <v>2025</v>
      </c>
      <c r="S51">
        <f>MONTH(Table1[[#This Row],[Order_Date_New]])</f>
        <v>5</v>
      </c>
      <c r="T51" t="str">
        <f>TEXT(Table1[[#This Row],[Order_Date_New]],"mmmm")</f>
        <v>May</v>
      </c>
      <c r="U51">
        <f>Table1[[#This Row],[Profit]]/Table1[[#This Row],[Sales]]</f>
        <v>8.4935119006314619E-2</v>
      </c>
      <c r="V51" t="str">
        <f>IF(Table1[[#This Row],[Discount]]=0,"No Discount",IF(Table1[[#This Row],[Discount]]&lt;=0.1,"Low",IF(Table1[[#This Row],[Discount]]&lt;=0.2,"medium","high")))</f>
        <v>medium</v>
      </c>
    </row>
    <row r="52" spans="1:22" x14ac:dyDescent="0.3">
      <c r="A52" t="s">
        <v>192</v>
      </c>
      <c r="B52" s="6">
        <v>45963</v>
      </c>
      <c r="C52" t="s">
        <v>193</v>
      </c>
      <c r="D52" t="s">
        <v>53</v>
      </c>
      <c r="E52" t="s">
        <v>54</v>
      </c>
      <c r="F52" t="s">
        <v>60</v>
      </c>
      <c r="G52" t="s">
        <v>61</v>
      </c>
      <c r="H52" t="s">
        <v>62</v>
      </c>
      <c r="I52">
        <v>211.6</v>
      </c>
      <c r="J52">
        <v>4</v>
      </c>
      <c r="K52">
        <v>0.25</v>
      </c>
      <c r="L52">
        <v>21.45</v>
      </c>
      <c r="M52" t="s">
        <v>113</v>
      </c>
      <c r="N52" t="s">
        <v>44</v>
      </c>
      <c r="O52" t="str">
        <f t="shared" si="0"/>
        <v>Bad</v>
      </c>
      <c r="P52">
        <f t="shared" si="1"/>
        <v>52.9</v>
      </c>
      <c r="Q52">
        <v>45963</v>
      </c>
      <c r="R52">
        <f>YEAR(Table1[[#This Row],[Order_Date_New]])</f>
        <v>2025</v>
      </c>
      <c r="S52">
        <f>MONTH(Table1[[#This Row],[Order_Date_New]])</f>
        <v>11</v>
      </c>
      <c r="T52" t="str">
        <f>TEXT(Table1[[#This Row],[Order_Date_New]],"mmmm")</f>
        <v>November</v>
      </c>
      <c r="U52">
        <f>Table1[[#This Row],[Profit]]/Table1[[#This Row],[Sales]]</f>
        <v>0.10137051039697542</v>
      </c>
      <c r="V52" t="str">
        <f>IF(Table1[[#This Row],[Discount]]=0,"No Discount",IF(Table1[[#This Row],[Discount]]&lt;=0.1,"Low",IF(Table1[[#This Row],[Discount]]&lt;=0.2,"medium","high")))</f>
        <v>high</v>
      </c>
    </row>
    <row r="53" spans="1:22" x14ac:dyDescent="0.3">
      <c r="A53" t="s">
        <v>194</v>
      </c>
      <c r="B53" s="6">
        <v>45744</v>
      </c>
      <c r="C53" t="s">
        <v>156</v>
      </c>
      <c r="D53" t="s">
        <v>53</v>
      </c>
      <c r="E53" t="s">
        <v>87</v>
      </c>
      <c r="F53" t="s">
        <v>26</v>
      </c>
      <c r="G53" t="s">
        <v>41</v>
      </c>
      <c r="H53" t="s">
        <v>42</v>
      </c>
      <c r="I53">
        <v>2255.5</v>
      </c>
      <c r="J53">
        <v>2</v>
      </c>
      <c r="K53">
        <v>0.25</v>
      </c>
      <c r="L53">
        <v>161.21</v>
      </c>
      <c r="M53" t="s">
        <v>43</v>
      </c>
      <c r="N53" t="s">
        <v>30</v>
      </c>
      <c r="O53" t="str">
        <f t="shared" si="0"/>
        <v>Bad</v>
      </c>
      <c r="P53">
        <f t="shared" si="1"/>
        <v>1127.75</v>
      </c>
      <c r="Q53">
        <v>45744</v>
      </c>
      <c r="R53">
        <f>YEAR(Table1[[#This Row],[Order_Date_New]])</f>
        <v>2025</v>
      </c>
      <c r="S53">
        <f>MONTH(Table1[[#This Row],[Order_Date_New]])</f>
        <v>3</v>
      </c>
      <c r="T53" t="str">
        <f>TEXT(Table1[[#This Row],[Order_Date_New]],"mmmm")</f>
        <v>March</v>
      </c>
      <c r="U53">
        <f>Table1[[#This Row],[Profit]]/Table1[[#This Row],[Sales]]</f>
        <v>7.1474174240744856E-2</v>
      </c>
      <c r="V53" t="str">
        <f>IF(Table1[[#This Row],[Discount]]=0,"No Discount",IF(Table1[[#This Row],[Discount]]&lt;=0.1,"Low",IF(Table1[[#This Row],[Discount]]&lt;=0.2,"medium","high")))</f>
        <v>high</v>
      </c>
    </row>
    <row r="54" spans="1:22" x14ac:dyDescent="0.3">
      <c r="A54" t="s">
        <v>195</v>
      </c>
      <c r="B54" s="6">
        <v>45540</v>
      </c>
      <c r="C54" t="s">
        <v>169</v>
      </c>
      <c r="D54" t="s">
        <v>24</v>
      </c>
      <c r="E54" t="s">
        <v>84</v>
      </c>
      <c r="F54" t="s">
        <v>60</v>
      </c>
      <c r="G54" t="s">
        <v>98</v>
      </c>
      <c r="H54" t="s">
        <v>141</v>
      </c>
      <c r="I54">
        <v>6092.17</v>
      </c>
      <c r="J54">
        <v>7</v>
      </c>
      <c r="K54">
        <v>0.2</v>
      </c>
      <c r="L54">
        <v>-501.55</v>
      </c>
      <c r="M54" t="s">
        <v>133</v>
      </c>
      <c r="N54" t="s">
        <v>44</v>
      </c>
      <c r="O54" t="str">
        <f t="shared" si="0"/>
        <v>Bad</v>
      </c>
      <c r="P54">
        <f t="shared" si="1"/>
        <v>870.31000000000006</v>
      </c>
      <c r="Q54">
        <v>45540</v>
      </c>
      <c r="R54">
        <f>YEAR(Table1[[#This Row],[Order_Date_New]])</f>
        <v>2024</v>
      </c>
      <c r="S54">
        <f>MONTH(Table1[[#This Row],[Order_Date_New]])</f>
        <v>9</v>
      </c>
      <c r="T54" t="str">
        <f>TEXT(Table1[[#This Row],[Order_Date_New]],"mmmm")</f>
        <v>September</v>
      </c>
      <c r="U54">
        <f>Table1[[#This Row],[Profit]]/Table1[[#This Row],[Sales]]</f>
        <v>-8.2326986935689586E-2</v>
      </c>
      <c r="V54" t="str">
        <f>IF(Table1[[#This Row],[Discount]]=0,"No Discount",IF(Table1[[#This Row],[Discount]]&lt;=0.1,"Low",IF(Table1[[#This Row],[Discount]]&lt;=0.2,"medium","high")))</f>
        <v>medium</v>
      </c>
    </row>
    <row r="55" spans="1:22" x14ac:dyDescent="0.3">
      <c r="A55" t="s">
        <v>196</v>
      </c>
      <c r="B55" s="6">
        <v>45718</v>
      </c>
      <c r="C55" t="s">
        <v>197</v>
      </c>
      <c r="D55" t="s">
        <v>24</v>
      </c>
      <c r="E55" t="s">
        <v>59</v>
      </c>
      <c r="F55" t="s">
        <v>60</v>
      </c>
      <c r="G55" t="s">
        <v>78</v>
      </c>
      <c r="H55" t="s">
        <v>79</v>
      </c>
      <c r="I55">
        <v>6303.06</v>
      </c>
      <c r="J55">
        <v>9</v>
      </c>
      <c r="K55">
        <v>0.15</v>
      </c>
      <c r="L55">
        <v>-535.28</v>
      </c>
      <c r="M55" t="s">
        <v>43</v>
      </c>
      <c r="N55" t="s">
        <v>44</v>
      </c>
      <c r="O55" t="str">
        <f t="shared" si="0"/>
        <v>Good</v>
      </c>
      <c r="P55">
        <f t="shared" si="1"/>
        <v>700.34</v>
      </c>
      <c r="Q55">
        <v>45718</v>
      </c>
      <c r="R55">
        <f>YEAR(Table1[[#This Row],[Order_Date_New]])</f>
        <v>2025</v>
      </c>
      <c r="S55">
        <f>MONTH(Table1[[#This Row],[Order_Date_New]])</f>
        <v>3</v>
      </c>
      <c r="T55" t="str">
        <f>TEXT(Table1[[#This Row],[Order_Date_New]],"mmmm")</f>
        <v>March</v>
      </c>
      <c r="U55">
        <f>Table1[[#This Row],[Profit]]/Table1[[#This Row],[Sales]]</f>
        <v>-8.4923830647336357E-2</v>
      </c>
      <c r="V55" t="str">
        <f>IF(Table1[[#This Row],[Discount]]=0,"No Discount",IF(Table1[[#This Row],[Discount]]&lt;=0.1,"Low",IF(Table1[[#This Row],[Discount]]&lt;=0.2,"medium","high")))</f>
        <v>medium</v>
      </c>
    </row>
    <row r="56" spans="1:22" x14ac:dyDescent="0.3">
      <c r="A56" t="s">
        <v>198</v>
      </c>
      <c r="B56" s="6">
        <v>45761</v>
      </c>
      <c r="C56" t="s">
        <v>199</v>
      </c>
      <c r="D56" t="s">
        <v>33</v>
      </c>
      <c r="E56" t="s">
        <v>118</v>
      </c>
      <c r="F56" t="s">
        <v>26</v>
      </c>
      <c r="G56" t="s">
        <v>27</v>
      </c>
      <c r="H56" t="s">
        <v>200</v>
      </c>
      <c r="I56">
        <v>4241.28</v>
      </c>
      <c r="J56">
        <v>4</v>
      </c>
      <c r="K56">
        <v>0.1</v>
      </c>
      <c r="L56">
        <v>-99.53</v>
      </c>
      <c r="M56" t="s">
        <v>29</v>
      </c>
      <c r="N56" t="s">
        <v>38</v>
      </c>
      <c r="O56" t="str">
        <f t="shared" si="0"/>
        <v>Bad</v>
      </c>
      <c r="P56">
        <f t="shared" si="1"/>
        <v>1060.32</v>
      </c>
      <c r="Q56">
        <v>45761</v>
      </c>
      <c r="R56">
        <f>YEAR(Table1[[#This Row],[Order_Date_New]])</f>
        <v>2025</v>
      </c>
      <c r="S56">
        <f>MONTH(Table1[[#This Row],[Order_Date_New]])</f>
        <v>4</v>
      </c>
      <c r="T56" t="str">
        <f>TEXT(Table1[[#This Row],[Order_Date_New]],"mmmm")</f>
        <v>April</v>
      </c>
      <c r="U56">
        <f>Table1[[#This Row],[Profit]]/Table1[[#This Row],[Sales]]</f>
        <v>-2.3466972234797046E-2</v>
      </c>
      <c r="V56" t="str">
        <f>IF(Table1[[#This Row],[Discount]]=0,"No Discount",IF(Table1[[#This Row],[Discount]]&lt;=0.1,"Low",IF(Table1[[#This Row],[Discount]]&lt;=0.2,"medium","high")))</f>
        <v>Low</v>
      </c>
    </row>
    <row r="57" spans="1:22" x14ac:dyDescent="0.3">
      <c r="A57" t="s">
        <v>201</v>
      </c>
      <c r="B57" s="6">
        <v>45859</v>
      </c>
      <c r="C57" t="s">
        <v>86</v>
      </c>
      <c r="D57" t="s">
        <v>128</v>
      </c>
      <c r="E57" t="s">
        <v>202</v>
      </c>
      <c r="F57" t="s">
        <v>60</v>
      </c>
      <c r="G57" t="s">
        <v>61</v>
      </c>
      <c r="H57" t="s">
        <v>122</v>
      </c>
      <c r="I57">
        <v>4413.8999999999996</v>
      </c>
      <c r="J57">
        <v>5</v>
      </c>
      <c r="K57">
        <v>0.1</v>
      </c>
      <c r="L57">
        <v>1054.78</v>
      </c>
      <c r="M57" t="s">
        <v>90</v>
      </c>
      <c r="N57" t="s">
        <v>38</v>
      </c>
      <c r="O57" t="str">
        <f t="shared" si="0"/>
        <v>Bad</v>
      </c>
      <c r="P57">
        <f t="shared" si="1"/>
        <v>882.78</v>
      </c>
      <c r="Q57">
        <v>45859</v>
      </c>
      <c r="R57">
        <f>YEAR(Table1[[#This Row],[Order_Date_New]])</f>
        <v>2025</v>
      </c>
      <c r="S57">
        <f>MONTH(Table1[[#This Row],[Order_Date_New]])</f>
        <v>7</v>
      </c>
      <c r="T57" t="str">
        <f>TEXT(Table1[[#This Row],[Order_Date_New]],"mmmm")</f>
        <v>July</v>
      </c>
      <c r="U57">
        <f>Table1[[#This Row],[Profit]]/Table1[[#This Row],[Sales]]</f>
        <v>0.23896780624844244</v>
      </c>
      <c r="V57" t="str">
        <f>IF(Table1[[#This Row],[Discount]]=0,"No Discount",IF(Table1[[#This Row],[Discount]]&lt;=0.1,"Low",IF(Table1[[#This Row],[Discount]]&lt;=0.2,"medium","high")))</f>
        <v>Low</v>
      </c>
    </row>
    <row r="58" spans="1:22" x14ac:dyDescent="0.3">
      <c r="A58" t="s">
        <v>203</v>
      </c>
      <c r="B58" s="6">
        <v>45741</v>
      </c>
      <c r="C58" t="s">
        <v>101</v>
      </c>
      <c r="D58" t="s">
        <v>53</v>
      </c>
      <c r="E58" t="s">
        <v>87</v>
      </c>
      <c r="F58" t="s">
        <v>26</v>
      </c>
      <c r="G58" t="s">
        <v>41</v>
      </c>
      <c r="H58" t="s">
        <v>108</v>
      </c>
      <c r="I58">
        <v>631.05999999999995</v>
      </c>
      <c r="J58">
        <v>2</v>
      </c>
      <c r="K58">
        <v>0.2</v>
      </c>
      <c r="L58">
        <v>33.47</v>
      </c>
      <c r="M58" t="s">
        <v>113</v>
      </c>
      <c r="N58" t="s">
        <v>38</v>
      </c>
      <c r="O58" t="str">
        <f t="shared" si="0"/>
        <v>Bad</v>
      </c>
      <c r="P58">
        <f t="shared" si="1"/>
        <v>315.52999999999997</v>
      </c>
      <c r="Q58">
        <v>45741</v>
      </c>
      <c r="R58">
        <f>YEAR(Table1[[#This Row],[Order_Date_New]])</f>
        <v>2025</v>
      </c>
      <c r="S58">
        <f>MONTH(Table1[[#This Row],[Order_Date_New]])</f>
        <v>3</v>
      </c>
      <c r="T58" t="str">
        <f>TEXT(Table1[[#This Row],[Order_Date_New]],"mmmm")</f>
        <v>March</v>
      </c>
      <c r="U58">
        <f>Table1[[#This Row],[Profit]]/Table1[[#This Row],[Sales]]</f>
        <v>5.3037746014642034E-2</v>
      </c>
      <c r="V58" t="str">
        <f>IF(Table1[[#This Row],[Discount]]=0,"No Discount",IF(Table1[[#This Row],[Discount]]&lt;=0.1,"Low",IF(Table1[[#This Row],[Discount]]&lt;=0.2,"medium","high")))</f>
        <v>medium</v>
      </c>
    </row>
    <row r="59" spans="1:22" x14ac:dyDescent="0.3">
      <c r="A59" t="s">
        <v>204</v>
      </c>
      <c r="B59" s="6">
        <v>45890</v>
      </c>
      <c r="C59" t="s">
        <v>104</v>
      </c>
      <c r="D59" t="s">
        <v>33</v>
      </c>
      <c r="E59" t="s">
        <v>34</v>
      </c>
      <c r="F59" t="s">
        <v>60</v>
      </c>
      <c r="G59" t="s">
        <v>98</v>
      </c>
      <c r="H59" t="s">
        <v>138</v>
      </c>
      <c r="I59">
        <v>3151.8</v>
      </c>
      <c r="J59">
        <v>3</v>
      </c>
      <c r="K59">
        <v>0.15</v>
      </c>
      <c r="L59">
        <v>-313.58999999999997</v>
      </c>
      <c r="M59" t="s">
        <v>43</v>
      </c>
      <c r="N59" t="s">
        <v>44</v>
      </c>
      <c r="O59" t="str">
        <f t="shared" si="0"/>
        <v>Bad</v>
      </c>
      <c r="P59">
        <f t="shared" si="1"/>
        <v>1050.6000000000001</v>
      </c>
      <c r="Q59">
        <v>45890</v>
      </c>
      <c r="R59">
        <f>YEAR(Table1[[#This Row],[Order_Date_New]])</f>
        <v>2025</v>
      </c>
      <c r="S59">
        <f>MONTH(Table1[[#This Row],[Order_Date_New]])</f>
        <v>8</v>
      </c>
      <c r="T59" t="str">
        <f>TEXT(Table1[[#This Row],[Order_Date_New]],"mmmm")</f>
        <v>August</v>
      </c>
      <c r="U59">
        <f>Table1[[#This Row],[Profit]]/Table1[[#This Row],[Sales]]</f>
        <v>-9.9495526365886142E-2</v>
      </c>
      <c r="V59" t="str">
        <f>IF(Table1[[#This Row],[Discount]]=0,"No Discount",IF(Table1[[#This Row],[Discount]]&lt;=0.1,"Low",IF(Table1[[#This Row],[Discount]]&lt;=0.2,"medium","high")))</f>
        <v>medium</v>
      </c>
    </row>
    <row r="60" spans="1:22" x14ac:dyDescent="0.3">
      <c r="A60" t="s">
        <v>205</v>
      </c>
      <c r="B60" s="6">
        <v>45806</v>
      </c>
      <c r="C60" t="s">
        <v>206</v>
      </c>
      <c r="D60" t="s">
        <v>128</v>
      </c>
      <c r="E60" t="s">
        <v>132</v>
      </c>
      <c r="F60" t="s">
        <v>60</v>
      </c>
      <c r="G60" t="s">
        <v>98</v>
      </c>
      <c r="H60" t="s">
        <v>141</v>
      </c>
      <c r="I60">
        <v>481.87</v>
      </c>
      <c r="J60">
        <v>1</v>
      </c>
      <c r="K60">
        <v>0</v>
      </c>
      <c r="L60">
        <v>68.03</v>
      </c>
      <c r="M60" t="s">
        <v>68</v>
      </c>
      <c r="N60" t="s">
        <v>30</v>
      </c>
      <c r="O60" t="str">
        <f t="shared" si="0"/>
        <v>Bad</v>
      </c>
      <c r="P60">
        <f t="shared" si="1"/>
        <v>481.87</v>
      </c>
      <c r="Q60">
        <v>45806</v>
      </c>
      <c r="R60">
        <f>YEAR(Table1[[#This Row],[Order_Date_New]])</f>
        <v>2025</v>
      </c>
      <c r="S60">
        <f>MONTH(Table1[[#This Row],[Order_Date_New]])</f>
        <v>5</v>
      </c>
      <c r="T60" t="str">
        <f>TEXT(Table1[[#This Row],[Order_Date_New]],"mmmm")</f>
        <v>May</v>
      </c>
      <c r="U60">
        <f>Table1[[#This Row],[Profit]]/Table1[[#This Row],[Sales]]</f>
        <v>0.14117915620395544</v>
      </c>
      <c r="V60" t="str">
        <f>IF(Table1[[#This Row],[Discount]]=0,"No Discount",IF(Table1[[#This Row],[Discount]]&lt;=0.1,"Low",IF(Table1[[#This Row],[Discount]]&lt;=0.2,"medium","high")))</f>
        <v>No Discount</v>
      </c>
    </row>
    <row r="61" spans="1:22" x14ac:dyDescent="0.3">
      <c r="A61" t="s">
        <v>207</v>
      </c>
      <c r="B61" s="6">
        <v>45388</v>
      </c>
      <c r="C61" t="s">
        <v>208</v>
      </c>
      <c r="D61" t="s">
        <v>33</v>
      </c>
      <c r="E61" t="s">
        <v>66</v>
      </c>
      <c r="F61" t="s">
        <v>72</v>
      </c>
      <c r="G61" t="s">
        <v>88</v>
      </c>
      <c r="H61" t="s">
        <v>209</v>
      </c>
      <c r="I61">
        <v>227.48</v>
      </c>
      <c r="J61">
        <v>4</v>
      </c>
      <c r="K61">
        <v>0</v>
      </c>
      <c r="L61">
        <v>26.5</v>
      </c>
      <c r="M61" t="s">
        <v>29</v>
      </c>
      <c r="N61" t="s">
        <v>38</v>
      </c>
      <c r="O61" t="str">
        <f t="shared" si="0"/>
        <v>Bad</v>
      </c>
      <c r="P61">
        <f t="shared" si="1"/>
        <v>56.87</v>
      </c>
      <c r="Q61">
        <v>45388</v>
      </c>
      <c r="R61">
        <f>YEAR(Table1[[#This Row],[Order_Date_New]])</f>
        <v>2024</v>
      </c>
      <c r="S61">
        <f>MONTH(Table1[[#This Row],[Order_Date_New]])</f>
        <v>4</v>
      </c>
      <c r="T61" t="str">
        <f>TEXT(Table1[[#This Row],[Order_Date_New]],"mmmm")</f>
        <v>April</v>
      </c>
      <c r="U61">
        <f>Table1[[#This Row],[Profit]]/Table1[[#This Row],[Sales]]</f>
        <v>0.11649375769298401</v>
      </c>
      <c r="V61" t="str">
        <f>IF(Table1[[#This Row],[Discount]]=0,"No Discount",IF(Table1[[#This Row],[Discount]]&lt;=0.1,"Low",IF(Table1[[#This Row],[Discount]]&lt;=0.2,"medium","high")))</f>
        <v>No Discount</v>
      </c>
    </row>
    <row r="62" spans="1:22" x14ac:dyDescent="0.3">
      <c r="A62" t="s">
        <v>210</v>
      </c>
      <c r="B62" s="6">
        <v>45411</v>
      </c>
      <c r="C62" t="s">
        <v>211</v>
      </c>
      <c r="D62" t="s">
        <v>53</v>
      </c>
      <c r="E62" t="s">
        <v>77</v>
      </c>
      <c r="F62" t="s">
        <v>26</v>
      </c>
      <c r="G62" t="s">
        <v>41</v>
      </c>
      <c r="H62" t="s">
        <v>42</v>
      </c>
      <c r="I62">
        <v>393.15</v>
      </c>
      <c r="J62">
        <v>1</v>
      </c>
      <c r="K62">
        <v>0.25</v>
      </c>
      <c r="L62">
        <v>65.510000000000005</v>
      </c>
      <c r="M62" t="s">
        <v>105</v>
      </c>
      <c r="N62" t="s">
        <v>38</v>
      </c>
      <c r="O62" t="str">
        <f t="shared" si="0"/>
        <v>Bad</v>
      </c>
      <c r="P62">
        <f t="shared" si="1"/>
        <v>393.15</v>
      </c>
      <c r="Q62">
        <v>45411</v>
      </c>
      <c r="R62">
        <f>YEAR(Table1[[#This Row],[Order_Date_New]])</f>
        <v>2024</v>
      </c>
      <c r="S62">
        <f>MONTH(Table1[[#This Row],[Order_Date_New]])</f>
        <v>4</v>
      </c>
      <c r="T62" t="str">
        <f>TEXT(Table1[[#This Row],[Order_Date_New]],"mmmm")</f>
        <v>April</v>
      </c>
      <c r="U62">
        <f>Table1[[#This Row],[Profit]]/Table1[[#This Row],[Sales]]</f>
        <v>0.16662851329009287</v>
      </c>
      <c r="V62" t="str">
        <f>IF(Table1[[#This Row],[Discount]]=0,"No Discount",IF(Table1[[#This Row],[Discount]]&lt;=0.1,"Low",IF(Table1[[#This Row],[Discount]]&lt;=0.2,"medium","high")))</f>
        <v>high</v>
      </c>
    </row>
    <row r="63" spans="1:22" x14ac:dyDescent="0.3">
      <c r="A63" t="s">
        <v>212</v>
      </c>
      <c r="B63" s="6">
        <v>45546</v>
      </c>
      <c r="C63" t="s">
        <v>213</v>
      </c>
      <c r="D63" t="s">
        <v>53</v>
      </c>
      <c r="E63" t="s">
        <v>77</v>
      </c>
      <c r="F63" t="s">
        <v>26</v>
      </c>
      <c r="G63" t="s">
        <v>41</v>
      </c>
      <c r="H63" t="s">
        <v>42</v>
      </c>
      <c r="I63">
        <v>6072.3</v>
      </c>
      <c r="J63">
        <v>6</v>
      </c>
      <c r="K63">
        <v>0.05</v>
      </c>
      <c r="L63">
        <v>1513.48</v>
      </c>
      <c r="M63" t="s">
        <v>133</v>
      </c>
      <c r="N63" t="s">
        <v>80</v>
      </c>
      <c r="O63" t="str">
        <f t="shared" si="0"/>
        <v>Bad</v>
      </c>
      <c r="P63">
        <f t="shared" si="1"/>
        <v>1012.0500000000001</v>
      </c>
      <c r="Q63">
        <v>45546</v>
      </c>
      <c r="R63">
        <f>YEAR(Table1[[#This Row],[Order_Date_New]])</f>
        <v>2024</v>
      </c>
      <c r="S63">
        <f>MONTH(Table1[[#This Row],[Order_Date_New]])</f>
        <v>9</v>
      </c>
      <c r="T63" t="str">
        <f>TEXT(Table1[[#This Row],[Order_Date_New]],"mmmm")</f>
        <v>September</v>
      </c>
      <c r="U63">
        <f>Table1[[#This Row],[Profit]]/Table1[[#This Row],[Sales]]</f>
        <v>0.24924328508143537</v>
      </c>
      <c r="V63" t="str">
        <f>IF(Table1[[#This Row],[Discount]]=0,"No Discount",IF(Table1[[#This Row],[Discount]]&lt;=0.1,"Low",IF(Table1[[#This Row],[Discount]]&lt;=0.2,"medium","high")))</f>
        <v>Low</v>
      </c>
    </row>
    <row r="64" spans="1:22" x14ac:dyDescent="0.3">
      <c r="A64" t="s">
        <v>214</v>
      </c>
      <c r="B64" s="6">
        <v>45337</v>
      </c>
      <c r="C64" t="s">
        <v>215</v>
      </c>
      <c r="D64" t="s">
        <v>24</v>
      </c>
      <c r="E64" t="s">
        <v>84</v>
      </c>
      <c r="F64" t="s">
        <v>72</v>
      </c>
      <c r="G64" t="s">
        <v>88</v>
      </c>
      <c r="H64" t="s">
        <v>209</v>
      </c>
      <c r="I64">
        <v>4085.88</v>
      </c>
      <c r="J64">
        <v>4</v>
      </c>
      <c r="K64">
        <v>0.25</v>
      </c>
      <c r="L64">
        <v>-435.9</v>
      </c>
      <c r="M64" t="s">
        <v>29</v>
      </c>
      <c r="N64" t="s">
        <v>80</v>
      </c>
      <c r="O64" t="str">
        <f t="shared" si="0"/>
        <v>Bad</v>
      </c>
      <c r="P64">
        <f t="shared" si="1"/>
        <v>1021.47</v>
      </c>
      <c r="Q64">
        <v>45337</v>
      </c>
      <c r="R64">
        <f>YEAR(Table1[[#This Row],[Order_Date_New]])</f>
        <v>2024</v>
      </c>
      <c r="S64">
        <f>MONTH(Table1[[#This Row],[Order_Date_New]])</f>
        <v>2</v>
      </c>
      <c r="T64" t="str">
        <f>TEXT(Table1[[#This Row],[Order_Date_New]],"mmmm")</f>
        <v>February</v>
      </c>
      <c r="U64">
        <f>Table1[[#This Row],[Profit]]/Table1[[#This Row],[Sales]]</f>
        <v>-0.10668448412581867</v>
      </c>
      <c r="V64" t="str">
        <f>IF(Table1[[#This Row],[Discount]]=0,"No Discount",IF(Table1[[#This Row],[Discount]]&lt;=0.1,"Low",IF(Table1[[#This Row],[Discount]]&lt;=0.2,"medium","high")))</f>
        <v>high</v>
      </c>
    </row>
    <row r="65" spans="1:22" x14ac:dyDescent="0.3">
      <c r="A65" t="s">
        <v>216</v>
      </c>
      <c r="B65" s="6">
        <v>45694</v>
      </c>
      <c r="C65" t="s">
        <v>217</v>
      </c>
      <c r="D65" t="s">
        <v>128</v>
      </c>
      <c r="E65" t="s">
        <v>202</v>
      </c>
      <c r="F65" t="s">
        <v>60</v>
      </c>
      <c r="G65" t="s">
        <v>98</v>
      </c>
      <c r="H65" t="s">
        <v>99</v>
      </c>
      <c r="I65">
        <v>1820.8</v>
      </c>
      <c r="J65">
        <v>2</v>
      </c>
      <c r="K65">
        <v>0.05</v>
      </c>
      <c r="L65">
        <v>538.82000000000005</v>
      </c>
      <c r="M65" t="s">
        <v>43</v>
      </c>
      <c r="N65" t="s">
        <v>38</v>
      </c>
      <c r="O65" t="str">
        <f t="shared" si="0"/>
        <v>Bad</v>
      </c>
      <c r="P65">
        <f t="shared" si="1"/>
        <v>910.4</v>
      </c>
      <c r="Q65">
        <v>45694</v>
      </c>
      <c r="R65">
        <f>YEAR(Table1[[#This Row],[Order_Date_New]])</f>
        <v>2025</v>
      </c>
      <c r="S65">
        <f>MONTH(Table1[[#This Row],[Order_Date_New]])</f>
        <v>2</v>
      </c>
      <c r="T65" t="str">
        <f>TEXT(Table1[[#This Row],[Order_Date_New]],"mmmm")</f>
        <v>February</v>
      </c>
      <c r="U65">
        <f>Table1[[#This Row],[Profit]]/Table1[[#This Row],[Sales]]</f>
        <v>0.29592486818980673</v>
      </c>
      <c r="V65" t="str">
        <f>IF(Table1[[#This Row],[Discount]]=0,"No Discount",IF(Table1[[#This Row],[Discount]]&lt;=0.1,"Low",IF(Table1[[#This Row],[Discount]]&lt;=0.2,"medium","high")))</f>
        <v>Low</v>
      </c>
    </row>
    <row r="66" spans="1:22" x14ac:dyDescent="0.3">
      <c r="A66" t="s">
        <v>218</v>
      </c>
      <c r="B66" s="6">
        <v>45569</v>
      </c>
      <c r="C66" t="s">
        <v>219</v>
      </c>
      <c r="D66" t="s">
        <v>128</v>
      </c>
      <c r="E66" t="s">
        <v>146</v>
      </c>
      <c r="F66" t="s">
        <v>60</v>
      </c>
      <c r="G66" t="s">
        <v>61</v>
      </c>
      <c r="H66" t="s">
        <v>62</v>
      </c>
      <c r="I66">
        <v>200.08</v>
      </c>
      <c r="J66">
        <v>1</v>
      </c>
      <c r="K66">
        <v>0.05</v>
      </c>
      <c r="L66">
        <v>36.46</v>
      </c>
      <c r="M66" t="s">
        <v>105</v>
      </c>
      <c r="N66" t="s">
        <v>44</v>
      </c>
      <c r="O66" t="str">
        <f t="shared" ref="O66:O129" si="2">IF(AND(I66&gt;5000,J66&gt;7),"Good","Bad")</f>
        <v>Bad</v>
      </c>
      <c r="P66">
        <f t="shared" ref="P66:P129" si="3">I66/J66</f>
        <v>200.08</v>
      </c>
      <c r="Q66">
        <v>45569</v>
      </c>
      <c r="R66">
        <f>YEAR(Table1[[#This Row],[Order_Date_New]])</f>
        <v>2024</v>
      </c>
      <c r="S66">
        <f>MONTH(Table1[[#This Row],[Order_Date_New]])</f>
        <v>10</v>
      </c>
      <c r="T66" t="str">
        <f>TEXT(Table1[[#This Row],[Order_Date_New]],"mmmm")</f>
        <v>October</v>
      </c>
      <c r="U66">
        <f>Table1[[#This Row],[Profit]]/Table1[[#This Row],[Sales]]</f>
        <v>0.18222710915633747</v>
      </c>
      <c r="V66" t="str">
        <f>IF(Table1[[#This Row],[Discount]]=0,"No Discount",IF(Table1[[#This Row],[Discount]]&lt;=0.1,"Low",IF(Table1[[#This Row],[Discount]]&lt;=0.2,"medium","high")))</f>
        <v>Low</v>
      </c>
    </row>
    <row r="67" spans="1:22" x14ac:dyDescent="0.3">
      <c r="A67" t="s">
        <v>220</v>
      </c>
      <c r="B67" s="6">
        <v>45706</v>
      </c>
      <c r="C67" t="s">
        <v>221</v>
      </c>
      <c r="D67" t="s">
        <v>128</v>
      </c>
      <c r="E67" t="s">
        <v>132</v>
      </c>
      <c r="F67" t="s">
        <v>60</v>
      </c>
      <c r="G67" t="s">
        <v>78</v>
      </c>
      <c r="H67" t="s">
        <v>222</v>
      </c>
      <c r="I67">
        <v>1923.48</v>
      </c>
      <c r="J67">
        <v>6</v>
      </c>
      <c r="K67">
        <v>0</v>
      </c>
      <c r="L67">
        <v>725.05</v>
      </c>
      <c r="M67" t="s">
        <v>37</v>
      </c>
      <c r="N67" t="s">
        <v>44</v>
      </c>
      <c r="O67" t="str">
        <f t="shared" si="2"/>
        <v>Bad</v>
      </c>
      <c r="P67">
        <f t="shared" si="3"/>
        <v>320.58</v>
      </c>
      <c r="Q67">
        <v>45706</v>
      </c>
      <c r="R67">
        <f>YEAR(Table1[[#This Row],[Order_Date_New]])</f>
        <v>2025</v>
      </c>
      <c r="S67">
        <f>MONTH(Table1[[#This Row],[Order_Date_New]])</f>
        <v>2</v>
      </c>
      <c r="T67" t="str">
        <f>TEXT(Table1[[#This Row],[Order_Date_New]],"mmmm")</f>
        <v>February</v>
      </c>
      <c r="U67">
        <f>Table1[[#This Row],[Profit]]/Table1[[#This Row],[Sales]]</f>
        <v>0.37694699191049552</v>
      </c>
      <c r="V67" t="str">
        <f>IF(Table1[[#This Row],[Discount]]=0,"No Discount",IF(Table1[[#This Row],[Discount]]&lt;=0.1,"Low",IF(Table1[[#This Row],[Discount]]&lt;=0.2,"medium","high")))</f>
        <v>No Discount</v>
      </c>
    </row>
    <row r="68" spans="1:22" x14ac:dyDescent="0.3">
      <c r="A68" t="s">
        <v>223</v>
      </c>
      <c r="B68" s="6">
        <v>45605</v>
      </c>
      <c r="C68" t="s">
        <v>224</v>
      </c>
      <c r="D68" t="s">
        <v>53</v>
      </c>
      <c r="E68" t="s">
        <v>54</v>
      </c>
      <c r="F68" t="s">
        <v>72</v>
      </c>
      <c r="G68" t="s">
        <v>73</v>
      </c>
      <c r="H68" t="s">
        <v>102</v>
      </c>
      <c r="I68">
        <v>1025.8800000000001</v>
      </c>
      <c r="J68">
        <v>1</v>
      </c>
      <c r="K68">
        <v>0.1</v>
      </c>
      <c r="L68">
        <v>231.44</v>
      </c>
      <c r="M68" t="s">
        <v>133</v>
      </c>
      <c r="N68" t="s">
        <v>38</v>
      </c>
      <c r="O68" t="str">
        <f t="shared" si="2"/>
        <v>Bad</v>
      </c>
      <c r="P68">
        <f t="shared" si="3"/>
        <v>1025.8800000000001</v>
      </c>
      <c r="Q68">
        <v>45605</v>
      </c>
      <c r="R68">
        <f>YEAR(Table1[[#This Row],[Order_Date_New]])</f>
        <v>2024</v>
      </c>
      <c r="S68">
        <f>MONTH(Table1[[#This Row],[Order_Date_New]])</f>
        <v>11</v>
      </c>
      <c r="T68" t="str">
        <f>TEXT(Table1[[#This Row],[Order_Date_New]],"mmmm")</f>
        <v>November</v>
      </c>
      <c r="U68">
        <f>Table1[[#This Row],[Profit]]/Table1[[#This Row],[Sales]]</f>
        <v>0.22560143486567627</v>
      </c>
      <c r="V68" t="str">
        <f>IF(Table1[[#This Row],[Discount]]=0,"No Discount",IF(Table1[[#This Row],[Discount]]&lt;=0.1,"Low",IF(Table1[[#This Row],[Discount]]&lt;=0.2,"medium","high")))</f>
        <v>Low</v>
      </c>
    </row>
    <row r="69" spans="1:22" x14ac:dyDescent="0.3">
      <c r="A69" t="s">
        <v>225</v>
      </c>
      <c r="B69" s="6">
        <v>46021</v>
      </c>
      <c r="C69" t="s">
        <v>226</v>
      </c>
      <c r="D69" t="s">
        <v>128</v>
      </c>
      <c r="E69" t="s">
        <v>129</v>
      </c>
      <c r="F69" t="s">
        <v>60</v>
      </c>
      <c r="G69" t="s">
        <v>78</v>
      </c>
      <c r="H69" t="s">
        <v>125</v>
      </c>
      <c r="I69">
        <v>650.30999999999995</v>
      </c>
      <c r="J69">
        <v>3</v>
      </c>
      <c r="K69">
        <v>0</v>
      </c>
      <c r="L69">
        <v>44.81</v>
      </c>
      <c r="M69" t="s">
        <v>29</v>
      </c>
      <c r="N69" t="s">
        <v>30</v>
      </c>
      <c r="O69" t="str">
        <f t="shared" si="2"/>
        <v>Bad</v>
      </c>
      <c r="P69">
        <f t="shared" si="3"/>
        <v>216.76999999999998</v>
      </c>
      <c r="Q69">
        <v>46021</v>
      </c>
      <c r="R69">
        <f>YEAR(Table1[[#This Row],[Order_Date_New]])</f>
        <v>2025</v>
      </c>
      <c r="S69">
        <f>MONTH(Table1[[#This Row],[Order_Date_New]])</f>
        <v>12</v>
      </c>
      <c r="T69" t="str">
        <f>TEXT(Table1[[#This Row],[Order_Date_New]],"mmmm")</f>
        <v>December</v>
      </c>
      <c r="U69">
        <f>Table1[[#This Row],[Profit]]/Table1[[#This Row],[Sales]]</f>
        <v>6.8905598868232082E-2</v>
      </c>
      <c r="V69" t="str">
        <f>IF(Table1[[#This Row],[Discount]]=0,"No Discount",IF(Table1[[#This Row],[Discount]]&lt;=0.1,"Low",IF(Table1[[#This Row],[Discount]]&lt;=0.2,"medium","high")))</f>
        <v>No Discount</v>
      </c>
    </row>
    <row r="70" spans="1:22" x14ac:dyDescent="0.3">
      <c r="A70" t="s">
        <v>227</v>
      </c>
      <c r="B70" s="6">
        <v>45437</v>
      </c>
      <c r="C70" t="s">
        <v>228</v>
      </c>
      <c r="D70" t="s">
        <v>53</v>
      </c>
      <c r="E70" t="s">
        <v>87</v>
      </c>
      <c r="F70" t="s">
        <v>26</v>
      </c>
      <c r="G70" t="s">
        <v>35</v>
      </c>
      <c r="H70" t="s">
        <v>36</v>
      </c>
      <c r="I70">
        <v>5336.1</v>
      </c>
      <c r="J70">
        <v>7</v>
      </c>
      <c r="K70">
        <v>0.3</v>
      </c>
      <c r="L70">
        <v>-195.73</v>
      </c>
      <c r="M70" t="s">
        <v>37</v>
      </c>
      <c r="N70" t="s">
        <v>80</v>
      </c>
      <c r="O70" t="str">
        <f t="shared" si="2"/>
        <v>Bad</v>
      </c>
      <c r="P70">
        <f t="shared" si="3"/>
        <v>762.30000000000007</v>
      </c>
      <c r="Q70">
        <v>45437</v>
      </c>
      <c r="R70">
        <f>YEAR(Table1[[#This Row],[Order_Date_New]])</f>
        <v>2024</v>
      </c>
      <c r="S70">
        <f>MONTH(Table1[[#This Row],[Order_Date_New]])</f>
        <v>5</v>
      </c>
      <c r="T70" t="str">
        <f>TEXT(Table1[[#This Row],[Order_Date_New]],"mmmm")</f>
        <v>May</v>
      </c>
      <c r="U70">
        <f>Table1[[#This Row],[Profit]]/Table1[[#This Row],[Sales]]</f>
        <v>-3.6680347069957459E-2</v>
      </c>
      <c r="V70" t="str">
        <f>IF(Table1[[#This Row],[Discount]]=0,"No Discount",IF(Table1[[#This Row],[Discount]]&lt;=0.1,"Low",IF(Table1[[#This Row],[Discount]]&lt;=0.2,"medium","high")))</f>
        <v>high</v>
      </c>
    </row>
    <row r="71" spans="1:22" x14ac:dyDescent="0.3">
      <c r="A71" t="s">
        <v>229</v>
      </c>
      <c r="B71" s="6">
        <v>45877</v>
      </c>
      <c r="C71" t="s">
        <v>217</v>
      </c>
      <c r="D71" t="s">
        <v>53</v>
      </c>
      <c r="E71" t="s">
        <v>54</v>
      </c>
      <c r="F71" t="s">
        <v>72</v>
      </c>
      <c r="G71" t="s">
        <v>73</v>
      </c>
      <c r="H71" t="s">
        <v>102</v>
      </c>
      <c r="I71">
        <v>1407.5</v>
      </c>
      <c r="J71">
        <v>10</v>
      </c>
      <c r="K71">
        <v>0.15</v>
      </c>
      <c r="L71">
        <v>-29.92</v>
      </c>
      <c r="M71" t="s">
        <v>43</v>
      </c>
      <c r="N71" t="s">
        <v>30</v>
      </c>
      <c r="O71" t="str">
        <f t="shared" si="2"/>
        <v>Bad</v>
      </c>
      <c r="P71">
        <f t="shared" si="3"/>
        <v>140.75</v>
      </c>
      <c r="Q71">
        <v>45877</v>
      </c>
      <c r="R71">
        <f>YEAR(Table1[[#This Row],[Order_Date_New]])</f>
        <v>2025</v>
      </c>
      <c r="S71">
        <f>MONTH(Table1[[#This Row],[Order_Date_New]])</f>
        <v>8</v>
      </c>
      <c r="T71" t="str">
        <f>TEXT(Table1[[#This Row],[Order_Date_New]],"mmmm")</f>
        <v>August</v>
      </c>
      <c r="U71">
        <f>Table1[[#This Row],[Profit]]/Table1[[#This Row],[Sales]]</f>
        <v>-2.1257548845470695E-2</v>
      </c>
      <c r="V71" t="str">
        <f>IF(Table1[[#This Row],[Discount]]=0,"No Discount",IF(Table1[[#This Row],[Discount]]&lt;=0.1,"Low",IF(Table1[[#This Row],[Discount]]&lt;=0.2,"medium","high")))</f>
        <v>medium</v>
      </c>
    </row>
    <row r="72" spans="1:22" x14ac:dyDescent="0.3">
      <c r="A72" t="s">
        <v>230</v>
      </c>
      <c r="B72" s="6">
        <v>45912</v>
      </c>
      <c r="C72" t="s">
        <v>231</v>
      </c>
      <c r="D72" t="s">
        <v>24</v>
      </c>
      <c r="E72" t="s">
        <v>25</v>
      </c>
      <c r="F72" t="s">
        <v>60</v>
      </c>
      <c r="G72" t="s">
        <v>98</v>
      </c>
      <c r="H72" t="s">
        <v>141</v>
      </c>
      <c r="I72">
        <v>7536.51</v>
      </c>
      <c r="J72">
        <v>9</v>
      </c>
      <c r="K72">
        <v>0.05</v>
      </c>
      <c r="L72">
        <v>544.58000000000004</v>
      </c>
      <c r="M72" t="s">
        <v>105</v>
      </c>
      <c r="N72" t="s">
        <v>80</v>
      </c>
      <c r="O72" t="str">
        <f t="shared" si="2"/>
        <v>Good</v>
      </c>
      <c r="P72">
        <f t="shared" si="3"/>
        <v>837.39</v>
      </c>
      <c r="Q72">
        <v>45912</v>
      </c>
      <c r="R72">
        <f>YEAR(Table1[[#This Row],[Order_Date_New]])</f>
        <v>2025</v>
      </c>
      <c r="S72">
        <f>MONTH(Table1[[#This Row],[Order_Date_New]])</f>
        <v>9</v>
      </c>
      <c r="T72" t="str">
        <f>TEXT(Table1[[#This Row],[Order_Date_New]],"mmmm")</f>
        <v>September</v>
      </c>
      <c r="U72">
        <f>Table1[[#This Row],[Profit]]/Table1[[#This Row],[Sales]]</f>
        <v>7.2258910291368286E-2</v>
      </c>
      <c r="V72" t="str">
        <f>IF(Table1[[#This Row],[Discount]]=0,"No Discount",IF(Table1[[#This Row],[Discount]]&lt;=0.1,"Low",IF(Table1[[#This Row],[Discount]]&lt;=0.2,"medium","high")))</f>
        <v>Low</v>
      </c>
    </row>
    <row r="73" spans="1:22" x14ac:dyDescent="0.3">
      <c r="A73" t="s">
        <v>232</v>
      </c>
      <c r="B73" s="6">
        <v>45614</v>
      </c>
      <c r="C73" t="s">
        <v>233</v>
      </c>
      <c r="D73" t="s">
        <v>128</v>
      </c>
      <c r="E73" t="s">
        <v>132</v>
      </c>
      <c r="F73" t="s">
        <v>72</v>
      </c>
      <c r="G73" t="s">
        <v>111</v>
      </c>
      <c r="H73" t="s">
        <v>112</v>
      </c>
      <c r="I73">
        <v>2154.48</v>
      </c>
      <c r="J73">
        <v>6</v>
      </c>
      <c r="K73">
        <v>0</v>
      </c>
      <c r="L73">
        <v>274.94</v>
      </c>
      <c r="M73" t="s">
        <v>90</v>
      </c>
      <c r="N73" t="s">
        <v>38</v>
      </c>
      <c r="O73" t="str">
        <f t="shared" si="2"/>
        <v>Bad</v>
      </c>
      <c r="P73">
        <f t="shared" si="3"/>
        <v>359.08</v>
      </c>
      <c r="Q73">
        <v>45614</v>
      </c>
      <c r="R73">
        <f>YEAR(Table1[[#This Row],[Order_Date_New]])</f>
        <v>2024</v>
      </c>
      <c r="S73">
        <f>MONTH(Table1[[#This Row],[Order_Date_New]])</f>
        <v>11</v>
      </c>
      <c r="T73" t="str">
        <f>TEXT(Table1[[#This Row],[Order_Date_New]],"mmmm")</f>
        <v>November</v>
      </c>
      <c r="U73">
        <f>Table1[[#This Row],[Profit]]/Table1[[#This Row],[Sales]]</f>
        <v>0.12761315955590211</v>
      </c>
      <c r="V73" t="str">
        <f>IF(Table1[[#This Row],[Discount]]=0,"No Discount",IF(Table1[[#This Row],[Discount]]&lt;=0.1,"Low",IF(Table1[[#This Row],[Discount]]&lt;=0.2,"medium","high")))</f>
        <v>No Discount</v>
      </c>
    </row>
    <row r="74" spans="1:22" x14ac:dyDescent="0.3">
      <c r="A74" t="s">
        <v>234</v>
      </c>
      <c r="B74" s="6">
        <v>45645</v>
      </c>
      <c r="C74" t="s">
        <v>235</v>
      </c>
      <c r="D74" t="s">
        <v>24</v>
      </c>
      <c r="E74" t="s">
        <v>97</v>
      </c>
      <c r="F74" t="s">
        <v>72</v>
      </c>
      <c r="G74" t="s">
        <v>73</v>
      </c>
      <c r="H74" t="s">
        <v>102</v>
      </c>
      <c r="I74">
        <v>561.29999999999995</v>
      </c>
      <c r="J74">
        <v>6</v>
      </c>
      <c r="K74">
        <v>0.25</v>
      </c>
      <c r="L74">
        <v>29.51</v>
      </c>
      <c r="M74" t="s">
        <v>49</v>
      </c>
      <c r="N74" t="s">
        <v>38</v>
      </c>
      <c r="O74" t="str">
        <f t="shared" si="2"/>
        <v>Bad</v>
      </c>
      <c r="P74">
        <f t="shared" si="3"/>
        <v>93.55</v>
      </c>
      <c r="Q74">
        <v>45645</v>
      </c>
      <c r="R74">
        <f>YEAR(Table1[[#This Row],[Order_Date_New]])</f>
        <v>2024</v>
      </c>
      <c r="S74">
        <f>MONTH(Table1[[#This Row],[Order_Date_New]])</f>
        <v>12</v>
      </c>
      <c r="T74" t="str">
        <f>TEXT(Table1[[#This Row],[Order_Date_New]],"mmmm")</f>
        <v>December</v>
      </c>
      <c r="U74">
        <f>Table1[[#This Row],[Profit]]/Table1[[#This Row],[Sales]]</f>
        <v>5.2574380901478715E-2</v>
      </c>
      <c r="V74" t="str">
        <f>IF(Table1[[#This Row],[Discount]]=0,"No Discount",IF(Table1[[#This Row],[Discount]]&lt;=0.1,"Low",IF(Table1[[#This Row],[Discount]]&lt;=0.2,"medium","high")))</f>
        <v>high</v>
      </c>
    </row>
    <row r="75" spans="1:22" x14ac:dyDescent="0.3">
      <c r="A75" t="s">
        <v>236</v>
      </c>
      <c r="B75" s="6">
        <v>45646</v>
      </c>
      <c r="C75" t="s">
        <v>237</v>
      </c>
      <c r="D75" t="s">
        <v>128</v>
      </c>
      <c r="E75" t="s">
        <v>132</v>
      </c>
      <c r="F75" t="s">
        <v>60</v>
      </c>
      <c r="G75" t="s">
        <v>78</v>
      </c>
      <c r="H75" t="s">
        <v>125</v>
      </c>
      <c r="I75">
        <v>768.74</v>
      </c>
      <c r="J75">
        <v>2</v>
      </c>
      <c r="K75">
        <v>0</v>
      </c>
      <c r="L75">
        <v>100.64</v>
      </c>
      <c r="M75" t="s">
        <v>49</v>
      </c>
      <c r="N75" t="s">
        <v>38</v>
      </c>
      <c r="O75" t="str">
        <f t="shared" si="2"/>
        <v>Bad</v>
      </c>
      <c r="P75">
        <f t="shared" si="3"/>
        <v>384.37</v>
      </c>
      <c r="Q75">
        <v>45646</v>
      </c>
      <c r="R75">
        <f>YEAR(Table1[[#This Row],[Order_Date_New]])</f>
        <v>2024</v>
      </c>
      <c r="S75">
        <f>MONTH(Table1[[#This Row],[Order_Date_New]])</f>
        <v>12</v>
      </c>
      <c r="T75" t="str">
        <f>TEXT(Table1[[#This Row],[Order_Date_New]],"mmmm")</f>
        <v>December</v>
      </c>
      <c r="U75">
        <f>Table1[[#This Row],[Profit]]/Table1[[#This Row],[Sales]]</f>
        <v>0.13091552410437859</v>
      </c>
      <c r="V75" t="str">
        <f>IF(Table1[[#This Row],[Discount]]=0,"No Discount",IF(Table1[[#This Row],[Discount]]&lt;=0.1,"Low",IF(Table1[[#This Row],[Discount]]&lt;=0.2,"medium","high")))</f>
        <v>No Discount</v>
      </c>
    </row>
    <row r="76" spans="1:22" x14ac:dyDescent="0.3">
      <c r="A76" t="s">
        <v>238</v>
      </c>
      <c r="B76" s="6">
        <v>45660</v>
      </c>
      <c r="C76" t="s">
        <v>239</v>
      </c>
      <c r="D76" t="s">
        <v>128</v>
      </c>
      <c r="E76" t="s">
        <v>146</v>
      </c>
      <c r="F76" t="s">
        <v>72</v>
      </c>
      <c r="G76" t="s">
        <v>111</v>
      </c>
      <c r="H76" t="s">
        <v>112</v>
      </c>
      <c r="I76">
        <v>1871.22</v>
      </c>
      <c r="J76">
        <v>2</v>
      </c>
      <c r="K76">
        <v>0.2</v>
      </c>
      <c r="L76">
        <v>-72.510000000000005</v>
      </c>
      <c r="M76" t="s">
        <v>49</v>
      </c>
      <c r="N76" t="s">
        <v>38</v>
      </c>
      <c r="O76" t="str">
        <f t="shared" si="2"/>
        <v>Bad</v>
      </c>
      <c r="P76">
        <f t="shared" si="3"/>
        <v>935.61</v>
      </c>
      <c r="Q76">
        <v>45660</v>
      </c>
      <c r="R76">
        <f>YEAR(Table1[[#This Row],[Order_Date_New]])</f>
        <v>2025</v>
      </c>
      <c r="S76">
        <f>MONTH(Table1[[#This Row],[Order_Date_New]])</f>
        <v>1</v>
      </c>
      <c r="T76" t="str">
        <f>TEXT(Table1[[#This Row],[Order_Date_New]],"mmmm")</f>
        <v>January</v>
      </c>
      <c r="U76">
        <f>Table1[[#This Row],[Profit]]/Table1[[#This Row],[Sales]]</f>
        <v>-3.8750120242408696E-2</v>
      </c>
      <c r="V76" t="str">
        <f>IF(Table1[[#This Row],[Discount]]=0,"No Discount",IF(Table1[[#This Row],[Discount]]&lt;=0.1,"Low",IF(Table1[[#This Row],[Discount]]&lt;=0.2,"medium","high")))</f>
        <v>medium</v>
      </c>
    </row>
    <row r="77" spans="1:22" x14ac:dyDescent="0.3">
      <c r="A77" t="s">
        <v>240</v>
      </c>
      <c r="B77" s="6">
        <v>45409</v>
      </c>
      <c r="C77" t="s">
        <v>165</v>
      </c>
      <c r="D77" t="s">
        <v>53</v>
      </c>
      <c r="E77" t="s">
        <v>77</v>
      </c>
      <c r="F77" t="s">
        <v>26</v>
      </c>
      <c r="G77" t="s">
        <v>27</v>
      </c>
      <c r="H77" t="s">
        <v>200</v>
      </c>
      <c r="I77">
        <v>3532.72</v>
      </c>
      <c r="J77">
        <v>8</v>
      </c>
      <c r="K77">
        <v>0.3</v>
      </c>
      <c r="L77">
        <v>225.66</v>
      </c>
      <c r="M77" t="s">
        <v>49</v>
      </c>
      <c r="N77" t="s">
        <v>44</v>
      </c>
      <c r="O77" t="str">
        <f t="shared" si="2"/>
        <v>Bad</v>
      </c>
      <c r="P77">
        <f t="shared" si="3"/>
        <v>441.59</v>
      </c>
      <c r="Q77">
        <v>45409</v>
      </c>
      <c r="R77">
        <f>YEAR(Table1[[#This Row],[Order_Date_New]])</f>
        <v>2024</v>
      </c>
      <c r="S77">
        <f>MONTH(Table1[[#This Row],[Order_Date_New]])</f>
        <v>4</v>
      </c>
      <c r="T77" t="str">
        <f>TEXT(Table1[[#This Row],[Order_Date_New]],"mmmm")</f>
        <v>April</v>
      </c>
      <c r="U77">
        <f>Table1[[#This Row],[Profit]]/Table1[[#This Row],[Sales]]</f>
        <v>6.3877125840711979E-2</v>
      </c>
      <c r="V77" t="str">
        <f>IF(Table1[[#This Row],[Discount]]=0,"No Discount",IF(Table1[[#This Row],[Discount]]&lt;=0.1,"Low",IF(Table1[[#This Row],[Discount]]&lt;=0.2,"medium","high")))</f>
        <v>high</v>
      </c>
    </row>
    <row r="78" spans="1:22" x14ac:dyDescent="0.3">
      <c r="A78" t="s">
        <v>241</v>
      </c>
      <c r="B78" s="6">
        <v>45826</v>
      </c>
      <c r="C78" t="s">
        <v>242</v>
      </c>
      <c r="D78" t="s">
        <v>128</v>
      </c>
      <c r="E78" t="s">
        <v>146</v>
      </c>
      <c r="F78" t="s">
        <v>26</v>
      </c>
      <c r="G78" t="s">
        <v>35</v>
      </c>
      <c r="H78" t="s">
        <v>55</v>
      </c>
      <c r="I78">
        <v>76.25</v>
      </c>
      <c r="J78">
        <v>1</v>
      </c>
      <c r="K78">
        <v>0.25</v>
      </c>
      <c r="L78">
        <v>-11.86</v>
      </c>
      <c r="M78" t="s">
        <v>133</v>
      </c>
      <c r="N78" t="s">
        <v>38</v>
      </c>
      <c r="O78" t="str">
        <f t="shared" si="2"/>
        <v>Bad</v>
      </c>
      <c r="P78">
        <f t="shared" si="3"/>
        <v>76.25</v>
      </c>
      <c r="Q78">
        <v>45826</v>
      </c>
      <c r="R78">
        <f>YEAR(Table1[[#This Row],[Order_Date_New]])</f>
        <v>2025</v>
      </c>
      <c r="S78">
        <f>MONTH(Table1[[#This Row],[Order_Date_New]])</f>
        <v>6</v>
      </c>
      <c r="T78" t="str">
        <f>TEXT(Table1[[#This Row],[Order_Date_New]],"mmmm")</f>
        <v>June</v>
      </c>
      <c r="U78">
        <f>Table1[[#This Row],[Profit]]/Table1[[#This Row],[Sales]]</f>
        <v>-0.15554098360655738</v>
      </c>
      <c r="V78" t="str">
        <f>IF(Table1[[#This Row],[Discount]]=0,"No Discount",IF(Table1[[#This Row],[Discount]]&lt;=0.1,"Low",IF(Table1[[#This Row],[Discount]]&lt;=0.2,"medium","high")))</f>
        <v>high</v>
      </c>
    </row>
    <row r="79" spans="1:22" x14ac:dyDescent="0.3">
      <c r="A79" t="s">
        <v>243</v>
      </c>
      <c r="B79" s="6">
        <v>45302</v>
      </c>
      <c r="C79" t="s">
        <v>244</v>
      </c>
      <c r="D79" t="s">
        <v>24</v>
      </c>
      <c r="E79" t="s">
        <v>97</v>
      </c>
      <c r="F79" t="s">
        <v>72</v>
      </c>
      <c r="G79" t="s">
        <v>73</v>
      </c>
      <c r="H79" t="s">
        <v>74</v>
      </c>
      <c r="I79">
        <v>1343.16</v>
      </c>
      <c r="J79">
        <v>4</v>
      </c>
      <c r="K79">
        <v>0.2</v>
      </c>
      <c r="L79">
        <v>25.32</v>
      </c>
      <c r="M79" t="s">
        <v>37</v>
      </c>
      <c r="N79" t="s">
        <v>38</v>
      </c>
      <c r="O79" t="str">
        <f t="shared" si="2"/>
        <v>Bad</v>
      </c>
      <c r="P79">
        <f t="shared" si="3"/>
        <v>335.79</v>
      </c>
      <c r="Q79">
        <v>45302</v>
      </c>
      <c r="R79">
        <f>YEAR(Table1[[#This Row],[Order_Date_New]])</f>
        <v>2024</v>
      </c>
      <c r="S79">
        <f>MONTH(Table1[[#This Row],[Order_Date_New]])</f>
        <v>1</v>
      </c>
      <c r="T79" t="str">
        <f>TEXT(Table1[[#This Row],[Order_Date_New]],"mmmm")</f>
        <v>January</v>
      </c>
      <c r="U79">
        <f>Table1[[#This Row],[Profit]]/Table1[[#This Row],[Sales]]</f>
        <v>1.8851067631555436E-2</v>
      </c>
      <c r="V79" t="str">
        <f>IF(Table1[[#This Row],[Discount]]=0,"No Discount",IF(Table1[[#This Row],[Discount]]&lt;=0.1,"Low",IF(Table1[[#This Row],[Discount]]&lt;=0.2,"medium","high")))</f>
        <v>medium</v>
      </c>
    </row>
    <row r="80" spans="1:22" x14ac:dyDescent="0.3">
      <c r="A80" t="s">
        <v>245</v>
      </c>
      <c r="B80" s="6">
        <v>45777</v>
      </c>
      <c r="C80" t="s">
        <v>246</v>
      </c>
      <c r="D80" t="s">
        <v>24</v>
      </c>
      <c r="E80" t="s">
        <v>59</v>
      </c>
      <c r="F80" t="s">
        <v>26</v>
      </c>
      <c r="G80" t="s">
        <v>35</v>
      </c>
      <c r="H80" t="s">
        <v>173</v>
      </c>
      <c r="I80">
        <v>6681.51</v>
      </c>
      <c r="J80">
        <v>9</v>
      </c>
      <c r="K80">
        <v>0.05</v>
      </c>
      <c r="L80">
        <v>865.64</v>
      </c>
      <c r="M80" t="s">
        <v>37</v>
      </c>
      <c r="N80" t="s">
        <v>30</v>
      </c>
      <c r="O80" t="str">
        <f t="shared" si="2"/>
        <v>Good</v>
      </c>
      <c r="P80">
        <f t="shared" si="3"/>
        <v>742.39</v>
      </c>
      <c r="Q80">
        <v>45777</v>
      </c>
      <c r="R80">
        <f>YEAR(Table1[[#This Row],[Order_Date_New]])</f>
        <v>2025</v>
      </c>
      <c r="S80">
        <f>MONTH(Table1[[#This Row],[Order_Date_New]])</f>
        <v>4</v>
      </c>
      <c r="T80" t="str">
        <f>TEXT(Table1[[#This Row],[Order_Date_New]],"mmmm")</f>
        <v>April</v>
      </c>
      <c r="U80">
        <f>Table1[[#This Row],[Profit]]/Table1[[#This Row],[Sales]]</f>
        <v>0.12955754013688522</v>
      </c>
      <c r="V80" t="str">
        <f>IF(Table1[[#This Row],[Discount]]=0,"No Discount",IF(Table1[[#This Row],[Discount]]&lt;=0.1,"Low",IF(Table1[[#This Row],[Discount]]&lt;=0.2,"medium","high")))</f>
        <v>Low</v>
      </c>
    </row>
    <row r="81" spans="1:22" x14ac:dyDescent="0.3">
      <c r="A81" t="s">
        <v>247</v>
      </c>
      <c r="B81" s="6">
        <v>45907</v>
      </c>
      <c r="C81" t="s">
        <v>248</v>
      </c>
      <c r="D81" t="s">
        <v>24</v>
      </c>
      <c r="E81" t="s">
        <v>25</v>
      </c>
      <c r="F81" t="s">
        <v>26</v>
      </c>
      <c r="G81" t="s">
        <v>41</v>
      </c>
      <c r="H81" t="s">
        <v>42</v>
      </c>
      <c r="I81">
        <v>3095.55</v>
      </c>
      <c r="J81">
        <v>3</v>
      </c>
      <c r="K81">
        <v>0</v>
      </c>
      <c r="L81">
        <v>593.66999999999996</v>
      </c>
      <c r="M81" t="s">
        <v>170</v>
      </c>
      <c r="N81" t="s">
        <v>44</v>
      </c>
      <c r="O81" t="str">
        <f t="shared" si="2"/>
        <v>Bad</v>
      </c>
      <c r="P81">
        <f t="shared" si="3"/>
        <v>1031.8500000000001</v>
      </c>
      <c r="Q81">
        <v>45907</v>
      </c>
      <c r="R81">
        <f>YEAR(Table1[[#This Row],[Order_Date_New]])</f>
        <v>2025</v>
      </c>
      <c r="S81">
        <f>MONTH(Table1[[#This Row],[Order_Date_New]])</f>
        <v>9</v>
      </c>
      <c r="T81" t="str">
        <f>TEXT(Table1[[#This Row],[Order_Date_New]],"mmmm")</f>
        <v>September</v>
      </c>
      <c r="U81">
        <f>Table1[[#This Row],[Profit]]/Table1[[#This Row],[Sales]]</f>
        <v>0.19178175122353053</v>
      </c>
      <c r="V81" t="str">
        <f>IF(Table1[[#This Row],[Discount]]=0,"No Discount",IF(Table1[[#This Row],[Discount]]&lt;=0.1,"Low",IF(Table1[[#This Row],[Discount]]&lt;=0.2,"medium","high")))</f>
        <v>No Discount</v>
      </c>
    </row>
    <row r="82" spans="1:22" x14ac:dyDescent="0.3">
      <c r="A82" t="s">
        <v>249</v>
      </c>
      <c r="B82" s="6">
        <v>45768</v>
      </c>
      <c r="C82" t="s">
        <v>140</v>
      </c>
      <c r="D82" t="s">
        <v>33</v>
      </c>
      <c r="E82" t="s">
        <v>48</v>
      </c>
      <c r="F82" t="s">
        <v>26</v>
      </c>
      <c r="G82" t="s">
        <v>35</v>
      </c>
      <c r="H82" t="s">
        <v>36</v>
      </c>
      <c r="I82">
        <v>2925.52</v>
      </c>
      <c r="J82">
        <v>4</v>
      </c>
      <c r="K82">
        <v>0.2</v>
      </c>
      <c r="L82">
        <v>70.739999999999995</v>
      </c>
      <c r="M82" t="s">
        <v>49</v>
      </c>
      <c r="N82" t="s">
        <v>30</v>
      </c>
      <c r="O82" t="str">
        <f t="shared" si="2"/>
        <v>Bad</v>
      </c>
      <c r="P82">
        <f t="shared" si="3"/>
        <v>731.38</v>
      </c>
      <c r="Q82">
        <v>45768</v>
      </c>
      <c r="R82">
        <f>YEAR(Table1[[#This Row],[Order_Date_New]])</f>
        <v>2025</v>
      </c>
      <c r="S82">
        <f>MONTH(Table1[[#This Row],[Order_Date_New]])</f>
        <v>4</v>
      </c>
      <c r="T82" t="str">
        <f>TEXT(Table1[[#This Row],[Order_Date_New]],"mmmm")</f>
        <v>April</v>
      </c>
      <c r="U82">
        <f>Table1[[#This Row],[Profit]]/Table1[[#This Row],[Sales]]</f>
        <v>2.4180316661653312E-2</v>
      </c>
      <c r="V82" t="str">
        <f>IF(Table1[[#This Row],[Discount]]=0,"No Discount",IF(Table1[[#This Row],[Discount]]&lt;=0.1,"Low",IF(Table1[[#This Row],[Discount]]&lt;=0.2,"medium","high")))</f>
        <v>medium</v>
      </c>
    </row>
    <row r="83" spans="1:22" x14ac:dyDescent="0.3">
      <c r="A83" t="s">
        <v>250</v>
      </c>
      <c r="B83" s="6">
        <v>45551</v>
      </c>
      <c r="C83" t="s">
        <v>251</v>
      </c>
      <c r="D83" t="s">
        <v>24</v>
      </c>
      <c r="E83" t="s">
        <v>97</v>
      </c>
      <c r="F83" t="s">
        <v>60</v>
      </c>
      <c r="G83" t="s">
        <v>98</v>
      </c>
      <c r="H83" t="s">
        <v>141</v>
      </c>
      <c r="I83">
        <v>2395.2600000000002</v>
      </c>
      <c r="J83">
        <v>9</v>
      </c>
      <c r="K83">
        <v>0.05</v>
      </c>
      <c r="L83">
        <v>877.36</v>
      </c>
      <c r="M83" t="s">
        <v>133</v>
      </c>
      <c r="N83" t="s">
        <v>38</v>
      </c>
      <c r="O83" t="str">
        <f t="shared" si="2"/>
        <v>Bad</v>
      </c>
      <c r="P83">
        <f t="shared" si="3"/>
        <v>266.14000000000004</v>
      </c>
      <c r="Q83">
        <v>45551</v>
      </c>
      <c r="R83">
        <f>YEAR(Table1[[#This Row],[Order_Date_New]])</f>
        <v>2024</v>
      </c>
      <c r="S83">
        <f>MONTH(Table1[[#This Row],[Order_Date_New]])</f>
        <v>9</v>
      </c>
      <c r="T83" t="str">
        <f>TEXT(Table1[[#This Row],[Order_Date_New]],"mmmm")</f>
        <v>September</v>
      </c>
      <c r="U83">
        <f>Table1[[#This Row],[Profit]]/Table1[[#This Row],[Sales]]</f>
        <v>0.36629008959361403</v>
      </c>
      <c r="V83" t="str">
        <f>IF(Table1[[#This Row],[Discount]]=0,"No Discount",IF(Table1[[#This Row],[Discount]]&lt;=0.1,"Low",IF(Table1[[#This Row],[Discount]]&lt;=0.2,"medium","high")))</f>
        <v>Low</v>
      </c>
    </row>
    <row r="84" spans="1:22" x14ac:dyDescent="0.3">
      <c r="A84" t="s">
        <v>252</v>
      </c>
      <c r="B84" s="6">
        <v>45931</v>
      </c>
      <c r="C84" t="s">
        <v>253</v>
      </c>
      <c r="D84" t="s">
        <v>33</v>
      </c>
      <c r="E84" t="s">
        <v>34</v>
      </c>
      <c r="F84" t="s">
        <v>60</v>
      </c>
      <c r="G84" t="s">
        <v>78</v>
      </c>
      <c r="H84" t="s">
        <v>79</v>
      </c>
      <c r="I84">
        <v>5777.76</v>
      </c>
      <c r="J84">
        <v>6</v>
      </c>
      <c r="K84">
        <v>0.1</v>
      </c>
      <c r="L84">
        <v>1798.58</v>
      </c>
      <c r="M84" t="s">
        <v>170</v>
      </c>
      <c r="N84" t="s">
        <v>38</v>
      </c>
      <c r="O84" t="str">
        <f t="shared" si="2"/>
        <v>Bad</v>
      </c>
      <c r="P84">
        <f t="shared" si="3"/>
        <v>962.96</v>
      </c>
      <c r="Q84">
        <v>45931</v>
      </c>
      <c r="R84">
        <f>YEAR(Table1[[#This Row],[Order_Date_New]])</f>
        <v>2025</v>
      </c>
      <c r="S84">
        <f>MONTH(Table1[[#This Row],[Order_Date_New]])</f>
        <v>10</v>
      </c>
      <c r="T84" t="str">
        <f>TEXT(Table1[[#This Row],[Order_Date_New]],"mmmm")</f>
        <v>October</v>
      </c>
      <c r="U84">
        <f>Table1[[#This Row],[Profit]]/Table1[[#This Row],[Sales]]</f>
        <v>0.3112936501343081</v>
      </c>
      <c r="V84" t="str">
        <f>IF(Table1[[#This Row],[Discount]]=0,"No Discount",IF(Table1[[#This Row],[Discount]]&lt;=0.1,"Low",IF(Table1[[#This Row],[Discount]]&lt;=0.2,"medium","high")))</f>
        <v>Low</v>
      </c>
    </row>
    <row r="85" spans="1:22" x14ac:dyDescent="0.3">
      <c r="A85" t="s">
        <v>254</v>
      </c>
      <c r="B85" s="6">
        <v>45512</v>
      </c>
      <c r="C85" t="s">
        <v>161</v>
      </c>
      <c r="D85" t="s">
        <v>53</v>
      </c>
      <c r="E85" t="s">
        <v>107</v>
      </c>
      <c r="F85" t="s">
        <v>26</v>
      </c>
      <c r="G85" t="s">
        <v>41</v>
      </c>
      <c r="H85" t="s">
        <v>42</v>
      </c>
      <c r="I85">
        <v>5832.99</v>
      </c>
      <c r="J85">
        <v>9</v>
      </c>
      <c r="K85">
        <v>0.05</v>
      </c>
      <c r="L85">
        <v>2061.41</v>
      </c>
      <c r="M85" t="s">
        <v>133</v>
      </c>
      <c r="N85" t="s">
        <v>30</v>
      </c>
      <c r="O85" t="str">
        <f t="shared" si="2"/>
        <v>Good</v>
      </c>
      <c r="P85">
        <f t="shared" si="3"/>
        <v>648.11</v>
      </c>
      <c r="Q85">
        <v>45512</v>
      </c>
      <c r="R85">
        <f>YEAR(Table1[[#This Row],[Order_Date_New]])</f>
        <v>2024</v>
      </c>
      <c r="S85">
        <f>MONTH(Table1[[#This Row],[Order_Date_New]])</f>
        <v>8</v>
      </c>
      <c r="T85" t="str">
        <f>TEXT(Table1[[#This Row],[Order_Date_New]],"mmmm")</f>
        <v>August</v>
      </c>
      <c r="U85">
        <f>Table1[[#This Row],[Profit]]/Table1[[#This Row],[Sales]]</f>
        <v>0.35340537185902943</v>
      </c>
      <c r="V85" t="str">
        <f>IF(Table1[[#This Row],[Discount]]=0,"No Discount",IF(Table1[[#This Row],[Discount]]&lt;=0.1,"Low",IF(Table1[[#This Row],[Discount]]&lt;=0.2,"medium","high")))</f>
        <v>Low</v>
      </c>
    </row>
    <row r="86" spans="1:22" x14ac:dyDescent="0.3">
      <c r="A86" t="s">
        <v>255</v>
      </c>
      <c r="B86" s="6">
        <v>45976</v>
      </c>
      <c r="C86" t="s">
        <v>256</v>
      </c>
      <c r="D86" t="s">
        <v>33</v>
      </c>
      <c r="E86" t="s">
        <v>118</v>
      </c>
      <c r="F86" t="s">
        <v>60</v>
      </c>
      <c r="G86" t="s">
        <v>98</v>
      </c>
      <c r="H86" t="s">
        <v>99</v>
      </c>
      <c r="I86">
        <v>8823.2000000000007</v>
      </c>
      <c r="J86">
        <v>10</v>
      </c>
      <c r="K86">
        <v>0.3</v>
      </c>
      <c r="L86">
        <v>582.89</v>
      </c>
      <c r="M86" t="s">
        <v>43</v>
      </c>
      <c r="N86" t="s">
        <v>38</v>
      </c>
      <c r="O86" t="str">
        <f t="shared" si="2"/>
        <v>Good</v>
      </c>
      <c r="P86">
        <f t="shared" si="3"/>
        <v>882.32</v>
      </c>
      <c r="Q86">
        <v>45976</v>
      </c>
      <c r="R86">
        <f>YEAR(Table1[[#This Row],[Order_Date_New]])</f>
        <v>2025</v>
      </c>
      <c r="S86">
        <f>MONTH(Table1[[#This Row],[Order_Date_New]])</f>
        <v>11</v>
      </c>
      <c r="T86" t="str">
        <f>TEXT(Table1[[#This Row],[Order_Date_New]],"mmmm")</f>
        <v>November</v>
      </c>
      <c r="U86">
        <f>Table1[[#This Row],[Profit]]/Table1[[#This Row],[Sales]]</f>
        <v>6.6063333031099819E-2</v>
      </c>
      <c r="V86" t="str">
        <f>IF(Table1[[#This Row],[Discount]]=0,"No Discount",IF(Table1[[#This Row],[Discount]]&lt;=0.1,"Low",IF(Table1[[#This Row],[Discount]]&lt;=0.2,"medium","high")))</f>
        <v>high</v>
      </c>
    </row>
    <row r="87" spans="1:22" x14ac:dyDescent="0.3">
      <c r="A87" t="s">
        <v>257</v>
      </c>
      <c r="B87" s="6">
        <v>45427</v>
      </c>
      <c r="C87" t="s">
        <v>258</v>
      </c>
      <c r="D87" t="s">
        <v>33</v>
      </c>
      <c r="E87" t="s">
        <v>48</v>
      </c>
      <c r="F87" t="s">
        <v>60</v>
      </c>
      <c r="G87" t="s">
        <v>78</v>
      </c>
      <c r="H87" t="s">
        <v>125</v>
      </c>
      <c r="I87">
        <v>1629.2</v>
      </c>
      <c r="J87">
        <v>10</v>
      </c>
      <c r="K87">
        <v>0.3</v>
      </c>
      <c r="L87">
        <v>-122.43</v>
      </c>
      <c r="M87" t="s">
        <v>49</v>
      </c>
      <c r="N87" t="s">
        <v>44</v>
      </c>
      <c r="O87" t="str">
        <f t="shared" si="2"/>
        <v>Bad</v>
      </c>
      <c r="P87">
        <f t="shared" si="3"/>
        <v>162.92000000000002</v>
      </c>
      <c r="Q87">
        <v>45427</v>
      </c>
      <c r="R87">
        <f>YEAR(Table1[[#This Row],[Order_Date_New]])</f>
        <v>2024</v>
      </c>
      <c r="S87">
        <f>MONTH(Table1[[#This Row],[Order_Date_New]])</f>
        <v>5</v>
      </c>
      <c r="T87" t="str">
        <f>TEXT(Table1[[#This Row],[Order_Date_New]],"mmmm")</f>
        <v>May</v>
      </c>
      <c r="U87">
        <f>Table1[[#This Row],[Profit]]/Table1[[#This Row],[Sales]]</f>
        <v>-7.5147311563957778E-2</v>
      </c>
      <c r="V87" t="str">
        <f>IF(Table1[[#This Row],[Discount]]=0,"No Discount",IF(Table1[[#This Row],[Discount]]&lt;=0.1,"Low",IF(Table1[[#This Row],[Discount]]&lt;=0.2,"medium","high")))</f>
        <v>high</v>
      </c>
    </row>
    <row r="88" spans="1:22" x14ac:dyDescent="0.3">
      <c r="A88" t="s">
        <v>259</v>
      </c>
      <c r="B88" s="6">
        <v>45657</v>
      </c>
      <c r="C88" t="s">
        <v>58</v>
      </c>
      <c r="D88" t="s">
        <v>24</v>
      </c>
      <c r="E88" t="s">
        <v>59</v>
      </c>
      <c r="F88" t="s">
        <v>72</v>
      </c>
      <c r="G88" t="s">
        <v>111</v>
      </c>
      <c r="H88" t="s">
        <v>112</v>
      </c>
      <c r="I88">
        <v>5188.9799999999996</v>
      </c>
      <c r="J88">
        <v>6</v>
      </c>
      <c r="K88">
        <v>0.2</v>
      </c>
      <c r="L88">
        <v>-777.88</v>
      </c>
      <c r="M88" t="s">
        <v>29</v>
      </c>
      <c r="N88" t="s">
        <v>44</v>
      </c>
      <c r="O88" t="str">
        <f t="shared" si="2"/>
        <v>Bad</v>
      </c>
      <c r="P88">
        <f t="shared" si="3"/>
        <v>864.82999999999993</v>
      </c>
      <c r="Q88">
        <v>45657</v>
      </c>
      <c r="R88">
        <f>YEAR(Table1[[#This Row],[Order_Date_New]])</f>
        <v>2024</v>
      </c>
      <c r="S88">
        <f>MONTH(Table1[[#This Row],[Order_Date_New]])</f>
        <v>12</v>
      </c>
      <c r="T88" t="str">
        <f>TEXT(Table1[[#This Row],[Order_Date_New]],"mmmm")</f>
        <v>December</v>
      </c>
      <c r="U88">
        <f>Table1[[#This Row],[Profit]]/Table1[[#This Row],[Sales]]</f>
        <v>-0.14991000158027204</v>
      </c>
      <c r="V88" t="str">
        <f>IF(Table1[[#This Row],[Discount]]=0,"No Discount",IF(Table1[[#This Row],[Discount]]&lt;=0.1,"Low",IF(Table1[[#This Row],[Discount]]&lt;=0.2,"medium","high")))</f>
        <v>medium</v>
      </c>
    </row>
    <row r="89" spans="1:22" x14ac:dyDescent="0.3">
      <c r="A89" t="s">
        <v>260</v>
      </c>
      <c r="B89" s="6">
        <v>45828</v>
      </c>
      <c r="C89" t="s">
        <v>261</v>
      </c>
      <c r="D89" t="s">
        <v>128</v>
      </c>
      <c r="E89" t="s">
        <v>129</v>
      </c>
      <c r="F89" t="s">
        <v>60</v>
      </c>
      <c r="G89" t="s">
        <v>98</v>
      </c>
      <c r="H89" t="s">
        <v>99</v>
      </c>
      <c r="I89">
        <v>2389.2600000000002</v>
      </c>
      <c r="J89">
        <v>6</v>
      </c>
      <c r="K89">
        <v>0.1</v>
      </c>
      <c r="L89">
        <v>472.22</v>
      </c>
      <c r="M89" t="s">
        <v>68</v>
      </c>
      <c r="N89" t="s">
        <v>38</v>
      </c>
      <c r="O89" t="str">
        <f t="shared" si="2"/>
        <v>Bad</v>
      </c>
      <c r="P89">
        <f t="shared" si="3"/>
        <v>398.21000000000004</v>
      </c>
      <c r="Q89">
        <v>45828</v>
      </c>
      <c r="R89">
        <f>YEAR(Table1[[#This Row],[Order_Date_New]])</f>
        <v>2025</v>
      </c>
      <c r="S89">
        <f>MONTH(Table1[[#This Row],[Order_Date_New]])</f>
        <v>6</v>
      </c>
      <c r="T89" t="str">
        <f>TEXT(Table1[[#This Row],[Order_Date_New]],"mmmm")</f>
        <v>June</v>
      </c>
      <c r="U89">
        <f>Table1[[#This Row],[Profit]]/Table1[[#This Row],[Sales]]</f>
        <v>0.19764278479529226</v>
      </c>
      <c r="V89" t="str">
        <f>IF(Table1[[#This Row],[Discount]]=0,"No Discount",IF(Table1[[#This Row],[Discount]]&lt;=0.1,"Low",IF(Table1[[#This Row],[Discount]]&lt;=0.2,"medium","high")))</f>
        <v>Low</v>
      </c>
    </row>
    <row r="90" spans="1:22" x14ac:dyDescent="0.3">
      <c r="A90" t="s">
        <v>262</v>
      </c>
      <c r="B90" s="6">
        <v>45715</v>
      </c>
      <c r="C90" t="s">
        <v>263</v>
      </c>
      <c r="D90" t="s">
        <v>128</v>
      </c>
      <c r="E90" t="s">
        <v>129</v>
      </c>
      <c r="F90" t="s">
        <v>26</v>
      </c>
      <c r="G90" t="s">
        <v>27</v>
      </c>
      <c r="H90" t="s">
        <v>200</v>
      </c>
      <c r="I90">
        <v>5299</v>
      </c>
      <c r="J90">
        <v>10</v>
      </c>
      <c r="K90">
        <v>0.15</v>
      </c>
      <c r="L90">
        <v>69.31</v>
      </c>
      <c r="M90" t="s">
        <v>133</v>
      </c>
      <c r="N90" t="s">
        <v>44</v>
      </c>
      <c r="O90" t="str">
        <f t="shared" si="2"/>
        <v>Good</v>
      </c>
      <c r="P90">
        <f t="shared" si="3"/>
        <v>529.9</v>
      </c>
      <c r="Q90">
        <v>45715</v>
      </c>
      <c r="R90">
        <f>YEAR(Table1[[#This Row],[Order_Date_New]])</f>
        <v>2025</v>
      </c>
      <c r="S90">
        <f>MONTH(Table1[[#This Row],[Order_Date_New]])</f>
        <v>2</v>
      </c>
      <c r="T90" t="str">
        <f>TEXT(Table1[[#This Row],[Order_Date_New]],"mmmm")</f>
        <v>February</v>
      </c>
      <c r="U90">
        <f>Table1[[#This Row],[Profit]]/Table1[[#This Row],[Sales]]</f>
        <v>1.307982638233629E-2</v>
      </c>
      <c r="V90" t="str">
        <f>IF(Table1[[#This Row],[Discount]]=0,"No Discount",IF(Table1[[#This Row],[Discount]]&lt;=0.1,"Low",IF(Table1[[#This Row],[Discount]]&lt;=0.2,"medium","high")))</f>
        <v>medium</v>
      </c>
    </row>
    <row r="91" spans="1:22" x14ac:dyDescent="0.3">
      <c r="A91" t="s">
        <v>264</v>
      </c>
      <c r="B91" s="6">
        <v>46005</v>
      </c>
      <c r="C91" t="s">
        <v>52</v>
      </c>
      <c r="D91" t="s">
        <v>24</v>
      </c>
      <c r="E91" t="s">
        <v>59</v>
      </c>
      <c r="F91" t="s">
        <v>72</v>
      </c>
      <c r="G91" t="s">
        <v>73</v>
      </c>
      <c r="H91" t="s">
        <v>102</v>
      </c>
      <c r="I91">
        <v>3124.14</v>
      </c>
      <c r="J91">
        <v>6</v>
      </c>
      <c r="K91">
        <v>0</v>
      </c>
      <c r="L91">
        <v>372.2</v>
      </c>
      <c r="M91" t="s">
        <v>68</v>
      </c>
      <c r="N91" t="s">
        <v>30</v>
      </c>
      <c r="O91" t="str">
        <f t="shared" si="2"/>
        <v>Bad</v>
      </c>
      <c r="P91">
        <f t="shared" si="3"/>
        <v>520.68999999999994</v>
      </c>
      <c r="Q91">
        <v>46005</v>
      </c>
      <c r="R91">
        <f>YEAR(Table1[[#This Row],[Order_Date_New]])</f>
        <v>2025</v>
      </c>
      <c r="S91">
        <f>MONTH(Table1[[#This Row],[Order_Date_New]])</f>
        <v>12</v>
      </c>
      <c r="T91" t="str">
        <f>TEXT(Table1[[#This Row],[Order_Date_New]],"mmmm")</f>
        <v>December</v>
      </c>
      <c r="U91">
        <f>Table1[[#This Row],[Profit]]/Table1[[#This Row],[Sales]]</f>
        <v>0.11913678644362929</v>
      </c>
      <c r="V91" t="str">
        <f>IF(Table1[[#This Row],[Discount]]=0,"No Discount",IF(Table1[[#This Row],[Discount]]&lt;=0.1,"Low",IF(Table1[[#This Row],[Discount]]&lt;=0.2,"medium","high")))</f>
        <v>No Discount</v>
      </c>
    </row>
    <row r="92" spans="1:22" x14ac:dyDescent="0.3">
      <c r="A92" t="s">
        <v>265</v>
      </c>
      <c r="B92" s="6">
        <v>45904</v>
      </c>
      <c r="C92" t="s">
        <v>266</v>
      </c>
      <c r="D92" t="s">
        <v>33</v>
      </c>
      <c r="E92" t="s">
        <v>66</v>
      </c>
      <c r="F92" t="s">
        <v>26</v>
      </c>
      <c r="G92" t="s">
        <v>27</v>
      </c>
      <c r="H92" t="s">
        <v>200</v>
      </c>
      <c r="I92">
        <v>1693.2</v>
      </c>
      <c r="J92">
        <v>6</v>
      </c>
      <c r="K92">
        <v>0.2</v>
      </c>
      <c r="L92">
        <v>-136.4</v>
      </c>
      <c r="M92" t="s">
        <v>43</v>
      </c>
      <c r="N92" t="s">
        <v>80</v>
      </c>
      <c r="O92" t="str">
        <f t="shared" si="2"/>
        <v>Bad</v>
      </c>
      <c r="P92">
        <f t="shared" si="3"/>
        <v>282.2</v>
      </c>
      <c r="Q92">
        <v>45904</v>
      </c>
      <c r="R92">
        <f>YEAR(Table1[[#This Row],[Order_Date_New]])</f>
        <v>2025</v>
      </c>
      <c r="S92">
        <f>MONTH(Table1[[#This Row],[Order_Date_New]])</f>
        <v>9</v>
      </c>
      <c r="T92" t="str">
        <f>TEXT(Table1[[#This Row],[Order_Date_New]],"mmmm")</f>
        <v>September</v>
      </c>
      <c r="U92">
        <f>Table1[[#This Row],[Profit]]/Table1[[#This Row],[Sales]]</f>
        <v>-8.0557524214505086E-2</v>
      </c>
      <c r="V92" t="str">
        <f>IF(Table1[[#This Row],[Discount]]=0,"No Discount",IF(Table1[[#This Row],[Discount]]&lt;=0.1,"Low",IF(Table1[[#This Row],[Discount]]&lt;=0.2,"medium","high")))</f>
        <v>medium</v>
      </c>
    </row>
    <row r="93" spans="1:22" x14ac:dyDescent="0.3">
      <c r="A93" t="s">
        <v>267</v>
      </c>
      <c r="B93" s="6">
        <v>45885</v>
      </c>
      <c r="C93" t="s">
        <v>268</v>
      </c>
      <c r="D93" t="s">
        <v>128</v>
      </c>
      <c r="E93" t="s">
        <v>146</v>
      </c>
      <c r="F93" t="s">
        <v>60</v>
      </c>
      <c r="G93" t="s">
        <v>98</v>
      </c>
      <c r="H93" t="s">
        <v>99</v>
      </c>
      <c r="I93">
        <v>708.04</v>
      </c>
      <c r="J93">
        <v>4</v>
      </c>
      <c r="K93">
        <v>0.1</v>
      </c>
      <c r="L93">
        <v>118.14</v>
      </c>
      <c r="M93" t="s">
        <v>68</v>
      </c>
      <c r="N93" t="s">
        <v>44</v>
      </c>
      <c r="O93" t="str">
        <f t="shared" si="2"/>
        <v>Bad</v>
      </c>
      <c r="P93">
        <f t="shared" si="3"/>
        <v>177.01</v>
      </c>
      <c r="Q93">
        <v>45885</v>
      </c>
      <c r="R93">
        <f>YEAR(Table1[[#This Row],[Order_Date_New]])</f>
        <v>2025</v>
      </c>
      <c r="S93">
        <f>MONTH(Table1[[#This Row],[Order_Date_New]])</f>
        <v>8</v>
      </c>
      <c r="T93" t="str">
        <f>TEXT(Table1[[#This Row],[Order_Date_New]],"mmmm")</f>
        <v>August</v>
      </c>
      <c r="U93">
        <f>Table1[[#This Row],[Profit]]/Table1[[#This Row],[Sales]]</f>
        <v>0.16685497994463591</v>
      </c>
      <c r="V93" t="str">
        <f>IF(Table1[[#This Row],[Discount]]=0,"No Discount",IF(Table1[[#This Row],[Discount]]&lt;=0.1,"Low",IF(Table1[[#This Row],[Discount]]&lt;=0.2,"medium","high")))</f>
        <v>Low</v>
      </c>
    </row>
    <row r="94" spans="1:22" x14ac:dyDescent="0.3">
      <c r="A94" t="s">
        <v>269</v>
      </c>
      <c r="B94" s="6">
        <v>45656</v>
      </c>
      <c r="C94" t="s">
        <v>270</v>
      </c>
      <c r="D94" t="s">
        <v>128</v>
      </c>
      <c r="E94" t="s">
        <v>129</v>
      </c>
      <c r="F94" t="s">
        <v>26</v>
      </c>
      <c r="G94" t="s">
        <v>27</v>
      </c>
      <c r="H94" t="s">
        <v>271</v>
      </c>
      <c r="I94">
        <v>374.34</v>
      </c>
      <c r="J94">
        <v>3</v>
      </c>
      <c r="K94">
        <v>0.2</v>
      </c>
      <c r="L94">
        <v>31.54</v>
      </c>
      <c r="M94" t="s">
        <v>133</v>
      </c>
      <c r="N94" t="s">
        <v>44</v>
      </c>
      <c r="O94" t="str">
        <f t="shared" si="2"/>
        <v>Bad</v>
      </c>
      <c r="P94">
        <f t="shared" si="3"/>
        <v>124.77999999999999</v>
      </c>
      <c r="Q94">
        <v>45656</v>
      </c>
      <c r="R94">
        <f>YEAR(Table1[[#This Row],[Order_Date_New]])</f>
        <v>2024</v>
      </c>
      <c r="S94">
        <f>MONTH(Table1[[#This Row],[Order_Date_New]])</f>
        <v>12</v>
      </c>
      <c r="T94" t="str">
        <f>TEXT(Table1[[#This Row],[Order_Date_New]],"mmmm")</f>
        <v>December</v>
      </c>
      <c r="U94">
        <f>Table1[[#This Row],[Profit]]/Table1[[#This Row],[Sales]]</f>
        <v>8.425495538814981E-2</v>
      </c>
      <c r="V94" t="str">
        <f>IF(Table1[[#This Row],[Discount]]=0,"No Discount",IF(Table1[[#This Row],[Discount]]&lt;=0.1,"Low",IF(Table1[[#This Row],[Discount]]&lt;=0.2,"medium","high")))</f>
        <v>medium</v>
      </c>
    </row>
    <row r="95" spans="1:22" x14ac:dyDescent="0.3">
      <c r="A95" t="s">
        <v>272</v>
      </c>
      <c r="B95" s="6">
        <v>45642</v>
      </c>
      <c r="C95" t="s">
        <v>273</v>
      </c>
      <c r="D95" t="s">
        <v>128</v>
      </c>
      <c r="E95" t="s">
        <v>129</v>
      </c>
      <c r="F95" t="s">
        <v>26</v>
      </c>
      <c r="G95" t="s">
        <v>27</v>
      </c>
      <c r="H95" t="s">
        <v>200</v>
      </c>
      <c r="I95">
        <v>607.28</v>
      </c>
      <c r="J95">
        <v>2</v>
      </c>
      <c r="K95">
        <v>0.25</v>
      </c>
      <c r="L95">
        <v>-89.79</v>
      </c>
      <c r="M95" t="s">
        <v>37</v>
      </c>
      <c r="N95" t="s">
        <v>80</v>
      </c>
      <c r="O95" t="str">
        <f t="shared" si="2"/>
        <v>Bad</v>
      </c>
      <c r="P95">
        <f t="shared" si="3"/>
        <v>303.64</v>
      </c>
      <c r="Q95">
        <v>45642</v>
      </c>
      <c r="R95">
        <f>YEAR(Table1[[#This Row],[Order_Date_New]])</f>
        <v>2024</v>
      </c>
      <c r="S95">
        <f>MONTH(Table1[[#This Row],[Order_Date_New]])</f>
        <v>12</v>
      </c>
      <c r="T95" t="str">
        <f>TEXT(Table1[[#This Row],[Order_Date_New]],"mmmm")</f>
        <v>December</v>
      </c>
      <c r="U95">
        <f>Table1[[#This Row],[Profit]]/Table1[[#This Row],[Sales]]</f>
        <v>-0.14785601370043475</v>
      </c>
      <c r="V95" t="str">
        <f>IF(Table1[[#This Row],[Discount]]=0,"No Discount",IF(Table1[[#This Row],[Discount]]&lt;=0.1,"Low",IF(Table1[[#This Row],[Discount]]&lt;=0.2,"medium","high")))</f>
        <v>high</v>
      </c>
    </row>
    <row r="96" spans="1:22" x14ac:dyDescent="0.3">
      <c r="A96" t="s">
        <v>274</v>
      </c>
      <c r="B96" s="6">
        <v>46006</v>
      </c>
      <c r="C96" t="s">
        <v>143</v>
      </c>
      <c r="D96" t="s">
        <v>24</v>
      </c>
      <c r="E96" t="s">
        <v>25</v>
      </c>
      <c r="F96" t="s">
        <v>72</v>
      </c>
      <c r="G96" t="s">
        <v>73</v>
      </c>
      <c r="H96" t="s">
        <v>74</v>
      </c>
      <c r="I96">
        <v>682.04</v>
      </c>
      <c r="J96">
        <v>4</v>
      </c>
      <c r="K96">
        <v>0.3</v>
      </c>
      <c r="L96">
        <v>67.489999999999995</v>
      </c>
      <c r="M96" t="s">
        <v>133</v>
      </c>
      <c r="N96" t="s">
        <v>80</v>
      </c>
      <c r="O96" t="str">
        <f t="shared" si="2"/>
        <v>Bad</v>
      </c>
      <c r="P96">
        <f t="shared" si="3"/>
        <v>170.51</v>
      </c>
      <c r="Q96">
        <v>46006</v>
      </c>
      <c r="R96">
        <f>YEAR(Table1[[#This Row],[Order_Date_New]])</f>
        <v>2025</v>
      </c>
      <c r="S96">
        <f>MONTH(Table1[[#This Row],[Order_Date_New]])</f>
        <v>12</v>
      </c>
      <c r="T96" t="str">
        <f>TEXT(Table1[[#This Row],[Order_Date_New]],"mmmm")</f>
        <v>December</v>
      </c>
      <c r="U96">
        <f>Table1[[#This Row],[Profit]]/Table1[[#This Row],[Sales]]</f>
        <v>9.8953140578265208E-2</v>
      </c>
      <c r="V96" t="str">
        <f>IF(Table1[[#This Row],[Discount]]=0,"No Discount",IF(Table1[[#This Row],[Discount]]&lt;=0.1,"Low",IF(Table1[[#This Row],[Discount]]&lt;=0.2,"medium","high")))</f>
        <v>high</v>
      </c>
    </row>
    <row r="97" spans="1:22" x14ac:dyDescent="0.3">
      <c r="A97" t="s">
        <v>275</v>
      </c>
      <c r="B97" s="6">
        <v>45446</v>
      </c>
      <c r="C97" t="s">
        <v>276</v>
      </c>
      <c r="D97" t="s">
        <v>33</v>
      </c>
      <c r="E97" t="s">
        <v>66</v>
      </c>
      <c r="F97" t="s">
        <v>26</v>
      </c>
      <c r="G97" t="s">
        <v>35</v>
      </c>
      <c r="H97" t="s">
        <v>36</v>
      </c>
      <c r="I97">
        <v>4500.5</v>
      </c>
      <c r="J97">
        <v>5</v>
      </c>
      <c r="K97">
        <v>0.3</v>
      </c>
      <c r="L97">
        <v>331.97</v>
      </c>
      <c r="M97" t="s">
        <v>43</v>
      </c>
      <c r="N97" t="s">
        <v>38</v>
      </c>
      <c r="O97" t="str">
        <f t="shared" si="2"/>
        <v>Bad</v>
      </c>
      <c r="P97">
        <f t="shared" si="3"/>
        <v>900.1</v>
      </c>
      <c r="Q97">
        <v>45446</v>
      </c>
      <c r="R97">
        <f>YEAR(Table1[[#This Row],[Order_Date_New]])</f>
        <v>2024</v>
      </c>
      <c r="S97">
        <f>MONTH(Table1[[#This Row],[Order_Date_New]])</f>
        <v>6</v>
      </c>
      <c r="T97" t="str">
        <f>TEXT(Table1[[#This Row],[Order_Date_New]],"mmmm")</f>
        <v>June</v>
      </c>
      <c r="U97">
        <f>Table1[[#This Row],[Profit]]/Table1[[#This Row],[Sales]]</f>
        <v>7.3762915231640941E-2</v>
      </c>
      <c r="V97" t="str">
        <f>IF(Table1[[#This Row],[Discount]]=0,"No Discount",IF(Table1[[#This Row],[Discount]]&lt;=0.1,"Low",IF(Table1[[#This Row],[Discount]]&lt;=0.2,"medium","high")))</f>
        <v>high</v>
      </c>
    </row>
    <row r="98" spans="1:22" x14ac:dyDescent="0.3">
      <c r="A98" t="s">
        <v>277</v>
      </c>
      <c r="B98" s="6">
        <v>45964</v>
      </c>
      <c r="C98" t="s">
        <v>278</v>
      </c>
      <c r="D98" t="s">
        <v>53</v>
      </c>
      <c r="E98" t="s">
        <v>77</v>
      </c>
      <c r="F98" t="s">
        <v>26</v>
      </c>
      <c r="G98" t="s">
        <v>41</v>
      </c>
      <c r="H98" t="s">
        <v>189</v>
      </c>
      <c r="I98">
        <v>4682</v>
      </c>
      <c r="J98">
        <v>10</v>
      </c>
      <c r="K98">
        <v>0.15</v>
      </c>
      <c r="L98">
        <v>108.83</v>
      </c>
      <c r="M98" t="s">
        <v>43</v>
      </c>
      <c r="N98" t="s">
        <v>38</v>
      </c>
      <c r="O98" t="str">
        <f t="shared" si="2"/>
        <v>Bad</v>
      </c>
      <c r="P98">
        <f t="shared" si="3"/>
        <v>468.2</v>
      </c>
      <c r="Q98">
        <v>45964</v>
      </c>
      <c r="R98">
        <f>YEAR(Table1[[#This Row],[Order_Date_New]])</f>
        <v>2025</v>
      </c>
      <c r="S98">
        <f>MONTH(Table1[[#This Row],[Order_Date_New]])</f>
        <v>11</v>
      </c>
      <c r="T98" t="str">
        <f>TEXT(Table1[[#This Row],[Order_Date_New]],"mmmm")</f>
        <v>November</v>
      </c>
      <c r="U98">
        <f>Table1[[#This Row],[Profit]]/Table1[[#This Row],[Sales]]</f>
        <v>2.3244340025630073E-2</v>
      </c>
      <c r="V98" t="str">
        <f>IF(Table1[[#This Row],[Discount]]=0,"No Discount",IF(Table1[[#This Row],[Discount]]&lt;=0.1,"Low",IF(Table1[[#This Row],[Discount]]&lt;=0.2,"medium","high")))</f>
        <v>medium</v>
      </c>
    </row>
    <row r="99" spans="1:22" x14ac:dyDescent="0.3">
      <c r="A99" t="s">
        <v>279</v>
      </c>
      <c r="B99" s="6">
        <v>45843</v>
      </c>
      <c r="C99" t="s">
        <v>115</v>
      </c>
      <c r="D99" t="s">
        <v>128</v>
      </c>
      <c r="E99" t="s">
        <v>132</v>
      </c>
      <c r="F99" t="s">
        <v>26</v>
      </c>
      <c r="G99" t="s">
        <v>27</v>
      </c>
      <c r="H99" t="s">
        <v>28</v>
      </c>
      <c r="I99">
        <v>2116.17</v>
      </c>
      <c r="J99">
        <v>9</v>
      </c>
      <c r="K99">
        <v>0.15</v>
      </c>
      <c r="L99">
        <v>136.69999999999999</v>
      </c>
      <c r="M99" t="s">
        <v>90</v>
      </c>
      <c r="N99" t="s">
        <v>80</v>
      </c>
      <c r="O99" t="str">
        <f t="shared" si="2"/>
        <v>Bad</v>
      </c>
      <c r="P99">
        <f t="shared" si="3"/>
        <v>235.13</v>
      </c>
      <c r="Q99">
        <v>45843</v>
      </c>
      <c r="R99">
        <f>YEAR(Table1[[#This Row],[Order_Date_New]])</f>
        <v>2025</v>
      </c>
      <c r="S99">
        <f>MONTH(Table1[[#This Row],[Order_Date_New]])</f>
        <v>7</v>
      </c>
      <c r="T99" t="str">
        <f>TEXT(Table1[[#This Row],[Order_Date_New]],"mmmm")</f>
        <v>July</v>
      </c>
      <c r="U99">
        <f>Table1[[#This Row],[Profit]]/Table1[[#This Row],[Sales]]</f>
        <v>6.4597834767528117E-2</v>
      </c>
      <c r="V99" t="str">
        <f>IF(Table1[[#This Row],[Discount]]=0,"No Discount",IF(Table1[[#This Row],[Discount]]&lt;=0.1,"Low",IF(Table1[[#This Row],[Discount]]&lt;=0.2,"medium","high")))</f>
        <v>medium</v>
      </c>
    </row>
    <row r="100" spans="1:22" x14ac:dyDescent="0.3">
      <c r="A100" t="s">
        <v>280</v>
      </c>
      <c r="B100" s="6">
        <v>45703</v>
      </c>
      <c r="C100" t="s">
        <v>197</v>
      </c>
      <c r="D100" t="s">
        <v>53</v>
      </c>
      <c r="E100" t="s">
        <v>77</v>
      </c>
      <c r="F100" t="s">
        <v>26</v>
      </c>
      <c r="G100" t="s">
        <v>41</v>
      </c>
      <c r="H100" t="s">
        <v>108</v>
      </c>
      <c r="I100">
        <v>635.54</v>
      </c>
      <c r="J100">
        <v>2</v>
      </c>
      <c r="K100">
        <v>0.2</v>
      </c>
      <c r="L100">
        <v>112.32</v>
      </c>
      <c r="M100" t="s">
        <v>113</v>
      </c>
      <c r="N100" t="s">
        <v>80</v>
      </c>
      <c r="O100" t="str">
        <f t="shared" si="2"/>
        <v>Bad</v>
      </c>
      <c r="P100">
        <f t="shared" si="3"/>
        <v>317.77</v>
      </c>
      <c r="Q100">
        <v>45703</v>
      </c>
      <c r="R100">
        <f>YEAR(Table1[[#This Row],[Order_Date_New]])</f>
        <v>2025</v>
      </c>
      <c r="S100">
        <f>MONTH(Table1[[#This Row],[Order_Date_New]])</f>
        <v>2</v>
      </c>
      <c r="T100" t="str">
        <f>TEXT(Table1[[#This Row],[Order_Date_New]],"mmmm")</f>
        <v>February</v>
      </c>
      <c r="U100">
        <f>Table1[[#This Row],[Profit]]/Table1[[#This Row],[Sales]]</f>
        <v>0.17673159832583316</v>
      </c>
      <c r="V100" t="str">
        <f>IF(Table1[[#This Row],[Discount]]=0,"No Discount",IF(Table1[[#This Row],[Discount]]&lt;=0.1,"Low",IF(Table1[[#This Row],[Discount]]&lt;=0.2,"medium","high")))</f>
        <v>medium</v>
      </c>
    </row>
    <row r="101" spans="1:22" x14ac:dyDescent="0.3">
      <c r="A101" t="s">
        <v>281</v>
      </c>
      <c r="B101" s="6">
        <v>45334</v>
      </c>
      <c r="C101" t="s">
        <v>219</v>
      </c>
      <c r="D101" t="s">
        <v>24</v>
      </c>
      <c r="E101" t="s">
        <v>59</v>
      </c>
      <c r="F101" t="s">
        <v>26</v>
      </c>
      <c r="G101" t="s">
        <v>35</v>
      </c>
      <c r="H101" t="s">
        <v>36</v>
      </c>
      <c r="I101">
        <v>1950.06</v>
      </c>
      <c r="J101">
        <v>3</v>
      </c>
      <c r="K101">
        <v>0.05</v>
      </c>
      <c r="L101">
        <v>204.4</v>
      </c>
      <c r="M101" t="s">
        <v>37</v>
      </c>
      <c r="N101" t="s">
        <v>80</v>
      </c>
      <c r="O101" t="str">
        <f t="shared" si="2"/>
        <v>Bad</v>
      </c>
      <c r="P101">
        <f t="shared" si="3"/>
        <v>650.02</v>
      </c>
      <c r="Q101">
        <v>45334</v>
      </c>
      <c r="R101">
        <f>YEAR(Table1[[#This Row],[Order_Date_New]])</f>
        <v>2024</v>
      </c>
      <c r="S101">
        <f>MONTH(Table1[[#This Row],[Order_Date_New]])</f>
        <v>2</v>
      </c>
      <c r="T101" t="str">
        <f>TEXT(Table1[[#This Row],[Order_Date_New]],"mmmm")</f>
        <v>February</v>
      </c>
      <c r="U101">
        <f>Table1[[#This Row],[Profit]]/Table1[[#This Row],[Sales]]</f>
        <v>0.10481728767319981</v>
      </c>
      <c r="V101" t="str">
        <f>IF(Table1[[#This Row],[Discount]]=0,"No Discount",IF(Table1[[#This Row],[Discount]]&lt;=0.1,"Low",IF(Table1[[#This Row],[Discount]]&lt;=0.2,"medium","high")))</f>
        <v>Low</v>
      </c>
    </row>
    <row r="102" spans="1:22" x14ac:dyDescent="0.3">
      <c r="A102" t="s">
        <v>282</v>
      </c>
      <c r="B102" s="6">
        <v>45556</v>
      </c>
      <c r="C102" t="s">
        <v>283</v>
      </c>
      <c r="D102" t="s">
        <v>33</v>
      </c>
      <c r="E102" t="s">
        <v>34</v>
      </c>
      <c r="F102" t="s">
        <v>60</v>
      </c>
      <c r="G102" t="s">
        <v>61</v>
      </c>
      <c r="H102" t="s">
        <v>122</v>
      </c>
      <c r="I102">
        <v>4904.46</v>
      </c>
      <c r="J102">
        <v>6</v>
      </c>
      <c r="K102">
        <v>0</v>
      </c>
      <c r="L102">
        <v>2115.63</v>
      </c>
      <c r="M102" t="s">
        <v>105</v>
      </c>
      <c r="N102" t="s">
        <v>30</v>
      </c>
      <c r="O102" t="str">
        <f t="shared" si="2"/>
        <v>Bad</v>
      </c>
      <c r="P102">
        <f t="shared" si="3"/>
        <v>817.41</v>
      </c>
      <c r="Q102">
        <v>45556</v>
      </c>
      <c r="R102">
        <f>YEAR(Table1[[#This Row],[Order_Date_New]])</f>
        <v>2024</v>
      </c>
      <c r="S102">
        <f>MONTH(Table1[[#This Row],[Order_Date_New]])</f>
        <v>9</v>
      </c>
      <c r="T102" t="str">
        <f>TEXT(Table1[[#This Row],[Order_Date_New]],"mmmm")</f>
        <v>September</v>
      </c>
      <c r="U102">
        <f>Table1[[#This Row],[Profit]]/Table1[[#This Row],[Sales]]</f>
        <v>0.43136859103754543</v>
      </c>
      <c r="V102" t="str">
        <f>IF(Table1[[#This Row],[Discount]]=0,"No Discount",IF(Table1[[#This Row],[Discount]]&lt;=0.1,"Low",IF(Table1[[#This Row],[Discount]]&lt;=0.2,"medium","high")))</f>
        <v>No Discount</v>
      </c>
    </row>
    <row r="103" spans="1:22" x14ac:dyDescent="0.3">
      <c r="A103" t="s">
        <v>284</v>
      </c>
      <c r="B103" s="6">
        <v>45838</v>
      </c>
      <c r="C103" t="s">
        <v>285</v>
      </c>
      <c r="D103" t="s">
        <v>53</v>
      </c>
      <c r="E103" t="s">
        <v>107</v>
      </c>
      <c r="F103" t="s">
        <v>60</v>
      </c>
      <c r="G103" t="s">
        <v>98</v>
      </c>
      <c r="H103" t="s">
        <v>138</v>
      </c>
      <c r="I103">
        <v>5038.88</v>
      </c>
      <c r="J103">
        <v>7</v>
      </c>
      <c r="K103">
        <v>0.25</v>
      </c>
      <c r="L103">
        <v>-690.95</v>
      </c>
      <c r="M103" t="s">
        <v>43</v>
      </c>
      <c r="N103" t="s">
        <v>38</v>
      </c>
      <c r="O103" t="str">
        <f t="shared" si="2"/>
        <v>Bad</v>
      </c>
      <c r="P103">
        <f t="shared" si="3"/>
        <v>719.84</v>
      </c>
      <c r="Q103">
        <v>45838</v>
      </c>
      <c r="R103">
        <f>YEAR(Table1[[#This Row],[Order_Date_New]])</f>
        <v>2025</v>
      </c>
      <c r="S103">
        <f>MONTH(Table1[[#This Row],[Order_Date_New]])</f>
        <v>6</v>
      </c>
      <c r="T103" t="str">
        <f>TEXT(Table1[[#This Row],[Order_Date_New]],"mmmm")</f>
        <v>June</v>
      </c>
      <c r="U103">
        <f>Table1[[#This Row],[Profit]]/Table1[[#This Row],[Sales]]</f>
        <v>-0.13712372590734451</v>
      </c>
      <c r="V103" t="str">
        <f>IF(Table1[[#This Row],[Discount]]=0,"No Discount",IF(Table1[[#This Row],[Discount]]&lt;=0.1,"Low",IF(Table1[[#This Row],[Discount]]&lt;=0.2,"medium","high")))</f>
        <v>high</v>
      </c>
    </row>
    <row r="104" spans="1:22" x14ac:dyDescent="0.3">
      <c r="A104" t="s">
        <v>286</v>
      </c>
      <c r="B104" s="6">
        <v>45501</v>
      </c>
      <c r="C104" t="s">
        <v>154</v>
      </c>
      <c r="D104" t="s">
        <v>24</v>
      </c>
      <c r="E104" t="s">
        <v>59</v>
      </c>
      <c r="F104" t="s">
        <v>60</v>
      </c>
      <c r="G104" t="s">
        <v>98</v>
      </c>
      <c r="H104" t="s">
        <v>138</v>
      </c>
      <c r="I104">
        <v>1862.9</v>
      </c>
      <c r="J104">
        <v>10</v>
      </c>
      <c r="K104">
        <v>0.05</v>
      </c>
      <c r="L104">
        <v>164.13</v>
      </c>
      <c r="M104" t="s">
        <v>68</v>
      </c>
      <c r="N104" t="s">
        <v>80</v>
      </c>
      <c r="O104" t="str">
        <f t="shared" si="2"/>
        <v>Bad</v>
      </c>
      <c r="P104">
        <f t="shared" si="3"/>
        <v>186.29000000000002</v>
      </c>
      <c r="Q104">
        <v>45501</v>
      </c>
      <c r="R104">
        <f>YEAR(Table1[[#This Row],[Order_Date_New]])</f>
        <v>2024</v>
      </c>
      <c r="S104">
        <f>MONTH(Table1[[#This Row],[Order_Date_New]])</f>
        <v>7</v>
      </c>
      <c r="T104" t="str">
        <f>TEXT(Table1[[#This Row],[Order_Date_New]],"mmmm")</f>
        <v>July</v>
      </c>
      <c r="U104">
        <f>Table1[[#This Row],[Profit]]/Table1[[#This Row],[Sales]]</f>
        <v>8.8104568146438342E-2</v>
      </c>
      <c r="V104" t="str">
        <f>IF(Table1[[#This Row],[Discount]]=0,"No Discount",IF(Table1[[#This Row],[Discount]]&lt;=0.1,"Low",IF(Table1[[#This Row],[Discount]]&lt;=0.2,"medium","high")))</f>
        <v>Low</v>
      </c>
    </row>
    <row r="105" spans="1:22" x14ac:dyDescent="0.3">
      <c r="A105" t="s">
        <v>287</v>
      </c>
      <c r="B105" s="6">
        <v>45723</v>
      </c>
      <c r="C105" t="s">
        <v>288</v>
      </c>
      <c r="D105" t="s">
        <v>128</v>
      </c>
      <c r="E105" t="s">
        <v>146</v>
      </c>
      <c r="F105" t="s">
        <v>72</v>
      </c>
      <c r="G105" t="s">
        <v>88</v>
      </c>
      <c r="H105" t="s">
        <v>119</v>
      </c>
      <c r="I105">
        <v>5749.47</v>
      </c>
      <c r="J105">
        <v>9</v>
      </c>
      <c r="K105">
        <v>0.1</v>
      </c>
      <c r="L105">
        <v>-111.31</v>
      </c>
      <c r="M105" t="s">
        <v>90</v>
      </c>
      <c r="N105" t="s">
        <v>38</v>
      </c>
      <c r="O105" t="str">
        <f t="shared" si="2"/>
        <v>Good</v>
      </c>
      <c r="P105">
        <f t="shared" si="3"/>
        <v>638.83000000000004</v>
      </c>
      <c r="Q105">
        <v>45723</v>
      </c>
      <c r="R105">
        <f>YEAR(Table1[[#This Row],[Order_Date_New]])</f>
        <v>2025</v>
      </c>
      <c r="S105">
        <f>MONTH(Table1[[#This Row],[Order_Date_New]])</f>
        <v>3</v>
      </c>
      <c r="T105" t="str">
        <f>TEXT(Table1[[#This Row],[Order_Date_New]],"mmmm")</f>
        <v>March</v>
      </c>
      <c r="U105">
        <f>Table1[[#This Row],[Profit]]/Table1[[#This Row],[Sales]]</f>
        <v>-1.9360045360702811E-2</v>
      </c>
      <c r="V105" t="str">
        <f>IF(Table1[[#This Row],[Discount]]=0,"No Discount",IF(Table1[[#This Row],[Discount]]&lt;=0.1,"Low",IF(Table1[[#This Row],[Discount]]&lt;=0.2,"medium","high")))</f>
        <v>Low</v>
      </c>
    </row>
    <row r="106" spans="1:22" x14ac:dyDescent="0.3">
      <c r="A106" t="s">
        <v>289</v>
      </c>
      <c r="B106" s="6">
        <v>45405</v>
      </c>
      <c r="C106" t="s">
        <v>290</v>
      </c>
      <c r="D106" t="s">
        <v>24</v>
      </c>
      <c r="E106" t="s">
        <v>97</v>
      </c>
      <c r="F106" t="s">
        <v>60</v>
      </c>
      <c r="G106" t="s">
        <v>61</v>
      </c>
      <c r="H106" t="s">
        <v>122</v>
      </c>
      <c r="I106">
        <v>2452.08</v>
      </c>
      <c r="J106">
        <v>3</v>
      </c>
      <c r="K106">
        <v>0.25</v>
      </c>
      <c r="L106">
        <v>286.58999999999997</v>
      </c>
      <c r="M106" t="s">
        <v>43</v>
      </c>
      <c r="N106" t="s">
        <v>38</v>
      </c>
      <c r="O106" t="str">
        <f t="shared" si="2"/>
        <v>Bad</v>
      </c>
      <c r="P106">
        <f t="shared" si="3"/>
        <v>817.36</v>
      </c>
      <c r="Q106">
        <v>45405</v>
      </c>
      <c r="R106">
        <f>YEAR(Table1[[#This Row],[Order_Date_New]])</f>
        <v>2024</v>
      </c>
      <c r="S106">
        <f>MONTH(Table1[[#This Row],[Order_Date_New]])</f>
        <v>4</v>
      </c>
      <c r="T106" t="str">
        <f>TEXT(Table1[[#This Row],[Order_Date_New]],"mmmm")</f>
        <v>April</v>
      </c>
      <c r="U106">
        <f>Table1[[#This Row],[Profit]]/Table1[[#This Row],[Sales]]</f>
        <v>0.11687628462366643</v>
      </c>
      <c r="V106" t="str">
        <f>IF(Table1[[#This Row],[Discount]]=0,"No Discount",IF(Table1[[#This Row],[Discount]]&lt;=0.1,"Low",IF(Table1[[#This Row],[Discount]]&lt;=0.2,"medium","high")))</f>
        <v>high</v>
      </c>
    </row>
    <row r="107" spans="1:22" x14ac:dyDescent="0.3">
      <c r="A107" t="s">
        <v>291</v>
      </c>
      <c r="B107" s="6">
        <v>45973</v>
      </c>
      <c r="C107" t="s">
        <v>292</v>
      </c>
      <c r="D107" t="s">
        <v>53</v>
      </c>
      <c r="E107" t="s">
        <v>87</v>
      </c>
      <c r="F107" t="s">
        <v>72</v>
      </c>
      <c r="G107" t="s">
        <v>73</v>
      </c>
      <c r="H107" t="s">
        <v>293</v>
      </c>
      <c r="I107">
        <v>9498.48</v>
      </c>
      <c r="J107">
        <v>8</v>
      </c>
      <c r="K107">
        <v>0.15</v>
      </c>
      <c r="L107">
        <v>479.9</v>
      </c>
      <c r="M107" t="s">
        <v>49</v>
      </c>
      <c r="N107" t="s">
        <v>80</v>
      </c>
      <c r="O107" t="str">
        <f t="shared" si="2"/>
        <v>Good</v>
      </c>
      <c r="P107">
        <f t="shared" si="3"/>
        <v>1187.31</v>
      </c>
      <c r="Q107">
        <v>45973</v>
      </c>
      <c r="R107">
        <f>YEAR(Table1[[#This Row],[Order_Date_New]])</f>
        <v>2025</v>
      </c>
      <c r="S107">
        <f>MONTH(Table1[[#This Row],[Order_Date_New]])</f>
        <v>11</v>
      </c>
      <c r="T107" t="str">
        <f>TEXT(Table1[[#This Row],[Order_Date_New]],"mmmm")</f>
        <v>November</v>
      </c>
      <c r="U107">
        <f>Table1[[#This Row],[Profit]]/Table1[[#This Row],[Sales]]</f>
        <v>5.0523873293411153E-2</v>
      </c>
      <c r="V107" t="str">
        <f>IF(Table1[[#This Row],[Discount]]=0,"No Discount",IF(Table1[[#This Row],[Discount]]&lt;=0.1,"Low",IF(Table1[[#This Row],[Discount]]&lt;=0.2,"medium","high")))</f>
        <v>medium</v>
      </c>
    </row>
    <row r="108" spans="1:22" x14ac:dyDescent="0.3">
      <c r="A108" t="s">
        <v>294</v>
      </c>
      <c r="B108" s="6">
        <v>45810</v>
      </c>
      <c r="C108" t="s">
        <v>246</v>
      </c>
      <c r="D108" t="s">
        <v>33</v>
      </c>
      <c r="E108" t="s">
        <v>118</v>
      </c>
      <c r="F108" t="s">
        <v>60</v>
      </c>
      <c r="G108" t="s">
        <v>98</v>
      </c>
      <c r="H108" t="s">
        <v>99</v>
      </c>
      <c r="I108">
        <v>3163.2</v>
      </c>
      <c r="J108">
        <v>3</v>
      </c>
      <c r="K108">
        <v>0.3</v>
      </c>
      <c r="L108">
        <v>114.73</v>
      </c>
      <c r="M108" t="s">
        <v>170</v>
      </c>
      <c r="N108" t="s">
        <v>44</v>
      </c>
      <c r="O108" t="str">
        <f t="shared" si="2"/>
        <v>Bad</v>
      </c>
      <c r="P108">
        <f t="shared" si="3"/>
        <v>1054.3999999999999</v>
      </c>
      <c r="Q108">
        <v>45810</v>
      </c>
      <c r="R108">
        <f>YEAR(Table1[[#This Row],[Order_Date_New]])</f>
        <v>2025</v>
      </c>
      <c r="S108">
        <f>MONTH(Table1[[#This Row],[Order_Date_New]])</f>
        <v>6</v>
      </c>
      <c r="T108" t="str">
        <f>TEXT(Table1[[#This Row],[Order_Date_New]],"mmmm")</f>
        <v>June</v>
      </c>
      <c r="U108">
        <f>Table1[[#This Row],[Profit]]/Table1[[#This Row],[Sales]]</f>
        <v>3.6270232675771376E-2</v>
      </c>
      <c r="V108" t="str">
        <f>IF(Table1[[#This Row],[Discount]]=0,"No Discount",IF(Table1[[#This Row],[Discount]]&lt;=0.1,"Low",IF(Table1[[#This Row],[Discount]]&lt;=0.2,"medium","high")))</f>
        <v>high</v>
      </c>
    </row>
    <row r="109" spans="1:22" x14ac:dyDescent="0.3">
      <c r="A109" t="s">
        <v>295</v>
      </c>
      <c r="B109" s="6">
        <v>45743</v>
      </c>
      <c r="C109" t="s">
        <v>296</v>
      </c>
      <c r="D109" t="s">
        <v>128</v>
      </c>
      <c r="E109" t="s">
        <v>132</v>
      </c>
      <c r="F109" t="s">
        <v>72</v>
      </c>
      <c r="G109" t="s">
        <v>111</v>
      </c>
      <c r="H109" t="s">
        <v>112</v>
      </c>
      <c r="I109">
        <v>72.599999999999994</v>
      </c>
      <c r="J109">
        <v>4</v>
      </c>
      <c r="K109">
        <v>0</v>
      </c>
      <c r="L109">
        <v>4.68</v>
      </c>
      <c r="M109" t="s">
        <v>29</v>
      </c>
      <c r="N109" t="s">
        <v>44</v>
      </c>
      <c r="O109" t="str">
        <f t="shared" si="2"/>
        <v>Bad</v>
      </c>
      <c r="P109">
        <f t="shared" si="3"/>
        <v>18.149999999999999</v>
      </c>
      <c r="Q109">
        <v>45743</v>
      </c>
      <c r="R109">
        <f>YEAR(Table1[[#This Row],[Order_Date_New]])</f>
        <v>2025</v>
      </c>
      <c r="S109">
        <f>MONTH(Table1[[#This Row],[Order_Date_New]])</f>
        <v>3</v>
      </c>
      <c r="T109" t="str">
        <f>TEXT(Table1[[#This Row],[Order_Date_New]],"mmmm")</f>
        <v>March</v>
      </c>
      <c r="U109">
        <f>Table1[[#This Row],[Profit]]/Table1[[#This Row],[Sales]]</f>
        <v>6.4462809917355368E-2</v>
      </c>
      <c r="V109" t="str">
        <f>IF(Table1[[#This Row],[Discount]]=0,"No Discount",IF(Table1[[#This Row],[Discount]]&lt;=0.1,"Low",IF(Table1[[#This Row],[Discount]]&lt;=0.2,"medium","high")))</f>
        <v>No Discount</v>
      </c>
    </row>
    <row r="110" spans="1:22" x14ac:dyDescent="0.3">
      <c r="A110" t="s">
        <v>297</v>
      </c>
      <c r="B110" s="6">
        <v>45661</v>
      </c>
      <c r="C110" t="s">
        <v>244</v>
      </c>
      <c r="D110" t="s">
        <v>53</v>
      </c>
      <c r="E110" t="s">
        <v>107</v>
      </c>
      <c r="F110" t="s">
        <v>72</v>
      </c>
      <c r="G110" t="s">
        <v>111</v>
      </c>
      <c r="H110" t="s">
        <v>112</v>
      </c>
      <c r="I110">
        <v>2205.54</v>
      </c>
      <c r="J110">
        <v>2</v>
      </c>
      <c r="K110">
        <v>0.3</v>
      </c>
      <c r="L110">
        <v>-424.47</v>
      </c>
      <c r="M110" t="s">
        <v>105</v>
      </c>
      <c r="N110" t="s">
        <v>30</v>
      </c>
      <c r="O110" t="str">
        <f t="shared" si="2"/>
        <v>Bad</v>
      </c>
      <c r="P110">
        <f t="shared" si="3"/>
        <v>1102.77</v>
      </c>
      <c r="Q110">
        <v>45661</v>
      </c>
      <c r="R110">
        <f>YEAR(Table1[[#This Row],[Order_Date_New]])</f>
        <v>2025</v>
      </c>
      <c r="S110">
        <f>MONTH(Table1[[#This Row],[Order_Date_New]])</f>
        <v>1</v>
      </c>
      <c r="T110" t="str">
        <f>TEXT(Table1[[#This Row],[Order_Date_New]],"mmmm")</f>
        <v>January</v>
      </c>
      <c r="U110">
        <f>Table1[[#This Row],[Profit]]/Table1[[#This Row],[Sales]]</f>
        <v>-0.19245626921298187</v>
      </c>
      <c r="V110" t="str">
        <f>IF(Table1[[#This Row],[Discount]]=0,"No Discount",IF(Table1[[#This Row],[Discount]]&lt;=0.1,"Low",IF(Table1[[#This Row],[Discount]]&lt;=0.2,"medium","high")))</f>
        <v>high</v>
      </c>
    </row>
    <row r="111" spans="1:22" x14ac:dyDescent="0.3">
      <c r="A111" t="s">
        <v>298</v>
      </c>
      <c r="B111" s="6">
        <v>45312</v>
      </c>
      <c r="C111" t="s">
        <v>211</v>
      </c>
      <c r="D111" t="s">
        <v>33</v>
      </c>
      <c r="E111" t="s">
        <v>34</v>
      </c>
      <c r="F111" t="s">
        <v>60</v>
      </c>
      <c r="G111" t="s">
        <v>98</v>
      </c>
      <c r="H111" t="s">
        <v>141</v>
      </c>
      <c r="I111">
        <v>1273.83</v>
      </c>
      <c r="J111">
        <v>3</v>
      </c>
      <c r="K111">
        <v>0.2</v>
      </c>
      <c r="L111">
        <v>95.16</v>
      </c>
      <c r="M111" t="s">
        <v>113</v>
      </c>
      <c r="N111" t="s">
        <v>80</v>
      </c>
      <c r="O111" t="str">
        <f t="shared" si="2"/>
        <v>Bad</v>
      </c>
      <c r="P111">
        <f t="shared" si="3"/>
        <v>424.60999999999996</v>
      </c>
      <c r="Q111">
        <v>45312</v>
      </c>
      <c r="R111">
        <f>YEAR(Table1[[#This Row],[Order_Date_New]])</f>
        <v>2024</v>
      </c>
      <c r="S111">
        <f>MONTH(Table1[[#This Row],[Order_Date_New]])</f>
        <v>1</v>
      </c>
      <c r="T111" t="str">
        <f>TEXT(Table1[[#This Row],[Order_Date_New]],"mmmm")</f>
        <v>January</v>
      </c>
      <c r="U111">
        <f>Table1[[#This Row],[Profit]]/Table1[[#This Row],[Sales]]</f>
        <v>7.4703845882103576E-2</v>
      </c>
      <c r="V111" t="str">
        <f>IF(Table1[[#This Row],[Discount]]=0,"No Discount",IF(Table1[[#This Row],[Discount]]&lt;=0.1,"Low",IF(Table1[[#This Row],[Discount]]&lt;=0.2,"medium","high")))</f>
        <v>medium</v>
      </c>
    </row>
    <row r="112" spans="1:22" x14ac:dyDescent="0.3">
      <c r="A112" t="s">
        <v>299</v>
      </c>
      <c r="B112" s="6">
        <v>45932</v>
      </c>
      <c r="C112" t="s">
        <v>215</v>
      </c>
      <c r="D112" t="s">
        <v>33</v>
      </c>
      <c r="E112" t="s">
        <v>66</v>
      </c>
      <c r="F112" t="s">
        <v>72</v>
      </c>
      <c r="G112" t="s">
        <v>88</v>
      </c>
      <c r="H112" t="s">
        <v>209</v>
      </c>
      <c r="I112">
        <v>4671.59</v>
      </c>
      <c r="J112">
        <v>7</v>
      </c>
      <c r="K112">
        <v>0.05</v>
      </c>
      <c r="L112">
        <v>378.52</v>
      </c>
      <c r="M112" t="s">
        <v>105</v>
      </c>
      <c r="N112" t="s">
        <v>80</v>
      </c>
      <c r="O112" t="str">
        <f t="shared" si="2"/>
        <v>Bad</v>
      </c>
      <c r="P112">
        <f t="shared" si="3"/>
        <v>667.37</v>
      </c>
      <c r="Q112">
        <v>45932</v>
      </c>
      <c r="R112">
        <f>YEAR(Table1[[#This Row],[Order_Date_New]])</f>
        <v>2025</v>
      </c>
      <c r="S112">
        <f>MONTH(Table1[[#This Row],[Order_Date_New]])</f>
        <v>10</v>
      </c>
      <c r="T112" t="str">
        <f>TEXT(Table1[[#This Row],[Order_Date_New]],"mmmm")</f>
        <v>October</v>
      </c>
      <c r="U112">
        <f>Table1[[#This Row],[Profit]]/Table1[[#This Row],[Sales]]</f>
        <v>8.102594619818948E-2</v>
      </c>
      <c r="V112" t="str">
        <f>IF(Table1[[#This Row],[Discount]]=0,"No Discount",IF(Table1[[#This Row],[Discount]]&lt;=0.1,"Low",IF(Table1[[#This Row],[Discount]]&lt;=0.2,"medium","high")))</f>
        <v>Low</v>
      </c>
    </row>
    <row r="113" spans="1:22" x14ac:dyDescent="0.3">
      <c r="A113" t="s">
        <v>300</v>
      </c>
      <c r="B113" s="6">
        <v>45537</v>
      </c>
      <c r="C113" t="s">
        <v>301</v>
      </c>
      <c r="D113" t="s">
        <v>33</v>
      </c>
      <c r="E113" t="s">
        <v>66</v>
      </c>
      <c r="F113" t="s">
        <v>72</v>
      </c>
      <c r="G113" t="s">
        <v>88</v>
      </c>
      <c r="H113" t="s">
        <v>209</v>
      </c>
      <c r="I113">
        <v>5792.94</v>
      </c>
      <c r="J113">
        <v>6</v>
      </c>
      <c r="K113">
        <v>0.15</v>
      </c>
      <c r="L113">
        <v>1438.99</v>
      </c>
      <c r="M113" t="s">
        <v>90</v>
      </c>
      <c r="N113" t="s">
        <v>44</v>
      </c>
      <c r="O113" t="str">
        <f t="shared" si="2"/>
        <v>Bad</v>
      </c>
      <c r="P113">
        <f t="shared" si="3"/>
        <v>965.4899999999999</v>
      </c>
      <c r="Q113">
        <v>45537</v>
      </c>
      <c r="R113">
        <f>YEAR(Table1[[#This Row],[Order_Date_New]])</f>
        <v>2024</v>
      </c>
      <c r="S113">
        <f>MONTH(Table1[[#This Row],[Order_Date_New]])</f>
        <v>9</v>
      </c>
      <c r="T113" t="str">
        <f>TEXT(Table1[[#This Row],[Order_Date_New]],"mmmm")</f>
        <v>September</v>
      </c>
      <c r="U113">
        <f>Table1[[#This Row],[Profit]]/Table1[[#This Row],[Sales]]</f>
        <v>0.24840409187735418</v>
      </c>
      <c r="V113" t="str">
        <f>IF(Table1[[#This Row],[Discount]]=0,"No Discount",IF(Table1[[#This Row],[Discount]]&lt;=0.1,"Low",IF(Table1[[#This Row],[Discount]]&lt;=0.2,"medium","high")))</f>
        <v>medium</v>
      </c>
    </row>
    <row r="114" spans="1:22" x14ac:dyDescent="0.3">
      <c r="A114" t="s">
        <v>302</v>
      </c>
      <c r="B114" s="6">
        <v>45866</v>
      </c>
      <c r="C114" t="s">
        <v>94</v>
      </c>
      <c r="D114" t="s">
        <v>24</v>
      </c>
      <c r="E114" t="s">
        <v>59</v>
      </c>
      <c r="F114" t="s">
        <v>26</v>
      </c>
      <c r="G114" t="s">
        <v>35</v>
      </c>
      <c r="H114" t="s">
        <v>36</v>
      </c>
      <c r="I114">
        <v>879.2</v>
      </c>
      <c r="J114">
        <v>7</v>
      </c>
      <c r="K114">
        <v>0.15</v>
      </c>
      <c r="L114">
        <v>164.59</v>
      </c>
      <c r="M114" t="s">
        <v>43</v>
      </c>
      <c r="N114" t="s">
        <v>44</v>
      </c>
      <c r="O114" t="str">
        <f t="shared" si="2"/>
        <v>Bad</v>
      </c>
      <c r="P114">
        <f t="shared" si="3"/>
        <v>125.60000000000001</v>
      </c>
      <c r="Q114">
        <v>45866</v>
      </c>
      <c r="R114">
        <f>YEAR(Table1[[#This Row],[Order_Date_New]])</f>
        <v>2025</v>
      </c>
      <c r="S114">
        <f>MONTH(Table1[[#This Row],[Order_Date_New]])</f>
        <v>7</v>
      </c>
      <c r="T114" t="str">
        <f>TEXT(Table1[[#This Row],[Order_Date_New]],"mmmm")</f>
        <v>July</v>
      </c>
      <c r="U114">
        <f>Table1[[#This Row],[Profit]]/Table1[[#This Row],[Sales]]</f>
        <v>0.18720427661510464</v>
      </c>
      <c r="V114" t="str">
        <f>IF(Table1[[#This Row],[Discount]]=0,"No Discount",IF(Table1[[#This Row],[Discount]]&lt;=0.1,"Low",IF(Table1[[#This Row],[Discount]]&lt;=0.2,"medium","high")))</f>
        <v>medium</v>
      </c>
    </row>
    <row r="115" spans="1:22" x14ac:dyDescent="0.3">
      <c r="A115" t="s">
        <v>303</v>
      </c>
      <c r="B115" s="6">
        <v>45477</v>
      </c>
      <c r="C115" t="s">
        <v>268</v>
      </c>
      <c r="D115" t="s">
        <v>24</v>
      </c>
      <c r="E115" t="s">
        <v>59</v>
      </c>
      <c r="F115" t="s">
        <v>26</v>
      </c>
      <c r="G115" t="s">
        <v>27</v>
      </c>
      <c r="H115" t="s">
        <v>271</v>
      </c>
      <c r="I115">
        <v>3731.34</v>
      </c>
      <c r="J115">
        <v>6</v>
      </c>
      <c r="K115">
        <v>0.2</v>
      </c>
      <c r="L115">
        <v>846.82</v>
      </c>
      <c r="M115" t="s">
        <v>43</v>
      </c>
      <c r="N115" t="s">
        <v>38</v>
      </c>
      <c r="O115" t="str">
        <f t="shared" si="2"/>
        <v>Bad</v>
      </c>
      <c r="P115">
        <f t="shared" si="3"/>
        <v>621.89</v>
      </c>
      <c r="Q115">
        <v>45477</v>
      </c>
      <c r="R115">
        <f>YEAR(Table1[[#This Row],[Order_Date_New]])</f>
        <v>2024</v>
      </c>
      <c r="S115">
        <f>MONTH(Table1[[#This Row],[Order_Date_New]])</f>
        <v>7</v>
      </c>
      <c r="T115" t="str">
        <f>TEXT(Table1[[#This Row],[Order_Date_New]],"mmmm")</f>
        <v>July</v>
      </c>
      <c r="U115">
        <f>Table1[[#This Row],[Profit]]/Table1[[#This Row],[Sales]]</f>
        <v>0.22694795971420456</v>
      </c>
      <c r="V115" t="str">
        <f>IF(Table1[[#This Row],[Discount]]=0,"No Discount",IF(Table1[[#This Row],[Discount]]&lt;=0.1,"Low",IF(Table1[[#This Row],[Discount]]&lt;=0.2,"medium","high")))</f>
        <v>medium</v>
      </c>
    </row>
    <row r="116" spans="1:22" x14ac:dyDescent="0.3">
      <c r="A116" t="s">
        <v>304</v>
      </c>
      <c r="B116" s="6">
        <v>45591</v>
      </c>
      <c r="C116" t="s">
        <v>305</v>
      </c>
      <c r="D116" t="s">
        <v>128</v>
      </c>
      <c r="E116" t="s">
        <v>146</v>
      </c>
      <c r="F116" t="s">
        <v>60</v>
      </c>
      <c r="G116" t="s">
        <v>61</v>
      </c>
      <c r="H116" t="s">
        <v>62</v>
      </c>
      <c r="I116">
        <v>416.8</v>
      </c>
      <c r="J116">
        <v>10</v>
      </c>
      <c r="K116">
        <v>0</v>
      </c>
      <c r="L116">
        <v>155.55000000000001</v>
      </c>
      <c r="M116" t="s">
        <v>170</v>
      </c>
      <c r="N116" t="s">
        <v>80</v>
      </c>
      <c r="O116" t="str">
        <f t="shared" si="2"/>
        <v>Bad</v>
      </c>
      <c r="P116">
        <f t="shared" si="3"/>
        <v>41.68</v>
      </c>
      <c r="Q116">
        <v>45591</v>
      </c>
      <c r="R116">
        <f>YEAR(Table1[[#This Row],[Order_Date_New]])</f>
        <v>2024</v>
      </c>
      <c r="S116">
        <f>MONTH(Table1[[#This Row],[Order_Date_New]])</f>
        <v>10</v>
      </c>
      <c r="T116" t="str">
        <f>TEXT(Table1[[#This Row],[Order_Date_New]],"mmmm")</f>
        <v>October</v>
      </c>
      <c r="U116">
        <f>Table1[[#This Row],[Profit]]/Table1[[#This Row],[Sales]]</f>
        <v>0.37320057581573896</v>
      </c>
      <c r="V116" t="str">
        <f>IF(Table1[[#This Row],[Discount]]=0,"No Discount",IF(Table1[[#This Row],[Discount]]&lt;=0.1,"Low",IF(Table1[[#This Row],[Discount]]&lt;=0.2,"medium","high")))</f>
        <v>No Discount</v>
      </c>
    </row>
    <row r="117" spans="1:22" x14ac:dyDescent="0.3">
      <c r="A117" t="s">
        <v>306</v>
      </c>
      <c r="B117" s="6">
        <v>45836</v>
      </c>
      <c r="C117" t="s">
        <v>268</v>
      </c>
      <c r="D117" t="s">
        <v>24</v>
      </c>
      <c r="E117" t="s">
        <v>25</v>
      </c>
      <c r="F117" t="s">
        <v>26</v>
      </c>
      <c r="G117" t="s">
        <v>35</v>
      </c>
      <c r="H117" t="s">
        <v>55</v>
      </c>
      <c r="I117">
        <v>11511.7</v>
      </c>
      <c r="J117">
        <v>10</v>
      </c>
      <c r="K117">
        <v>0.2</v>
      </c>
      <c r="L117">
        <v>1606.08</v>
      </c>
      <c r="M117" t="s">
        <v>37</v>
      </c>
      <c r="N117" t="s">
        <v>80</v>
      </c>
      <c r="O117" t="str">
        <f t="shared" si="2"/>
        <v>Good</v>
      </c>
      <c r="P117">
        <f t="shared" si="3"/>
        <v>1151.17</v>
      </c>
      <c r="Q117">
        <v>45836</v>
      </c>
      <c r="R117">
        <f>YEAR(Table1[[#This Row],[Order_Date_New]])</f>
        <v>2025</v>
      </c>
      <c r="S117">
        <f>MONTH(Table1[[#This Row],[Order_Date_New]])</f>
        <v>6</v>
      </c>
      <c r="T117" t="str">
        <f>TEXT(Table1[[#This Row],[Order_Date_New]],"mmmm")</f>
        <v>June</v>
      </c>
      <c r="U117">
        <f>Table1[[#This Row],[Profit]]/Table1[[#This Row],[Sales]]</f>
        <v>0.13951718686206205</v>
      </c>
      <c r="V117" t="str">
        <f>IF(Table1[[#This Row],[Discount]]=0,"No Discount",IF(Table1[[#This Row],[Discount]]&lt;=0.1,"Low",IF(Table1[[#This Row],[Discount]]&lt;=0.2,"medium","high")))</f>
        <v>medium</v>
      </c>
    </row>
    <row r="118" spans="1:22" x14ac:dyDescent="0.3">
      <c r="A118" t="s">
        <v>307</v>
      </c>
      <c r="B118" s="6">
        <v>46015</v>
      </c>
      <c r="C118" t="s">
        <v>217</v>
      </c>
      <c r="D118" t="s">
        <v>53</v>
      </c>
      <c r="E118" t="s">
        <v>107</v>
      </c>
      <c r="F118" t="s">
        <v>72</v>
      </c>
      <c r="G118" t="s">
        <v>111</v>
      </c>
      <c r="H118" t="s">
        <v>158</v>
      </c>
      <c r="I118">
        <v>4603.12</v>
      </c>
      <c r="J118">
        <v>8</v>
      </c>
      <c r="K118">
        <v>0.15</v>
      </c>
      <c r="L118">
        <v>292.55</v>
      </c>
      <c r="M118" t="s">
        <v>29</v>
      </c>
      <c r="N118" t="s">
        <v>80</v>
      </c>
      <c r="O118" t="str">
        <f t="shared" si="2"/>
        <v>Bad</v>
      </c>
      <c r="P118">
        <f t="shared" si="3"/>
        <v>575.39</v>
      </c>
      <c r="Q118">
        <v>46015</v>
      </c>
      <c r="R118">
        <f>YEAR(Table1[[#This Row],[Order_Date_New]])</f>
        <v>2025</v>
      </c>
      <c r="S118">
        <f>MONTH(Table1[[#This Row],[Order_Date_New]])</f>
        <v>12</v>
      </c>
      <c r="T118" t="str">
        <f>TEXT(Table1[[#This Row],[Order_Date_New]],"mmmm")</f>
        <v>December</v>
      </c>
      <c r="U118">
        <f>Table1[[#This Row],[Profit]]/Table1[[#This Row],[Sales]]</f>
        <v>6.3554719407706087E-2</v>
      </c>
      <c r="V118" t="str">
        <f>IF(Table1[[#This Row],[Discount]]=0,"No Discount",IF(Table1[[#This Row],[Discount]]&lt;=0.1,"Low",IF(Table1[[#This Row],[Discount]]&lt;=0.2,"medium","high")))</f>
        <v>medium</v>
      </c>
    </row>
    <row r="119" spans="1:22" x14ac:dyDescent="0.3">
      <c r="A119" t="s">
        <v>308</v>
      </c>
      <c r="B119" s="6">
        <v>45372</v>
      </c>
      <c r="C119" t="s">
        <v>309</v>
      </c>
      <c r="D119" t="s">
        <v>128</v>
      </c>
      <c r="E119" t="s">
        <v>146</v>
      </c>
      <c r="F119" t="s">
        <v>72</v>
      </c>
      <c r="G119" t="s">
        <v>111</v>
      </c>
      <c r="H119" t="s">
        <v>158</v>
      </c>
      <c r="I119">
        <v>4821.6000000000004</v>
      </c>
      <c r="J119">
        <v>8</v>
      </c>
      <c r="K119">
        <v>0.3</v>
      </c>
      <c r="L119">
        <v>487.62</v>
      </c>
      <c r="M119" t="s">
        <v>133</v>
      </c>
      <c r="N119" t="s">
        <v>44</v>
      </c>
      <c r="O119" t="str">
        <f t="shared" si="2"/>
        <v>Bad</v>
      </c>
      <c r="P119">
        <f t="shared" si="3"/>
        <v>602.70000000000005</v>
      </c>
      <c r="Q119">
        <v>45372</v>
      </c>
      <c r="R119">
        <f>YEAR(Table1[[#This Row],[Order_Date_New]])</f>
        <v>2024</v>
      </c>
      <c r="S119">
        <f>MONTH(Table1[[#This Row],[Order_Date_New]])</f>
        <v>3</v>
      </c>
      <c r="T119" t="str">
        <f>TEXT(Table1[[#This Row],[Order_Date_New]],"mmmm")</f>
        <v>March</v>
      </c>
      <c r="U119">
        <f>Table1[[#This Row],[Profit]]/Table1[[#This Row],[Sales]]</f>
        <v>0.10113240418118466</v>
      </c>
      <c r="V119" t="str">
        <f>IF(Table1[[#This Row],[Discount]]=0,"No Discount",IF(Table1[[#This Row],[Discount]]&lt;=0.1,"Low",IF(Table1[[#This Row],[Discount]]&lt;=0.2,"medium","high")))</f>
        <v>high</v>
      </c>
    </row>
    <row r="120" spans="1:22" x14ac:dyDescent="0.3">
      <c r="A120" t="s">
        <v>310</v>
      </c>
      <c r="B120" s="6">
        <v>45436</v>
      </c>
      <c r="C120" t="s">
        <v>311</v>
      </c>
      <c r="D120" t="s">
        <v>53</v>
      </c>
      <c r="E120" t="s">
        <v>87</v>
      </c>
      <c r="F120" t="s">
        <v>26</v>
      </c>
      <c r="G120" t="s">
        <v>35</v>
      </c>
      <c r="H120" t="s">
        <v>36</v>
      </c>
      <c r="I120">
        <v>235.08</v>
      </c>
      <c r="J120">
        <v>1</v>
      </c>
      <c r="K120">
        <v>0</v>
      </c>
      <c r="L120">
        <v>40.97</v>
      </c>
      <c r="M120" t="s">
        <v>90</v>
      </c>
      <c r="N120" t="s">
        <v>80</v>
      </c>
      <c r="O120" t="str">
        <f t="shared" si="2"/>
        <v>Bad</v>
      </c>
      <c r="P120">
        <f t="shared" si="3"/>
        <v>235.08</v>
      </c>
      <c r="Q120">
        <v>45436</v>
      </c>
      <c r="R120">
        <f>YEAR(Table1[[#This Row],[Order_Date_New]])</f>
        <v>2024</v>
      </c>
      <c r="S120">
        <f>MONTH(Table1[[#This Row],[Order_Date_New]])</f>
        <v>5</v>
      </c>
      <c r="T120" t="str">
        <f>TEXT(Table1[[#This Row],[Order_Date_New]],"mmmm")</f>
        <v>May</v>
      </c>
      <c r="U120">
        <f>Table1[[#This Row],[Profit]]/Table1[[#This Row],[Sales]]</f>
        <v>0.17428109579717541</v>
      </c>
      <c r="V120" t="str">
        <f>IF(Table1[[#This Row],[Discount]]=0,"No Discount",IF(Table1[[#This Row],[Discount]]&lt;=0.1,"Low",IF(Table1[[#This Row],[Discount]]&lt;=0.2,"medium","high")))</f>
        <v>No Discount</v>
      </c>
    </row>
    <row r="121" spans="1:22" x14ac:dyDescent="0.3">
      <c r="A121" t="s">
        <v>312</v>
      </c>
      <c r="B121" s="6">
        <v>45671</v>
      </c>
      <c r="C121" t="s">
        <v>256</v>
      </c>
      <c r="D121" t="s">
        <v>128</v>
      </c>
      <c r="E121" t="s">
        <v>132</v>
      </c>
      <c r="F121" t="s">
        <v>60</v>
      </c>
      <c r="G121" t="s">
        <v>98</v>
      </c>
      <c r="H121" t="s">
        <v>141</v>
      </c>
      <c r="I121">
        <v>6252.24</v>
      </c>
      <c r="J121">
        <v>6</v>
      </c>
      <c r="K121">
        <v>0.25</v>
      </c>
      <c r="L121">
        <v>607.07000000000005</v>
      </c>
      <c r="M121" t="s">
        <v>90</v>
      </c>
      <c r="N121" t="s">
        <v>38</v>
      </c>
      <c r="O121" t="str">
        <f t="shared" si="2"/>
        <v>Bad</v>
      </c>
      <c r="P121">
        <f t="shared" si="3"/>
        <v>1042.04</v>
      </c>
      <c r="Q121">
        <v>45671</v>
      </c>
      <c r="R121">
        <f>YEAR(Table1[[#This Row],[Order_Date_New]])</f>
        <v>2025</v>
      </c>
      <c r="S121">
        <f>MONTH(Table1[[#This Row],[Order_Date_New]])</f>
        <v>1</v>
      </c>
      <c r="T121" t="str">
        <f>TEXT(Table1[[#This Row],[Order_Date_New]],"mmmm")</f>
        <v>January</v>
      </c>
      <c r="U121">
        <f>Table1[[#This Row],[Profit]]/Table1[[#This Row],[Sales]]</f>
        <v>9.7096400650007048E-2</v>
      </c>
      <c r="V121" t="str">
        <f>IF(Table1[[#This Row],[Discount]]=0,"No Discount",IF(Table1[[#This Row],[Discount]]&lt;=0.1,"Low",IF(Table1[[#This Row],[Discount]]&lt;=0.2,"medium","high")))</f>
        <v>high</v>
      </c>
    </row>
    <row r="122" spans="1:22" x14ac:dyDescent="0.3">
      <c r="A122" t="s">
        <v>313</v>
      </c>
      <c r="B122" s="6">
        <v>45636</v>
      </c>
      <c r="C122" t="s">
        <v>152</v>
      </c>
      <c r="D122" t="s">
        <v>128</v>
      </c>
      <c r="E122" t="s">
        <v>132</v>
      </c>
      <c r="F122" t="s">
        <v>60</v>
      </c>
      <c r="G122" t="s">
        <v>61</v>
      </c>
      <c r="H122" t="s">
        <v>67</v>
      </c>
      <c r="I122">
        <v>3046.82</v>
      </c>
      <c r="J122">
        <v>7</v>
      </c>
      <c r="K122">
        <v>0.15</v>
      </c>
      <c r="L122">
        <v>726.68</v>
      </c>
      <c r="M122" t="s">
        <v>113</v>
      </c>
      <c r="N122" t="s">
        <v>44</v>
      </c>
      <c r="O122" t="str">
        <f t="shared" si="2"/>
        <v>Bad</v>
      </c>
      <c r="P122">
        <f t="shared" si="3"/>
        <v>435.26000000000005</v>
      </c>
      <c r="Q122">
        <v>45636</v>
      </c>
      <c r="R122">
        <f>YEAR(Table1[[#This Row],[Order_Date_New]])</f>
        <v>2024</v>
      </c>
      <c r="S122">
        <f>MONTH(Table1[[#This Row],[Order_Date_New]])</f>
        <v>12</v>
      </c>
      <c r="T122" t="str">
        <f>TEXT(Table1[[#This Row],[Order_Date_New]],"mmmm")</f>
        <v>December</v>
      </c>
      <c r="U122">
        <f>Table1[[#This Row],[Profit]]/Table1[[#This Row],[Sales]]</f>
        <v>0.23850440787443955</v>
      </c>
      <c r="V122" t="str">
        <f>IF(Table1[[#This Row],[Discount]]=0,"No Discount",IF(Table1[[#This Row],[Discount]]&lt;=0.1,"Low",IF(Table1[[#This Row],[Discount]]&lt;=0.2,"medium","high")))</f>
        <v>medium</v>
      </c>
    </row>
    <row r="123" spans="1:22" x14ac:dyDescent="0.3">
      <c r="A123" t="s">
        <v>314</v>
      </c>
      <c r="B123" s="6">
        <v>45352</v>
      </c>
      <c r="C123" t="s">
        <v>315</v>
      </c>
      <c r="D123" t="s">
        <v>128</v>
      </c>
      <c r="E123" t="s">
        <v>132</v>
      </c>
      <c r="F123" t="s">
        <v>26</v>
      </c>
      <c r="G123" t="s">
        <v>27</v>
      </c>
      <c r="H123" t="s">
        <v>28</v>
      </c>
      <c r="I123">
        <v>7186.88</v>
      </c>
      <c r="J123">
        <v>8</v>
      </c>
      <c r="K123">
        <v>0.1</v>
      </c>
      <c r="L123">
        <v>248.3</v>
      </c>
      <c r="M123" t="s">
        <v>90</v>
      </c>
      <c r="N123" t="s">
        <v>30</v>
      </c>
      <c r="O123" t="str">
        <f t="shared" si="2"/>
        <v>Good</v>
      </c>
      <c r="P123">
        <f t="shared" si="3"/>
        <v>898.36</v>
      </c>
      <c r="Q123">
        <v>45352</v>
      </c>
      <c r="R123">
        <f>YEAR(Table1[[#This Row],[Order_Date_New]])</f>
        <v>2024</v>
      </c>
      <c r="S123">
        <f>MONTH(Table1[[#This Row],[Order_Date_New]])</f>
        <v>3</v>
      </c>
      <c r="T123" t="str">
        <f>TEXT(Table1[[#This Row],[Order_Date_New]],"mmmm")</f>
        <v>March</v>
      </c>
      <c r="U123">
        <f>Table1[[#This Row],[Profit]]/Table1[[#This Row],[Sales]]</f>
        <v>3.4549067189100141E-2</v>
      </c>
      <c r="V123" t="str">
        <f>IF(Table1[[#This Row],[Discount]]=0,"No Discount",IF(Table1[[#This Row],[Discount]]&lt;=0.1,"Low",IF(Table1[[#This Row],[Discount]]&lt;=0.2,"medium","high")))</f>
        <v>Low</v>
      </c>
    </row>
    <row r="124" spans="1:22" x14ac:dyDescent="0.3">
      <c r="A124" t="s">
        <v>316</v>
      </c>
      <c r="B124" s="6">
        <v>45499</v>
      </c>
      <c r="C124" t="s">
        <v>317</v>
      </c>
      <c r="D124" t="s">
        <v>53</v>
      </c>
      <c r="E124" t="s">
        <v>54</v>
      </c>
      <c r="F124" t="s">
        <v>72</v>
      </c>
      <c r="G124" t="s">
        <v>111</v>
      </c>
      <c r="H124" t="s">
        <v>158</v>
      </c>
      <c r="I124">
        <v>7201.2</v>
      </c>
      <c r="J124">
        <v>10</v>
      </c>
      <c r="K124">
        <v>0.1</v>
      </c>
      <c r="L124">
        <v>-236.61</v>
      </c>
      <c r="M124" t="s">
        <v>113</v>
      </c>
      <c r="N124" t="s">
        <v>44</v>
      </c>
      <c r="O124" t="str">
        <f t="shared" si="2"/>
        <v>Good</v>
      </c>
      <c r="P124">
        <f t="shared" si="3"/>
        <v>720.12</v>
      </c>
      <c r="Q124">
        <v>45499</v>
      </c>
      <c r="R124">
        <f>YEAR(Table1[[#This Row],[Order_Date_New]])</f>
        <v>2024</v>
      </c>
      <c r="S124">
        <f>MONTH(Table1[[#This Row],[Order_Date_New]])</f>
        <v>7</v>
      </c>
      <c r="T124" t="str">
        <f>TEXT(Table1[[#This Row],[Order_Date_New]],"mmmm")</f>
        <v>July</v>
      </c>
      <c r="U124">
        <f>Table1[[#This Row],[Profit]]/Table1[[#This Row],[Sales]]</f>
        <v>-3.2857023829361773E-2</v>
      </c>
      <c r="V124" t="str">
        <f>IF(Table1[[#This Row],[Discount]]=0,"No Discount",IF(Table1[[#This Row],[Discount]]&lt;=0.1,"Low",IF(Table1[[#This Row],[Discount]]&lt;=0.2,"medium","high")))</f>
        <v>Low</v>
      </c>
    </row>
    <row r="125" spans="1:22" x14ac:dyDescent="0.3">
      <c r="A125" t="s">
        <v>318</v>
      </c>
      <c r="B125" s="6">
        <v>45572</v>
      </c>
      <c r="C125" t="s">
        <v>32</v>
      </c>
      <c r="D125" t="s">
        <v>53</v>
      </c>
      <c r="E125" t="s">
        <v>87</v>
      </c>
      <c r="F125" t="s">
        <v>26</v>
      </c>
      <c r="G125" t="s">
        <v>35</v>
      </c>
      <c r="H125" t="s">
        <v>173</v>
      </c>
      <c r="I125">
        <v>3163.8</v>
      </c>
      <c r="J125">
        <v>6</v>
      </c>
      <c r="K125">
        <v>0</v>
      </c>
      <c r="L125">
        <v>428.01</v>
      </c>
      <c r="M125" t="s">
        <v>105</v>
      </c>
      <c r="N125" t="s">
        <v>80</v>
      </c>
      <c r="O125" t="str">
        <f t="shared" si="2"/>
        <v>Bad</v>
      </c>
      <c r="P125">
        <f t="shared" si="3"/>
        <v>527.30000000000007</v>
      </c>
      <c r="Q125">
        <v>45572</v>
      </c>
      <c r="R125">
        <f>YEAR(Table1[[#This Row],[Order_Date_New]])</f>
        <v>2024</v>
      </c>
      <c r="S125">
        <f>MONTH(Table1[[#This Row],[Order_Date_New]])</f>
        <v>10</v>
      </c>
      <c r="T125" t="str">
        <f>TEXT(Table1[[#This Row],[Order_Date_New]],"mmmm")</f>
        <v>October</v>
      </c>
      <c r="U125">
        <f>Table1[[#This Row],[Profit]]/Table1[[#This Row],[Sales]]</f>
        <v>0.13528351981794043</v>
      </c>
      <c r="V125" t="str">
        <f>IF(Table1[[#This Row],[Discount]]=0,"No Discount",IF(Table1[[#This Row],[Discount]]&lt;=0.1,"Low",IF(Table1[[#This Row],[Discount]]&lt;=0.2,"medium","high")))</f>
        <v>No Discount</v>
      </c>
    </row>
    <row r="126" spans="1:22" x14ac:dyDescent="0.3">
      <c r="A126" t="s">
        <v>319</v>
      </c>
      <c r="B126" s="6">
        <v>45393</v>
      </c>
      <c r="C126" t="s">
        <v>23</v>
      </c>
      <c r="D126" t="s">
        <v>33</v>
      </c>
      <c r="E126" t="s">
        <v>34</v>
      </c>
      <c r="F126" t="s">
        <v>60</v>
      </c>
      <c r="G126" t="s">
        <v>61</v>
      </c>
      <c r="H126" t="s">
        <v>62</v>
      </c>
      <c r="I126">
        <v>349.36</v>
      </c>
      <c r="J126">
        <v>1</v>
      </c>
      <c r="K126">
        <v>0.15</v>
      </c>
      <c r="L126">
        <v>98.56</v>
      </c>
      <c r="M126" t="s">
        <v>29</v>
      </c>
      <c r="N126" t="s">
        <v>30</v>
      </c>
      <c r="O126" t="str">
        <f t="shared" si="2"/>
        <v>Bad</v>
      </c>
      <c r="P126">
        <f t="shared" si="3"/>
        <v>349.36</v>
      </c>
      <c r="Q126">
        <v>45393</v>
      </c>
      <c r="R126">
        <f>YEAR(Table1[[#This Row],[Order_Date_New]])</f>
        <v>2024</v>
      </c>
      <c r="S126">
        <f>MONTH(Table1[[#This Row],[Order_Date_New]])</f>
        <v>4</v>
      </c>
      <c r="T126" t="str">
        <f>TEXT(Table1[[#This Row],[Order_Date_New]],"mmmm")</f>
        <v>April</v>
      </c>
      <c r="U126">
        <f>Table1[[#This Row],[Profit]]/Table1[[#This Row],[Sales]]</f>
        <v>0.28211586901763225</v>
      </c>
      <c r="V126" t="str">
        <f>IF(Table1[[#This Row],[Discount]]=0,"No Discount",IF(Table1[[#This Row],[Discount]]&lt;=0.1,"Low",IF(Table1[[#This Row],[Discount]]&lt;=0.2,"medium","high")))</f>
        <v>medium</v>
      </c>
    </row>
    <row r="127" spans="1:22" x14ac:dyDescent="0.3">
      <c r="A127" t="s">
        <v>320</v>
      </c>
      <c r="B127" s="6">
        <v>45542</v>
      </c>
      <c r="C127" t="s">
        <v>92</v>
      </c>
      <c r="D127" t="s">
        <v>53</v>
      </c>
      <c r="E127" t="s">
        <v>87</v>
      </c>
      <c r="F127" t="s">
        <v>26</v>
      </c>
      <c r="G127" t="s">
        <v>35</v>
      </c>
      <c r="H127" t="s">
        <v>173</v>
      </c>
      <c r="I127">
        <v>763.62</v>
      </c>
      <c r="J127">
        <v>2</v>
      </c>
      <c r="K127">
        <v>0.1</v>
      </c>
      <c r="L127">
        <v>198.23</v>
      </c>
      <c r="M127" t="s">
        <v>170</v>
      </c>
      <c r="N127" t="s">
        <v>44</v>
      </c>
      <c r="O127" t="str">
        <f t="shared" si="2"/>
        <v>Bad</v>
      </c>
      <c r="P127">
        <f t="shared" si="3"/>
        <v>381.81</v>
      </c>
      <c r="Q127">
        <v>45542</v>
      </c>
      <c r="R127">
        <f>YEAR(Table1[[#This Row],[Order_Date_New]])</f>
        <v>2024</v>
      </c>
      <c r="S127">
        <f>MONTH(Table1[[#This Row],[Order_Date_New]])</f>
        <v>9</v>
      </c>
      <c r="T127" t="str">
        <f>TEXT(Table1[[#This Row],[Order_Date_New]],"mmmm")</f>
        <v>September</v>
      </c>
      <c r="U127">
        <f>Table1[[#This Row],[Profit]]/Table1[[#This Row],[Sales]]</f>
        <v>0.25959246745763598</v>
      </c>
      <c r="V127" t="str">
        <f>IF(Table1[[#This Row],[Discount]]=0,"No Discount",IF(Table1[[#This Row],[Discount]]&lt;=0.1,"Low",IF(Table1[[#This Row],[Discount]]&lt;=0.2,"medium","high")))</f>
        <v>Low</v>
      </c>
    </row>
    <row r="128" spans="1:22" x14ac:dyDescent="0.3">
      <c r="A128" t="s">
        <v>321</v>
      </c>
      <c r="B128" s="6">
        <v>45526</v>
      </c>
      <c r="C128" t="s">
        <v>197</v>
      </c>
      <c r="D128" t="s">
        <v>24</v>
      </c>
      <c r="E128" t="s">
        <v>84</v>
      </c>
      <c r="F128" t="s">
        <v>60</v>
      </c>
      <c r="G128" t="s">
        <v>61</v>
      </c>
      <c r="H128" t="s">
        <v>67</v>
      </c>
      <c r="I128">
        <v>1716.88</v>
      </c>
      <c r="J128">
        <v>8</v>
      </c>
      <c r="K128">
        <v>0.15</v>
      </c>
      <c r="L128">
        <v>186.44</v>
      </c>
      <c r="M128" t="s">
        <v>29</v>
      </c>
      <c r="N128" t="s">
        <v>38</v>
      </c>
      <c r="O128" t="str">
        <f t="shared" si="2"/>
        <v>Bad</v>
      </c>
      <c r="P128">
        <f t="shared" si="3"/>
        <v>214.61</v>
      </c>
      <c r="Q128">
        <v>45526</v>
      </c>
      <c r="R128">
        <f>YEAR(Table1[[#This Row],[Order_Date_New]])</f>
        <v>2024</v>
      </c>
      <c r="S128">
        <f>MONTH(Table1[[#This Row],[Order_Date_New]])</f>
        <v>8</v>
      </c>
      <c r="T128" t="str">
        <f>TEXT(Table1[[#This Row],[Order_Date_New]],"mmmm")</f>
        <v>August</v>
      </c>
      <c r="U128">
        <f>Table1[[#This Row],[Profit]]/Table1[[#This Row],[Sales]]</f>
        <v>0.1085923302735194</v>
      </c>
      <c r="V128" t="str">
        <f>IF(Table1[[#This Row],[Discount]]=0,"No Discount",IF(Table1[[#This Row],[Discount]]&lt;=0.1,"Low",IF(Table1[[#This Row],[Discount]]&lt;=0.2,"medium","high")))</f>
        <v>medium</v>
      </c>
    </row>
    <row r="129" spans="1:22" x14ac:dyDescent="0.3">
      <c r="A129" t="s">
        <v>322</v>
      </c>
      <c r="B129" s="6">
        <v>45752</v>
      </c>
      <c r="C129" t="s">
        <v>248</v>
      </c>
      <c r="D129" t="s">
        <v>24</v>
      </c>
      <c r="E129" t="s">
        <v>84</v>
      </c>
      <c r="F129" t="s">
        <v>26</v>
      </c>
      <c r="G129" t="s">
        <v>27</v>
      </c>
      <c r="H129" t="s">
        <v>200</v>
      </c>
      <c r="I129">
        <v>1169.3900000000001</v>
      </c>
      <c r="J129">
        <v>1</v>
      </c>
      <c r="K129">
        <v>0.25</v>
      </c>
      <c r="L129">
        <v>100.02</v>
      </c>
      <c r="M129" t="s">
        <v>68</v>
      </c>
      <c r="N129" t="s">
        <v>44</v>
      </c>
      <c r="O129" t="str">
        <f t="shared" si="2"/>
        <v>Bad</v>
      </c>
      <c r="P129">
        <f t="shared" si="3"/>
        <v>1169.3900000000001</v>
      </c>
      <c r="Q129">
        <v>45752</v>
      </c>
      <c r="R129">
        <f>YEAR(Table1[[#This Row],[Order_Date_New]])</f>
        <v>2025</v>
      </c>
      <c r="S129">
        <f>MONTH(Table1[[#This Row],[Order_Date_New]])</f>
        <v>4</v>
      </c>
      <c r="T129" t="str">
        <f>TEXT(Table1[[#This Row],[Order_Date_New]],"mmmm")</f>
        <v>April</v>
      </c>
      <c r="U129">
        <f>Table1[[#This Row],[Profit]]/Table1[[#This Row],[Sales]]</f>
        <v>8.5531772975653966E-2</v>
      </c>
      <c r="V129" t="str">
        <f>IF(Table1[[#This Row],[Discount]]=0,"No Discount",IF(Table1[[#This Row],[Discount]]&lt;=0.1,"Low",IF(Table1[[#This Row],[Discount]]&lt;=0.2,"medium","high")))</f>
        <v>high</v>
      </c>
    </row>
    <row r="130" spans="1:22" x14ac:dyDescent="0.3">
      <c r="A130" t="s">
        <v>323</v>
      </c>
      <c r="B130" s="6">
        <v>45471</v>
      </c>
      <c r="C130" t="s">
        <v>324</v>
      </c>
      <c r="D130" t="s">
        <v>33</v>
      </c>
      <c r="E130" t="s">
        <v>34</v>
      </c>
      <c r="F130" t="s">
        <v>72</v>
      </c>
      <c r="G130" t="s">
        <v>111</v>
      </c>
      <c r="H130" t="s">
        <v>112</v>
      </c>
      <c r="I130">
        <v>834.76</v>
      </c>
      <c r="J130">
        <v>1</v>
      </c>
      <c r="K130">
        <v>0.15</v>
      </c>
      <c r="L130">
        <v>-69.47</v>
      </c>
      <c r="M130" t="s">
        <v>170</v>
      </c>
      <c r="N130" t="s">
        <v>80</v>
      </c>
      <c r="O130" t="str">
        <f t="shared" ref="O130:O193" si="4">IF(AND(I130&gt;5000,J130&gt;7),"Good","Bad")</f>
        <v>Bad</v>
      </c>
      <c r="P130">
        <f t="shared" ref="P130:P193" si="5">I130/J130</f>
        <v>834.76</v>
      </c>
      <c r="Q130">
        <v>45471</v>
      </c>
      <c r="R130">
        <f>YEAR(Table1[[#This Row],[Order_Date_New]])</f>
        <v>2024</v>
      </c>
      <c r="S130">
        <f>MONTH(Table1[[#This Row],[Order_Date_New]])</f>
        <v>6</v>
      </c>
      <c r="T130" t="str">
        <f>TEXT(Table1[[#This Row],[Order_Date_New]],"mmmm")</f>
        <v>June</v>
      </c>
      <c r="U130">
        <f>Table1[[#This Row],[Profit]]/Table1[[#This Row],[Sales]]</f>
        <v>-8.3221524749628642E-2</v>
      </c>
      <c r="V130" t="str">
        <f>IF(Table1[[#This Row],[Discount]]=0,"No Discount",IF(Table1[[#This Row],[Discount]]&lt;=0.1,"Low",IF(Table1[[#This Row],[Discount]]&lt;=0.2,"medium","high")))</f>
        <v>medium</v>
      </c>
    </row>
    <row r="131" spans="1:22" x14ac:dyDescent="0.3">
      <c r="A131" t="s">
        <v>325</v>
      </c>
      <c r="B131" s="6">
        <v>45611</v>
      </c>
      <c r="C131" t="s">
        <v>285</v>
      </c>
      <c r="D131" t="s">
        <v>53</v>
      </c>
      <c r="E131" t="s">
        <v>54</v>
      </c>
      <c r="F131" t="s">
        <v>60</v>
      </c>
      <c r="G131" t="s">
        <v>61</v>
      </c>
      <c r="H131" t="s">
        <v>62</v>
      </c>
      <c r="I131">
        <v>4253.3</v>
      </c>
      <c r="J131">
        <v>5</v>
      </c>
      <c r="K131">
        <v>0.25</v>
      </c>
      <c r="L131">
        <v>-466.39</v>
      </c>
      <c r="M131" t="s">
        <v>37</v>
      </c>
      <c r="N131" t="s">
        <v>44</v>
      </c>
      <c r="O131" t="str">
        <f t="shared" si="4"/>
        <v>Bad</v>
      </c>
      <c r="P131">
        <f t="shared" si="5"/>
        <v>850.66000000000008</v>
      </c>
      <c r="Q131">
        <v>45611</v>
      </c>
      <c r="R131">
        <f>YEAR(Table1[[#This Row],[Order_Date_New]])</f>
        <v>2024</v>
      </c>
      <c r="S131">
        <f>MONTH(Table1[[#This Row],[Order_Date_New]])</f>
        <v>11</v>
      </c>
      <c r="T131" t="str">
        <f>TEXT(Table1[[#This Row],[Order_Date_New]],"mmmm")</f>
        <v>November</v>
      </c>
      <c r="U131">
        <f>Table1[[#This Row],[Profit]]/Table1[[#This Row],[Sales]]</f>
        <v>-0.10965368067147861</v>
      </c>
      <c r="V131" t="str">
        <f>IF(Table1[[#This Row],[Discount]]=0,"No Discount",IF(Table1[[#This Row],[Discount]]&lt;=0.1,"Low",IF(Table1[[#This Row],[Discount]]&lt;=0.2,"medium","high")))</f>
        <v>high</v>
      </c>
    </row>
    <row r="132" spans="1:22" x14ac:dyDescent="0.3">
      <c r="A132" t="s">
        <v>326</v>
      </c>
      <c r="B132" s="6">
        <v>45783</v>
      </c>
      <c r="C132" t="s">
        <v>327</v>
      </c>
      <c r="D132" t="s">
        <v>33</v>
      </c>
      <c r="E132" t="s">
        <v>66</v>
      </c>
      <c r="F132" t="s">
        <v>26</v>
      </c>
      <c r="G132" t="s">
        <v>35</v>
      </c>
      <c r="H132" t="s">
        <v>36</v>
      </c>
      <c r="I132">
        <v>3478.58</v>
      </c>
      <c r="J132">
        <v>7</v>
      </c>
      <c r="K132">
        <v>0.3</v>
      </c>
      <c r="L132">
        <v>-431.2</v>
      </c>
      <c r="M132" t="s">
        <v>105</v>
      </c>
      <c r="N132" t="s">
        <v>44</v>
      </c>
      <c r="O132" t="str">
        <f t="shared" si="4"/>
        <v>Bad</v>
      </c>
      <c r="P132">
        <f t="shared" si="5"/>
        <v>496.94</v>
      </c>
      <c r="Q132">
        <v>45783</v>
      </c>
      <c r="R132">
        <f>YEAR(Table1[[#This Row],[Order_Date_New]])</f>
        <v>2025</v>
      </c>
      <c r="S132">
        <f>MONTH(Table1[[#This Row],[Order_Date_New]])</f>
        <v>5</v>
      </c>
      <c r="T132" t="str">
        <f>TEXT(Table1[[#This Row],[Order_Date_New]],"mmmm")</f>
        <v>May</v>
      </c>
      <c r="U132">
        <f>Table1[[#This Row],[Profit]]/Table1[[#This Row],[Sales]]</f>
        <v>-0.12395862679599147</v>
      </c>
      <c r="V132" t="str">
        <f>IF(Table1[[#This Row],[Discount]]=0,"No Discount",IF(Table1[[#This Row],[Discount]]&lt;=0.1,"Low",IF(Table1[[#This Row],[Discount]]&lt;=0.2,"medium","high")))</f>
        <v>high</v>
      </c>
    </row>
    <row r="133" spans="1:22" x14ac:dyDescent="0.3">
      <c r="A133" t="s">
        <v>328</v>
      </c>
      <c r="B133" s="6">
        <v>45855</v>
      </c>
      <c r="C133" t="s">
        <v>329</v>
      </c>
      <c r="D133" t="s">
        <v>53</v>
      </c>
      <c r="E133" t="s">
        <v>54</v>
      </c>
      <c r="F133" t="s">
        <v>26</v>
      </c>
      <c r="G133" t="s">
        <v>27</v>
      </c>
      <c r="H133" t="s">
        <v>271</v>
      </c>
      <c r="I133">
        <v>9469.7999999999993</v>
      </c>
      <c r="J133">
        <v>9</v>
      </c>
      <c r="K133">
        <v>0.1</v>
      </c>
      <c r="L133">
        <v>2534.31</v>
      </c>
      <c r="M133" t="s">
        <v>90</v>
      </c>
      <c r="N133" t="s">
        <v>80</v>
      </c>
      <c r="O133" t="str">
        <f t="shared" si="4"/>
        <v>Good</v>
      </c>
      <c r="P133">
        <f t="shared" si="5"/>
        <v>1052.1999999999998</v>
      </c>
      <c r="Q133">
        <v>45855</v>
      </c>
      <c r="R133">
        <f>YEAR(Table1[[#This Row],[Order_Date_New]])</f>
        <v>2025</v>
      </c>
      <c r="S133">
        <f>MONTH(Table1[[#This Row],[Order_Date_New]])</f>
        <v>7</v>
      </c>
      <c r="T133" t="str">
        <f>TEXT(Table1[[#This Row],[Order_Date_New]],"mmmm")</f>
        <v>July</v>
      </c>
      <c r="U133">
        <f>Table1[[#This Row],[Profit]]/Table1[[#This Row],[Sales]]</f>
        <v>0.2676202242919597</v>
      </c>
      <c r="V133" t="str">
        <f>IF(Table1[[#This Row],[Discount]]=0,"No Discount",IF(Table1[[#This Row],[Discount]]&lt;=0.1,"Low",IF(Table1[[#This Row],[Discount]]&lt;=0.2,"medium","high")))</f>
        <v>Low</v>
      </c>
    </row>
    <row r="134" spans="1:22" x14ac:dyDescent="0.3">
      <c r="A134" t="s">
        <v>330</v>
      </c>
      <c r="B134" s="6">
        <v>45997</v>
      </c>
      <c r="C134" t="s">
        <v>221</v>
      </c>
      <c r="D134" t="s">
        <v>53</v>
      </c>
      <c r="E134" t="s">
        <v>107</v>
      </c>
      <c r="F134" t="s">
        <v>72</v>
      </c>
      <c r="G134" t="s">
        <v>88</v>
      </c>
      <c r="H134" t="s">
        <v>209</v>
      </c>
      <c r="I134">
        <v>4185.93</v>
      </c>
      <c r="J134">
        <v>7</v>
      </c>
      <c r="K134">
        <v>0.1</v>
      </c>
      <c r="L134">
        <v>181.17</v>
      </c>
      <c r="M134" t="s">
        <v>90</v>
      </c>
      <c r="N134" t="s">
        <v>38</v>
      </c>
      <c r="O134" t="str">
        <f t="shared" si="4"/>
        <v>Bad</v>
      </c>
      <c r="P134">
        <f t="shared" si="5"/>
        <v>597.99</v>
      </c>
      <c r="Q134">
        <v>45997</v>
      </c>
      <c r="R134">
        <f>YEAR(Table1[[#This Row],[Order_Date_New]])</f>
        <v>2025</v>
      </c>
      <c r="S134">
        <f>MONTH(Table1[[#This Row],[Order_Date_New]])</f>
        <v>12</v>
      </c>
      <c r="T134" t="str">
        <f>TEXT(Table1[[#This Row],[Order_Date_New]],"mmmm")</f>
        <v>December</v>
      </c>
      <c r="U134">
        <f>Table1[[#This Row],[Profit]]/Table1[[#This Row],[Sales]]</f>
        <v>4.3280704646279318E-2</v>
      </c>
      <c r="V134" t="str">
        <f>IF(Table1[[#This Row],[Discount]]=0,"No Discount",IF(Table1[[#This Row],[Discount]]&lt;=0.1,"Low",IF(Table1[[#This Row],[Discount]]&lt;=0.2,"medium","high")))</f>
        <v>Low</v>
      </c>
    </row>
    <row r="135" spans="1:22" x14ac:dyDescent="0.3">
      <c r="A135" t="s">
        <v>331</v>
      </c>
      <c r="B135" s="6">
        <v>45359</v>
      </c>
      <c r="C135" t="s">
        <v>231</v>
      </c>
      <c r="D135" t="s">
        <v>33</v>
      </c>
      <c r="E135" t="s">
        <v>34</v>
      </c>
      <c r="F135" t="s">
        <v>26</v>
      </c>
      <c r="G135" t="s">
        <v>35</v>
      </c>
      <c r="H135" t="s">
        <v>55</v>
      </c>
      <c r="I135">
        <v>4187.82</v>
      </c>
      <c r="J135">
        <v>7</v>
      </c>
      <c r="K135">
        <v>0.2</v>
      </c>
      <c r="L135">
        <v>155.86000000000001</v>
      </c>
      <c r="M135" t="s">
        <v>43</v>
      </c>
      <c r="N135" t="s">
        <v>38</v>
      </c>
      <c r="O135" t="str">
        <f t="shared" si="4"/>
        <v>Bad</v>
      </c>
      <c r="P135">
        <f t="shared" si="5"/>
        <v>598.26</v>
      </c>
      <c r="Q135">
        <v>45359</v>
      </c>
      <c r="R135">
        <f>YEAR(Table1[[#This Row],[Order_Date_New]])</f>
        <v>2024</v>
      </c>
      <c r="S135">
        <f>MONTH(Table1[[#This Row],[Order_Date_New]])</f>
        <v>3</v>
      </c>
      <c r="T135" t="str">
        <f>TEXT(Table1[[#This Row],[Order_Date_New]],"mmmm")</f>
        <v>March</v>
      </c>
      <c r="U135">
        <f>Table1[[#This Row],[Profit]]/Table1[[#This Row],[Sales]]</f>
        <v>3.721745442736317E-2</v>
      </c>
      <c r="V135" t="str">
        <f>IF(Table1[[#This Row],[Discount]]=0,"No Discount",IF(Table1[[#This Row],[Discount]]&lt;=0.1,"Low",IF(Table1[[#This Row],[Discount]]&lt;=0.2,"medium","high")))</f>
        <v>medium</v>
      </c>
    </row>
    <row r="136" spans="1:22" x14ac:dyDescent="0.3">
      <c r="A136" t="s">
        <v>332</v>
      </c>
      <c r="B136" s="6">
        <v>45681</v>
      </c>
      <c r="C136" t="s">
        <v>83</v>
      </c>
      <c r="D136" t="s">
        <v>128</v>
      </c>
      <c r="E136" t="s">
        <v>202</v>
      </c>
      <c r="F136" t="s">
        <v>60</v>
      </c>
      <c r="G136" t="s">
        <v>61</v>
      </c>
      <c r="H136" t="s">
        <v>62</v>
      </c>
      <c r="I136">
        <v>7119.06</v>
      </c>
      <c r="J136">
        <v>6</v>
      </c>
      <c r="K136">
        <v>0.15</v>
      </c>
      <c r="L136">
        <v>-297.89999999999998</v>
      </c>
      <c r="M136" t="s">
        <v>90</v>
      </c>
      <c r="N136" t="s">
        <v>44</v>
      </c>
      <c r="O136" t="str">
        <f t="shared" si="4"/>
        <v>Bad</v>
      </c>
      <c r="P136">
        <f t="shared" si="5"/>
        <v>1186.51</v>
      </c>
      <c r="Q136">
        <v>45681</v>
      </c>
      <c r="R136">
        <f>YEAR(Table1[[#This Row],[Order_Date_New]])</f>
        <v>2025</v>
      </c>
      <c r="S136">
        <f>MONTH(Table1[[#This Row],[Order_Date_New]])</f>
        <v>1</v>
      </c>
      <c r="T136" t="str">
        <f>TEXT(Table1[[#This Row],[Order_Date_New]],"mmmm")</f>
        <v>January</v>
      </c>
      <c r="U136">
        <f>Table1[[#This Row],[Profit]]/Table1[[#This Row],[Sales]]</f>
        <v>-4.1845412175202899E-2</v>
      </c>
      <c r="V136" t="str">
        <f>IF(Table1[[#This Row],[Discount]]=0,"No Discount",IF(Table1[[#This Row],[Discount]]&lt;=0.1,"Low",IF(Table1[[#This Row],[Discount]]&lt;=0.2,"medium","high")))</f>
        <v>medium</v>
      </c>
    </row>
    <row r="137" spans="1:22" x14ac:dyDescent="0.3">
      <c r="A137" t="s">
        <v>333</v>
      </c>
      <c r="B137" s="6">
        <v>45927</v>
      </c>
      <c r="C137" t="s">
        <v>334</v>
      </c>
      <c r="D137" t="s">
        <v>24</v>
      </c>
      <c r="E137" t="s">
        <v>97</v>
      </c>
      <c r="F137" t="s">
        <v>26</v>
      </c>
      <c r="G137" t="s">
        <v>35</v>
      </c>
      <c r="H137" t="s">
        <v>55</v>
      </c>
      <c r="I137">
        <v>3328.2</v>
      </c>
      <c r="J137">
        <v>4</v>
      </c>
      <c r="K137">
        <v>0</v>
      </c>
      <c r="L137">
        <v>588.05999999999995</v>
      </c>
      <c r="M137" t="s">
        <v>68</v>
      </c>
      <c r="N137" t="s">
        <v>38</v>
      </c>
      <c r="O137" t="str">
        <f t="shared" si="4"/>
        <v>Bad</v>
      </c>
      <c r="P137">
        <f t="shared" si="5"/>
        <v>832.05</v>
      </c>
      <c r="Q137">
        <v>45927</v>
      </c>
      <c r="R137">
        <f>YEAR(Table1[[#This Row],[Order_Date_New]])</f>
        <v>2025</v>
      </c>
      <c r="S137">
        <f>MONTH(Table1[[#This Row],[Order_Date_New]])</f>
        <v>9</v>
      </c>
      <c r="T137" t="str">
        <f>TEXT(Table1[[#This Row],[Order_Date_New]],"mmmm")</f>
        <v>September</v>
      </c>
      <c r="U137">
        <f>Table1[[#This Row],[Profit]]/Table1[[#This Row],[Sales]]</f>
        <v>0.1766901027582477</v>
      </c>
      <c r="V137" t="str">
        <f>IF(Table1[[#This Row],[Discount]]=0,"No Discount",IF(Table1[[#This Row],[Discount]]&lt;=0.1,"Low",IF(Table1[[#This Row],[Discount]]&lt;=0.2,"medium","high")))</f>
        <v>No Discount</v>
      </c>
    </row>
    <row r="138" spans="1:22" x14ac:dyDescent="0.3">
      <c r="A138" t="s">
        <v>335</v>
      </c>
      <c r="B138" s="6">
        <v>45783</v>
      </c>
      <c r="C138" t="s">
        <v>336</v>
      </c>
      <c r="D138" t="s">
        <v>33</v>
      </c>
      <c r="E138" t="s">
        <v>66</v>
      </c>
      <c r="F138" t="s">
        <v>26</v>
      </c>
      <c r="G138" t="s">
        <v>35</v>
      </c>
      <c r="H138" t="s">
        <v>55</v>
      </c>
      <c r="I138">
        <v>627.6</v>
      </c>
      <c r="J138">
        <v>10</v>
      </c>
      <c r="K138">
        <v>0.15</v>
      </c>
      <c r="L138">
        <v>-27.08</v>
      </c>
      <c r="M138" t="s">
        <v>113</v>
      </c>
      <c r="N138" t="s">
        <v>38</v>
      </c>
      <c r="O138" t="str">
        <f t="shared" si="4"/>
        <v>Bad</v>
      </c>
      <c r="P138">
        <f t="shared" si="5"/>
        <v>62.760000000000005</v>
      </c>
      <c r="Q138">
        <v>45783</v>
      </c>
      <c r="R138">
        <f>YEAR(Table1[[#This Row],[Order_Date_New]])</f>
        <v>2025</v>
      </c>
      <c r="S138">
        <f>MONTH(Table1[[#This Row],[Order_Date_New]])</f>
        <v>5</v>
      </c>
      <c r="T138" t="str">
        <f>TEXT(Table1[[#This Row],[Order_Date_New]],"mmmm")</f>
        <v>May</v>
      </c>
      <c r="U138">
        <f>Table1[[#This Row],[Profit]]/Table1[[#This Row],[Sales]]</f>
        <v>-4.3148502230720198E-2</v>
      </c>
      <c r="V138" t="str">
        <f>IF(Table1[[#This Row],[Discount]]=0,"No Discount",IF(Table1[[#This Row],[Discount]]&lt;=0.1,"Low",IF(Table1[[#This Row],[Discount]]&lt;=0.2,"medium","high")))</f>
        <v>medium</v>
      </c>
    </row>
    <row r="139" spans="1:22" x14ac:dyDescent="0.3">
      <c r="A139" t="s">
        <v>337</v>
      </c>
      <c r="B139" s="6">
        <v>45829</v>
      </c>
      <c r="C139" t="s">
        <v>338</v>
      </c>
      <c r="D139" t="s">
        <v>128</v>
      </c>
      <c r="E139" t="s">
        <v>132</v>
      </c>
      <c r="F139" t="s">
        <v>26</v>
      </c>
      <c r="G139" t="s">
        <v>27</v>
      </c>
      <c r="H139" t="s">
        <v>28</v>
      </c>
      <c r="I139">
        <v>609.55999999999995</v>
      </c>
      <c r="J139">
        <v>1</v>
      </c>
      <c r="K139">
        <v>0.2</v>
      </c>
      <c r="L139">
        <v>43.11</v>
      </c>
      <c r="M139" t="s">
        <v>29</v>
      </c>
      <c r="N139" t="s">
        <v>44</v>
      </c>
      <c r="O139" t="str">
        <f t="shared" si="4"/>
        <v>Bad</v>
      </c>
      <c r="P139">
        <f t="shared" si="5"/>
        <v>609.55999999999995</v>
      </c>
      <c r="Q139">
        <v>45829</v>
      </c>
      <c r="R139">
        <f>YEAR(Table1[[#This Row],[Order_Date_New]])</f>
        <v>2025</v>
      </c>
      <c r="S139">
        <f>MONTH(Table1[[#This Row],[Order_Date_New]])</f>
        <v>6</v>
      </c>
      <c r="T139" t="str">
        <f>TEXT(Table1[[#This Row],[Order_Date_New]],"mmmm")</f>
        <v>June</v>
      </c>
      <c r="U139">
        <f>Table1[[#This Row],[Profit]]/Table1[[#This Row],[Sales]]</f>
        <v>7.0723144563291554E-2</v>
      </c>
      <c r="V139" t="str">
        <f>IF(Table1[[#This Row],[Discount]]=0,"No Discount",IF(Table1[[#This Row],[Discount]]&lt;=0.1,"Low",IF(Table1[[#This Row],[Discount]]&lt;=0.2,"medium","high")))</f>
        <v>medium</v>
      </c>
    </row>
    <row r="140" spans="1:22" x14ac:dyDescent="0.3">
      <c r="A140" t="s">
        <v>339</v>
      </c>
      <c r="B140" s="6">
        <v>45773</v>
      </c>
      <c r="C140" t="s">
        <v>305</v>
      </c>
      <c r="D140" t="s">
        <v>33</v>
      </c>
      <c r="E140" t="s">
        <v>48</v>
      </c>
      <c r="F140" t="s">
        <v>72</v>
      </c>
      <c r="G140" t="s">
        <v>111</v>
      </c>
      <c r="H140" t="s">
        <v>182</v>
      </c>
      <c r="I140">
        <v>4031.91</v>
      </c>
      <c r="J140">
        <v>9</v>
      </c>
      <c r="K140">
        <v>0.1</v>
      </c>
      <c r="L140">
        <v>527.72</v>
      </c>
      <c r="M140" t="s">
        <v>49</v>
      </c>
      <c r="N140" t="s">
        <v>80</v>
      </c>
      <c r="O140" t="str">
        <f t="shared" si="4"/>
        <v>Bad</v>
      </c>
      <c r="P140">
        <f t="shared" si="5"/>
        <v>447.99</v>
      </c>
      <c r="Q140">
        <v>45773</v>
      </c>
      <c r="R140">
        <f>YEAR(Table1[[#This Row],[Order_Date_New]])</f>
        <v>2025</v>
      </c>
      <c r="S140">
        <f>MONTH(Table1[[#This Row],[Order_Date_New]])</f>
        <v>4</v>
      </c>
      <c r="T140" t="str">
        <f>TEXT(Table1[[#This Row],[Order_Date_New]],"mmmm")</f>
        <v>April</v>
      </c>
      <c r="U140">
        <f>Table1[[#This Row],[Profit]]/Table1[[#This Row],[Sales]]</f>
        <v>0.13088585806726838</v>
      </c>
      <c r="V140" t="str">
        <f>IF(Table1[[#This Row],[Discount]]=0,"No Discount",IF(Table1[[#This Row],[Discount]]&lt;=0.1,"Low",IF(Table1[[#This Row],[Discount]]&lt;=0.2,"medium","high")))</f>
        <v>Low</v>
      </c>
    </row>
    <row r="141" spans="1:22" x14ac:dyDescent="0.3">
      <c r="A141" t="s">
        <v>340</v>
      </c>
      <c r="B141" s="6">
        <v>45949</v>
      </c>
      <c r="C141" t="s">
        <v>341</v>
      </c>
      <c r="D141" t="s">
        <v>53</v>
      </c>
      <c r="E141" t="s">
        <v>107</v>
      </c>
      <c r="F141" t="s">
        <v>60</v>
      </c>
      <c r="G141" t="s">
        <v>61</v>
      </c>
      <c r="H141" t="s">
        <v>122</v>
      </c>
      <c r="I141">
        <v>1161.08</v>
      </c>
      <c r="J141">
        <v>2</v>
      </c>
      <c r="K141">
        <v>0.1</v>
      </c>
      <c r="L141">
        <v>62.78</v>
      </c>
      <c r="M141" t="s">
        <v>90</v>
      </c>
      <c r="N141" t="s">
        <v>38</v>
      </c>
      <c r="O141" t="str">
        <f t="shared" si="4"/>
        <v>Bad</v>
      </c>
      <c r="P141">
        <f t="shared" si="5"/>
        <v>580.54</v>
      </c>
      <c r="Q141">
        <v>45949</v>
      </c>
      <c r="R141">
        <f>YEAR(Table1[[#This Row],[Order_Date_New]])</f>
        <v>2025</v>
      </c>
      <c r="S141">
        <f>MONTH(Table1[[#This Row],[Order_Date_New]])</f>
        <v>10</v>
      </c>
      <c r="T141" t="str">
        <f>TEXT(Table1[[#This Row],[Order_Date_New]],"mmmm")</f>
        <v>October</v>
      </c>
      <c r="U141">
        <f>Table1[[#This Row],[Profit]]/Table1[[#This Row],[Sales]]</f>
        <v>5.4070348296413689E-2</v>
      </c>
      <c r="V141" t="str">
        <f>IF(Table1[[#This Row],[Discount]]=0,"No Discount",IF(Table1[[#This Row],[Discount]]&lt;=0.1,"Low",IF(Table1[[#This Row],[Discount]]&lt;=0.2,"medium","high")))</f>
        <v>Low</v>
      </c>
    </row>
    <row r="142" spans="1:22" x14ac:dyDescent="0.3">
      <c r="A142" t="s">
        <v>342</v>
      </c>
      <c r="B142" s="6">
        <v>45652</v>
      </c>
      <c r="C142" t="s">
        <v>131</v>
      </c>
      <c r="D142" t="s">
        <v>33</v>
      </c>
      <c r="E142" t="s">
        <v>48</v>
      </c>
      <c r="F142" t="s">
        <v>60</v>
      </c>
      <c r="G142" t="s">
        <v>78</v>
      </c>
      <c r="H142" t="s">
        <v>79</v>
      </c>
      <c r="I142">
        <v>1835.2</v>
      </c>
      <c r="J142">
        <v>4</v>
      </c>
      <c r="K142">
        <v>0</v>
      </c>
      <c r="L142">
        <v>619.04</v>
      </c>
      <c r="M142" t="s">
        <v>105</v>
      </c>
      <c r="N142" t="s">
        <v>38</v>
      </c>
      <c r="O142" t="str">
        <f t="shared" si="4"/>
        <v>Bad</v>
      </c>
      <c r="P142">
        <f t="shared" si="5"/>
        <v>458.8</v>
      </c>
      <c r="Q142">
        <v>45652</v>
      </c>
      <c r="R142">
        <f>YEAR(Table1[[#This Row],[Order_Date_New]])</f>
        <v>2024</v>
      </c>
      <c r="S142">
        <f>MONTH(Table1[[#This Row],[Order_Date_New]])</f>
        <v>12</v>
      </c>
      <c r="T142" t="str">
        <f>TEXT(Table1[[#This Row],[Order_Date_New]],"mmmm")</f>
        <v>December</v>
      </c>
      <c r="U142">
        <f>Table1[[#This Row],[Profit]]/Table1[[#This Row],[Sales]]</f>
        <v>0.33731473408892759</v>
      </c>
      <c r="V142" t="str">
        <f>IF(Table1[[#This Row],[Discount]]=0,"No Discount",IF(Table1[[#This Row],[Discount]]&lt;=0.1,"Low",IF(Table1[[#This Row],[Discount]]&lt;=0.2,"medium","high")))</f>
        <v>No Discount</v>
      </c>
    </row>
    <row r="143" spans="1:22" x14ac:dyDescent="0.3">
      <c r="A143" t="s">
        <v>343</v>
      </c>
      <c r="B143" s="6">
        <v>45409</v>
      </c>
      <c r="C143" t="s">
        <v>344</v>
      </c>
      <c r="D143" t="s">
        <v>128</v>
      </c>
      <c r="E143" t="s">
        <v>202</v>
      </c>
      <c r="F143" t="s">
        <v>60</v>
      </c>
      <c r="G143" t="s">
        <v>61</v>
      </c>
      <c r="H143" t="s">
        <v>67</v>
      </c>
      <c r="I143">
        <v>1715.06</v>
      </c>
      <c r="J143">
        <v>2</v>
      </c>
      <c r="K143">
        <v>0.1</v>
      </c>
      <c r="L143">
        <v>-80.569999999999993</v>
      </c>
      <c r="M143" t="s">
        <v>68</v>
      </c>
      <c r="N143" t="s">
        <v>44</v>
      </c>
      <c r="O143" t="str">
        <f t="shared" si="4"/>
        <v>Bad</v>
      </c>
      <c r="P143">
        <f t="shared" si="5"/>
        <v>857.53</v>
      </c>
      <c r="Q143">
        <v>45409</v>
      </c>
      <c r="R143">
        <f>YEAR(Table1[[#This Row],[Order_Date_New]])</f>
        <v>2024</v>
      </c>
      <c r="S143">
        <f>MONTH(Table1[[#This Row],[Order_Date_New]])</f>
        <v>4</v>
      </c>
      <c r="T143" t="str">
        <f>TEXT(Table1[[#This Row],[Order_Date_New]],"mmmm")</f>
        <v>April</v>
      </c>
      <c r="U143">
        <f>Table1[[#This Row],[Profit]]/Table1[[#This Row],[Sales]]</f>
        <v>-4.6977948293354166E-2</v>
      </c>
      <c r="V143" t="str">
        <f>IF(Table1[[#This Row],[Discount]]=0,"No Discount",IF(Table1[[#This Row],[Discount]]&lt;=0.1,"Low",IF(Table1[[#This Row],[Discount]]&lt;=0.2,"medium","high")))</f>
        <v>Low</v>
      </c>
    </row>
    <row r="144" spans="1:22" x14ac:dyDescent="0.3">
      <c r="A144" t="s">
        <v>345</v>
      </c>
      <c r="B144" s="6">
        <v>45907</v>
      </c>
      <c r="C144" t="s">
        <v>334</v>
      </c>
      <c r="D144" t="s">
        <v>128</v>
      </c>
      <c r="E144" t="s">
        <v>129</v>
      </c>
      <c r="F144" t="s">
        <v>60</v>
      </c>
      <c r="G144" t="s">
        <v>61</v>
      </c>
      <c r="H144" t="s">
        <v>122</v>
      </c>
      <c r="I144">
        <v>1575.3</v>
      </c>
      <c r="J144">
        <v>5</v>
      </c>
      <c r="K144">
        <v>0.2</v>
      </c>
      <c r="L144">
        <v>-82.11</v>
      </c>
      <c r="M144" t="s">
        <v>43</v>
      </c>
      <c r="N144" t="s">
        <v>80</v>
      </c>
      <c r="O144" t="str">
        <f t="shared" si="4"/>
        <v>Bad</v>
      </c>
      <c r="P144">
        <f t="shared" si="5"/>
        <v>315.06</v>
      </c>
      <c r="Q144">
        <v>45907</v>
      </c>
      <c r="R144">
        <f>YEAR(Table1[[#This Row],[Order_Date_New]])</f>
        <v>2025</v>
      </c>
      <c r="S144">
        <f>MONTH(Table1[[#This Row],[Order_Date_New]])</f>
        <v>9</v>
      </c>
      <c r="T144" t="str">
        <f>TEXT(Table1[[#This Row],[Order_Date_New]],"mmmm")</f>
        <v>September</v>
      </c>
      <c r="U144">
        <f>Table1[[#This Row],[Profit]]/Table1[[#This Row],[Sales]]</f>
        <v>-5.2123405065701775E-2</v>
      </c>
      <c r="V144" t="str">
        <f>IF(Table1[[#This Row],[Discount]]=0,"No Discount",IF(Table1[[#This Row],[Discount]]&lt;=0.1,"Low",IF(Table1[[#This Row],[Discount]]&lt;=0.2,"medium","high")))</f>
        <v>medium</v>
      </c>
    </row>
    <row r="145" spans="1:22" x14ac:dyDescent="0.3">
      <c r="A145" t="s">
        <v>346</v>
      </c>
      <c r="B145" s="6">
        <v>45651</v>
      </c>
      <c r="C145" t="s">
        <v>347</v>
      </c>
      <c r="D145" t="s">
        <v>24</v>
      </c>
      <c r="E145" t="s">
        <v>25</v>
      </c>
      <c r="F145" t="s">
        <v>60</v>
      </c>
      <c r="G145" t="s">
        <v>98</v>
      </c>
      <c r="H145" t="s">
        <v>141</v>
      </c>
      <c r="I145">
        <v>3372.48</v>
      </c>
      <c r="J145">
        <v>8</v>
      </c>
      <c r="K145">
        <v>0.1</v>
      </c>
      <c r="L145">
        <v>1170.46</v>
      </c>
      <c r="M145" t="s">
        <v>29</v>
      </c>
      <c r="N145" t="s">
        <v>38</v>
      </c>
      <c r="O145" t="str">
        <f t="shared" si="4"/>
        <v>Bad</v>
      </c>
      <c r="P145">
        <f t="shared" si="5"/>
        <v>421.56</v>
      </c>
      <c r="Q145">
        <v>45651</v>
      </c>
      <c r="R145">
        <f>YEAR(Table1[[#This Row],[Order_Date_New]])</f>
        <v>2024</v>
      </c>
      <c r="S145">
        <f>MONTH(Table1[[#This Row],[Order_Date_New]])</f>
        <v>12</v>
      </c>
      <c r="T145" t="str">
        <f>TEXT(Table1[[#This Row],[Order_Date_New]],"mmmm")</f>
        <v>December</v>
      </c>
      <c r="U145">
        <f>Table1[[#This Row],[Profit]]/Table1[[#This Row],[Sales]]</f>
        <v>0.34706210266628712</v>
      </c>
      <c r="V145" t="str">
        <f>IF(Table1[[#This Row],[Discount]]=0,"No Discount",IF(Table1[[#This Row],[Discount]]&lt;=0.1,"Low",IF(Table1[[#This Row],[Discount]]&lt;=0.2,"medium","high")))</f>
        <v>Low</v>
      </c>
    </row>
    <row r="146" spans="1:22" x14ac:dyDescent="0.3">
      <c r="A146" t="s">
        <v>348</v>
      </c>
      <c r="B146" s="6">
        <v>45496</v>
      </c>
      <c r="C146" t="s">
        <v>246</v>
      </c>
      <c r="D146" t="s">
        <v>24</v>
      </c>
      <c r="E146" t="s">
        <v>59</v>
      </c>
      <c r="F146" t="s">
        <v>60</v>
      </c>
      <c r="G146" t="s">
        <v>61</v>
      </c>
      <c r="H146" t="s">
        <v>122</v>
      </c>
      <c r="I146">
        <v>333.53</v>
      </c>
      <c r="J146">
        <v>1</v>
      </c>
      <c r="K146">
        <v>0</v>
      </c>
      <c r="L146">
        <v>32.479999999999997</v>
      </c>
      <c r="M146" t="s">
        <v>29</v>
      </c>
      <c r="N146" t="s">
        <v>30</v>
      </c>
      <c r="O146" t="str">
        <f t="shared" si="4"/>
        <v>Bad</v>
      </c>
      <c r="P146">
        <f t="shared" si="5"/>
        <v>333.53</v>
      </c>
      <c r="Q146">
        <v>45496</v>
      </c>
      <c r="R146">
        <f>YEAR(Table1[[#This Row],[Order_Date_New]])</f>
        <v>2024</v>
      </c>
      <c r="S146">
        <f>MONTH(Table1[[#This Row],[Order_Date_New]])</f>
        <v>7</v>
      </c>
      <c r="T146" t="str">
        <f>TEXT(Table1[[#This Row],[Order_Date_New]],"mmmm")</f>
        <v>July</v>
      </c>
      <c r="U146">
        <f>Table1[[#This Row],[Profit]]/Table1[[#This Row],[Sales]]</f>
        <v>9.7382544298863671E-2</v>
      </c>
      <c r="V146" t="str">
        <f>IF(Table1[[#This Row],[Discount]]=0,"No Discount",IF(Table1[[#This Row],[Discount]]&lt;=0.1,"Low",IF(Table1[[#This Row],[Discount]]&lt;=0.2,"medium","high")))</f>
        <v>No Discount</v>
      </c>
    </row>
    <row r="147" spans="1:22" x14ac:dyDescent="0.3">
      <c r="A147" t="s">
        <v>349</v>
      </c>
      <c r="B147" s="6">
        <v>45876</v>
      </c>
      <c r="C147" t="s">
        <v>350</v>
      </c>
      <c r="D147" t="s">
        <v>128</v>
      </c>
      <c r="E147" t="s">
        <v>129</v>
      </c>
      <c r="F147" t="s">
        <v>72</v>
      </c>
      <c r="G147" t="s">
        <v>111</v>
      </c>
      <c r="H147" t="s">
        <v>182</v>
      </c>
      <c r="I147">
        <v>1596.92</v>
      </c>
      <c r="J147">
        <v>4</v>
      </c>
      <c r="K147">
        <v>0</v>
      </c>
      <c r="L147">
        <v>702.25</v>
      </c>
      <c r="M147" t="s">
        <v>29</v>
      </c>
      <c r="N147" t="s">
        <v>44</v>
      </c>
      <c r="O147" t="str">
        <f t="shared" si="4"/>
        <v>Bad</v>
      </c>
      <c r="P147">
        <f t="shared" si="5"/>
        <v>399.23</v>
      </c>
      <c r="Q147">
        <v>45876</v>
      </c>
      <c r="R147">
        <f>YEAR(Table1[[#This Row],[Order_Date_New]])</f>
        <v>2025</v>
      </c>
      <c r="S147">
        <f>MONTH(Table1[[#This Row],[Order_Date_New]])</f>
        <v>8</v>
      </c>
      <c r="T147" t="str">
        <f>TEXT(Table1[[#This Row],[Order_Date_New]],"mmmm")</f>
        <v>August</v>
      </c>
      <c r="U147">
        <f>Table1[[#This Row],[Profit]]/Table1[[#This Row],[Sales]]</f>
        <v>0.43975277409012348</v>
      </c>
      <c r="V147" t="str">
        <f>IF(Table1[[#This Row],[Discount]]=0,"No Discount",IF(Table1[[#This Row],[Discount]]&lt;=0.1,"Low",IF(Table1[[#This Row],[Discount]]&lt;=0.2,"medium","high")))</f>
        <v>No Discount</v>
      </c>
    </row>
    <row r="148" spans="1:22" x14ac:dyDescent="0.3">
      <c r="A148" t="s">
        <v>351</v>
      </c>
      <c r="B148" s="6">
        <v>45329</v>
      </c>
      <c r="C148" t="s">
        <v>235</v>
      </c>
      <c r="D148" t="s">
        <v>128</v>
      </c>
      <c r="E148" t="s">
        <v>146</v>
      </c>
      <c r="F148" t="s">
        <v>72</v>
      </c>
      <c r="G148" t="s">
        <v>73</v>
      </c>
      <c r="H148" t="s">
        <v>293</v>
      </c>
      <c r="I148">
        <v>2489.64</v>
      </c>
      <c r="J148">
        <v>4</v>
      </c>
      <c r="K148">
        <v>0.2</v>
      </c>
      <c r="L148">
        <v>-81.53</v>
      </c>
      <c r="M148" t="s">
        <v>43</v>
      </c>
      <c r="N148" t="s">
        <v>38</v>
      </c>
      <c r="O148" t="str">
        <f t="shared" si="4"/>
        <v>Bad</v>
      </c>
      <c r="P148">
        <f t="shared" si="5"/>
        <v>622.41</v>
      </c>
      <c r="Q148">
        <v>45329</v>
      </c>
      <c r="R148">
        <f>YEAR(Table1[[#This Row],[Order_Date_New]])</f>
        <v>2024</v>
      </c>
      <c r="S148">
        <f>MONTH(Table1[[#This Row],[Order_Date_New]])</f>
        <v>2</v>
      </c>
      <c r="T148" t="str">
        <f>TEXT(Table1[[#This Row],[Order_Date_New]],"mmmm")</f>
        <v>February</v>
      </c>
      <c r="U148">
        <f>Table1[[#This Row],[Profit]]/Table1[[#This Row],[Sales]]</f>
        <v>-3.274770649571826E-2</v>
      </c>
      <c r="V148" t="str">
        <f>IF(Table1[[#This Row],[Discount]]=0,"No Discount",IF(Table1[[#This Row],[Discount]]&lt;=0.1,"Low",IF(Table1[[#This Row],[Discount]]&lt;=0.2,"medium","high")))</f>
        <v>medium</v>
      </c>
    </row>
    <row r="149" spans="1:22" x14ac:dyDescent="0.3">
      <c r="A149" t="s">
        <v>352</v>
      </c>
      <c r="B149" s="6">
        <v>45655</v>
      </c>
      <c r="C149" t="s">
        <v>248</v>
      </c>
      <c r="D149" t="s">
        <v>33</v>
      </c>
      <c r="E149" t="s">
        <v>118</v>
      </c>
      <c r="F149" t="s">
        <v>72</v>
      </c>
      <c r="G149" t="s">
        <v>73</v>
      </c>
      <c r="H149" t="s">
        <v>102</v>
      </c>
      <c r="I149">
        <v>2902.6</v>
      </c>
      <c r="J149">
        <v>5</v>
      </c>
      <c r="K149">
        <v>0.2</v>
      </c>
      <c r="L149">
        <v>260.75</v>
      </c>
      <c r="M149" t="s">
        <v>113</v>
      </c>
      <c r="N149" t="s">
        <v>44</v>
      </c>
      <c r="O149" t="str">
        <f t="shared" si="4"/>
        <v>Bad</v>
      </c>
      <c r="P149">
        <f t="shared" si="5"/>
        <v>580.52</v>
      </c>
      <c r="Q149">
        <v>45655</v>
      </c>
      <c r="R149">
        <f>YEAR(Table1[[#This Row],[Order_Date_New]])</f>
        <v>2024</v>
      </c>
      <c r="S149">
        <f>MONTH(Table1[[#This Row],[Order_Date_New]])</f>
        <v>12</v>
      </c>
      <c r="T149" t="str">
        <f>TEXT(Table1[[#This Row],[Order_Date_New]],"mmmm")</f>
        <v>December</v>
      </c>
      <c r="U149">
        <f>Table1[[#This Row],[Profit]]/Table1[[#This Row],[Sales]]</f>
        <v>8.9833252945634948E-2</v>
      </c>
      <c r="V149" t="str">
        <f>IF(Table1[[#This Row],[Discount]]=0,"No Discount",IF(Table1[[#This Row],[Discount]]&lt;=0.1,"Low",IF(Table1[[#This Row],[Discount]]&lt;=0.2,"medium","high")))</f>
        <v>medium</v>
      </c>
    </row>
    <row r="150" spans="1:22" x14ac:dyDescent="0.3">
      <c r="A150" t="s">
        <v>353</v>
      </c>
      <c r="B150" s="6">
        <v>45325</v>
      </c>
      <c r="C150" t="s">
        <v>354</v>
      </c>
      <c r="D150" t="s">
        <v>33</v>
      </c>
      <c r="E150" t="s">
        <v>66</v>
      </c>
      <c r="F150" t="s">
        <v>72</v>
      </c>
      <c r="G150" t="s">
        <v>88</v>
      </c>
      <c r="H150" t="s">
        <v>89</v>
      </c>
      <c r="I150">
        <v>3480.18</v>
      </c>
      <c r="J150">
        <v>6</v>
      </c>
      <c r="K150">
        <v>0.3</v>
      </c>
      <c r="L150">
        <v>-254.39</v>
      </c>
      <c r="M150" t="s">
        <v>113</v>
      </c>
      <c r="N150" t="s">
        <v>80</v>
      </c>
      <c r="O150" t="str">
        <f t="shared" si="4"/>
        <v>Bad</v>
      </c>
      <c r="P150">
        <f t="shared" si="5"/>
        <v>580.03</v>
      </c>
      <c r="Q150">
        <v>45325</v>
      </c>
      <c r="R150">
        <f>YEAR(Table1[[#This Row],[Order_Date_New]])</f>
        <v>2024</v>
      </c>
      <c r="S150">
        <f>MONTH(Table1[[#This Row],[Order_Date_New]])</f>
        <v>2</v>
      </c>
      <c r="T150" t="str">
        <f>TEXT(Table1[[#This Row],[Order_Date_New]],"mmmm")</f>
        <v>February</v>
      </c>
      <c r="U150">
        <f>Table1[[#This Row],[Profit]]/Table1[[#This Row],[Sales]]</f>
        <v>-7.3096793843996574E-2</v>
      </c>
      <c r="V150" t="str">
        <f>IF(Table1[[#This Row],[Discount]]=0,"No Discount",IF(Table1[[#This Row],[Discount]]&lt;=0.1,"Low",IF(Table1[[#This Row],[Discount]]&lt;=0.2,"medium","high")))</f>
        <v>high</v>
      </c>
    </row>
    <row r="151" spans="1:22" x14ac:dyDescent="0.3">
      <c r="A151" t="s">
        <v>355</v>
      </c>
      <c r="B151" s="6">
        <v>45511</v>
      </c>
      <c r="C151" t="s">
        <v>169</v>
      </c>
      <c r="D151" t="s">
        <v>128</v>
      </c>
      <c r="E151" t="s">
        <v>146</v>
      </c>
      <c r="F151" t="s">
        <v>72</v>
      </c>
      <c r="G151" t="s">
        <v>111</v>
      </c>
      <c r="H151" t="s">
        <v>158</v>
      </c>
      <c r="I151">
        <v>156</v>
      </c>
      <c r="J151">
        <v>10</v>
      </c>
      <c r="K151">
        <v>0.3</v>
      </c>
      <c r="L151">
        <v>10.88</v>
      </c>
      <c r="M151" t="s">
        <v>68</v>
      </c>
      <c r="N151" t="s">
        <v>44</v>
      </c>
      <c r="O151" t="str">
        <f t="shared" si="4"/>
        <v>Bad</v>
      </c>
      <c r="P151">
        <f t="shared" si="5"/>
        <v>15.6</v>
      </c>
      <c r="Q151">
        <v>45511</v>
      </c>
      <c r="R151">
        <f>YEAR(Table1[[#This Row],[Order_Date_New]])</f>
        <v>2024</v>
      </c>
      <c r="S151">
        <f>MONTH(Table1[[#This Row],[Order_Date_New]])</f>
        <v>8</v>
      </c>
      <c r="T151" t="str">
        <f>TEXT(Table1[[#This Row],[Order_Date_New]],"mmmm")</f>
        <v>August</v>
      </c>
      <c r="U151">
        <f>Table1[[#This Row],[Profit]]/Table1[[#This Row],[Sales]]</f>
        <v>6.9743589743589754E-2</v>
      </c>
      <c r="V151" t="str">
        <f>IF(Table1[[#This Row],[Discount]]=0,"No Discount",IF(Table1[[#This Row],[Discount]]&lt;=0.1,"Low",IF(Table1[[#This Row],[Discount]]&lt;=0.2,"medium","high")))</f>
        <v>high</v>
      </c>
    </row>
    <row r="152" spans="1:22" x14ac:dyDescent="0.3">
      <c r="A152" t="s">
        <v>356</v>
      </c>
      <c r="B152" s="6">
        <v>45354</v>
      </c>
      <c r="C152" t="s">
        <v>315</v>
      </c>
      <c r="D152" t="s">
        <v>128</v>
      </c>
      <c r="E152" t="s">
        <v>146</v>
      </c>
      <c r="F152" t="s">
        <v>72</v>
      </c>
      <c r="G152" t="s">
        <v>88</v>
      </c>
      <c r="H152" t="s">
        <v>209</v>
      </c>
      <c r="I152">
        <v>1035.04</v>
      </c>
      <c r="J152">
        <v>8</v>
      </c>
      <c r="K152">
        <v>0.2</v>
      </c>
      <c r="L152">
        <v>86.22</v>
      </c>
      <c r="M152" t="s">
        <v>37</v>
      </c>
      <c r="N152" t="s">
        <v>30</v>
      </c>
      <c r="O152" t="str">
        <f t="shared" si="4"/>
        <v>Bad</v>
      </c>
      <c r="P152">
        <f t="shared" si="5"/>
        <v>129.38</v>
      </c>
      <c r="Q152">
        <v>45354</v>
      </c>
      <c r="R152">
        <f>YEAR(Table1[[#This Row],[Order_Date_New]])</f>
        <v>2024</v>
      </c>
      <c r="S152">
        <f>MONTH(Table1[[#This Row],[Order_Date_New]])</f>
        <v>3</v>
      </c>
      <c r="T152" t="str">
        <f>TEXT(Table1[[#This Row],[Order_Date_New]],"mmmm")</f>
        <v>March</v>
      </c>
      <c r="U152">
        <f>Table1[[#This Row],[Profit]]/Table1[[#This Row],[Sales]]</f>
        <v>8.3301128458803525E-2</v>
      </c>
      <c r="V152" t="str">
        <f>IF(Table1[[#This Row],[Discount]]=0,"No Discount",IF(Table1[[#This Row],[Discount]]&lt;=0.1,"Low",IF(Table1[[#This Row],[Discount]]&lt;=0.2,"medium","high")))</f>
        <v>medium</v>
      </c>
    </row>
    <row r="153" spans="1:22" x14ac:dyDescent="0.3">
      <c r="A153" t="s">
        <v>357</v>
      </c>
      <c r="B153" s="6">
        <v>45920</v>
      </c>
      <c r="C153" t="s">
        <v>301</v>
      </c>
      <c r="D153" t="s">
        <v>128</v>
      </c>
      <c r="E153" t="s">
        <v>146</v>
      </c>
      <c r="F153" t="s">
        <v>72</v>
      </c>
      <c r="G153" t="s">
        <v>88</v>
      </c>
      <c r="H153" t="s">
        <v>89</v>
      </c>
      <c r="I153">
        <v>9928.35</v>
      </c>
      <c r="J153">
        <v>9</v>
      </c>
      <c r="K153">
        <v>0</v>
      </c>
      <c r="L153">
        <v>3932.76</v>
      </c>
      <c r="M153" t="s">
        <v>105</v>
      </c>
      <c r="N153" t="s">
        <v>80</v>
      </c>
      <c r="O153" t="str">
        <f t="shared" si="4"/>
        <v>Good</v>
      </c>
      <c r="P153">
        <f t="shared" si="5"/>
        <v>1103.1500000000001</v>
      </c>
      <c r="Q153">
        <v>45920</v>
      </c>
      <c r="R153">
        <f>YEAR(Table1[[#This Row],[Order_Date_New]])</f>
        <v>2025</v>
      </c>
      <c r="S153">
        <f>MONTH(Table1[[#This Row],[Order_Date_New]])</f>
        <v>9</v>
      </c>
      <c r="T153" t="str">
        <f>TEXT(Table1[[#This Row],[Order_Date_New]],"mmmm")</f>
        <v>September</v>
      </c>
      <c r="U153">
        <f>Table1[[#This Row],[Profit]]/Table1[[#This Row],[Sales]]</f>
        <v>0.39611415794165195</v>
      </c>
      <c r="V153" t="str">
        <f>IF(Table1[[#This Row],[Discount]]=0,"No Discount",IF(Table1[[#This Row],[Discount]]&lt;=0.1,"Low",IF(Table1[[#This Row],[Discount]]&lt;=0.2,"medium","high")))</f>
        <v>No Discount</v>
      </c>
    </row>
    <row r="154" spans="1:22" x14ac:dyDescent="0.3">
      <c r="A154" t="s">
        <v>358</v>
      </c>
      <c r="B154" s="6">
        <v>45824</v>
      </c>
      <c r="C154" t="s">
        <v>167</v>
      </c>
      <c r="D154" t="s">
        <v>24</v>
      </c>
      <c r="E154" t="s">
        <v>25</v>
      </c>
      <c r="F154" t="s">
        <v>60</v>
      </c>
      <c r="G154" t="s">
        <v>98</v>
      </c>
      <c r="H154" t="s">
        <v>99</v>
      </c>
      <c r="I154">
        <v>1606.99</v>
      </c>
      <c r="J154">
        <v>7</v>
      </c>
      <c r="K154">
        <v>0</v>
      </c>
      <c r="L154">
        <v>693.4</v>
      </c>
      <c r="M154" t="s">
        <v>68</v>
      </c>
      <c r="N154" t="s">
        <v>44</v>
      </c>
      <c r="O154" t="str">
        <f t="shared" si="4"/>
        <v>Bad</v>
      </c>
      <c r="P154">
        <f t="shared" si="5"/>
        <v>229.57</v>
      </c>
      <c r="Q154">
        <v>45824</v>
      </c>
      <c r="R154">
        <f>YEAR(Table1[[#This Row],[Order_Date_New]])</f>
        <v>2025</v>
      </c>
      <c r="S154">
        <f>MONTH(Table1[[#This Row],[Order_Date_New]])</f>
        <v>6</v>
      </c>
      <c r="T154" t="str">
        <f>TEXT(Table1[[#This Row],[Order_Date_New]],"mmmm")</f>
        <v>June</v>
      </c>
      <c r="U154">
        <f>Table1[[#This Row],[Profit]]/Table1[[#This Row],[Sales]]</f>
        <v>0.43148992837540989</v>
      </c>
      <c r="V154" t="str">
        <f>IF(Table1[[#This Row],[Discount]]=0,"No Discount",IF(Table1[[#This Row],[Discount]]&lt;=0.1,"Low",IF(Table1[[#This Row],[Discount]]&lt;=0.2,"medium","high")))</f>
        <v>No Discount</v>
      </c>
    </row>
    <row r="155" spans="1:22" x14ac:dyDescent="0.3">
      <c r="A155" t="s">
        <v>359</v>
      </c>
      <c r="B155" s="6">
        <v>45876</v>
      </c>
      <c r="C155" t="s">
        <v>161</v>
      </c>
      <c r="D155" t="s">
        <v>24</v>
      </c>
      <c r="E155" t="s">
        <v>97</v>
      </c>
      <c r="F155" t="s">
        <v>26</v>
      </c>
      <c r="G155" t="s">
        <v>35</v>
      </c>
      <c r="H155" t="s">
        <v>173</v>
      </c>
      <c r="I155">
        <v>887.48</v>
      </c>
      <c r="J155">
        <v>2</v>
      </c>
      <c r="K155">
        <v>0.05</v>
      </c>
      <c r="L155">
        <v>219.49</v>
      </c>
      <c r="M155" t="s">
        <v>133</v>
      </c>
      <c r="N155" t="s">
        <v>80</v>
      </c>
      <c r="O155" t="str">
        <f t="shared" si="4"/>
        <v>Bad</v>
      </c>
      <c r="P155">
        <f t="shared" si="5"/>
        <v>443.74</v>
      </c>
      <c r="Q155">
        <v>45876</v>
      </c>
      <c r="R155">
        <f>YEAR(Table1[[#This Row],[Order_Date_New]])</f>
        <v>2025</v>
      </c>
      <c r="S155">
        <f>MONTH(Table1[[#This Row],[Order_Date_New]])</f>
        <v>8</v>
      </c>
      <c r="T155" t="str">
        <f>TEXT(Table1[[#This Row],[Order_Date_New]],"mmmm")</f>
        <v>August</v>
      </c>
      <c r="U155">
        <f>Table1[[#This Row],[Profit]]/Table1[[#This Row],[Sales]]</f>
        <v>0.24731824942533917</v>
      </c>
      <c r="V155" t="str">
        <f>IF(Table1[[#This Row],[Discount]]=0,"No Discount",IF(Table1[[#This Row],[Discount]]&lt;=0.1,"Low",IF(Table1[[#This Row],[Discount]]&lt;=0.2,"medium","high")))</f>
        <v>Low</v>
      </c>
    </row>
    <row r="156" spans="1:22" x14ac:dyDescent="0.3">
      <c r="A156" t="s">
        <v>360</v>
      </c>
      <c r="B156" s="6">
        <v>45355</v>
      </c>
      <c r="C156" t="s">
        <v>361</v>
      </c>
      <c r="D156" t="s">
        <v>33</v>
      </c>
      <c r="E156" t="s">
        <v>34</v>
      </c>
      <c r="F156" t="s">
        <v>72</v>
      </c>
      <c r="G156" t="s">
        <v>88</v>
      </c>
      <c r="H156" t="s">
        <v>119</v>
      </c>
      <c r="I156">
        <v>11943.3</v>
      </c>
      <c r="J156">
        <v>10</v>
      </c>
      <c r="K156">
        <v>0.15</v>
      </c>
      <c r="L156">
        <v>3101.36</v>
      </c>
      <c r="M156" t="s">
        <v>133</v>
      </c>
      <c r="N156" t="s">
        <v>38</v>
      </c>
      <c r="O156" t="str">
        <f t="shared" si="4"/>
        <v>Good</v>
      </c>
      <c r="P156">
        <f t="shared" si="5"/>
        <v>1194.33</v>
      </c>
      <c r="Q156">
        <v>45355</v>
      </c>
      <c r="R156">
        <f>YEAR(Table1[[#This Row],[Order_Date_New]])</f>
        <v>2024</v>
      </c>
      <c r="S156">
        <f>MONTH(Table1[[#This Row],[Order_Date_New]])</f>
        <v>3</v>
      </c>
      <c r="T156" t="str">
        <f>TEXT(Table1[[#This Row],[Order_Date_New]],"mmmm")</f>
        <v>March</v>
      </c>
      <c r="U156">
        <f>Table1[[#This Row],[Profit]]/Table1[[#This Row],[Sales]]</f>
        <v>0.2596736245426306</v>
      </c>
      <c r="V156" t="str">
        <f>IF(Table1[[#This Row],[Discount]]=0,"No Discount",IF(Table1[[#This Row],[Discount]]&lt;=0.1,"Low",IF(Table1[[#This Row],[Discount]]&lt;=0.2,"medium","high")))</f>
        <v>medium</v>
      </c>
    </row>
    <row r="157" spans="1:22" x14ac:dyDescent="0.3">
      <c r="A157" t="s">
        <v>362</v>
      </c>
      <c r="B157" s="6">
        <v>45796</v>
      </c>
      <c r="C157" t="s">
        <v>268</v>
      </c>
      <c r="D157" t="s">
        <v>128</v>
      </c>
      <c r="E157" t="s">
        <v>202</v>
      </c>
      <c r="F157" t="s">
        <v>26</v>
      </c>
      <c r="G157" t="s">
        <v>27</v>
      </c>
      <c r="H157" t="s">
        <v>200</v>
      </c>
      <c r="I157">
        <v>2836.64</v>
      </c>
      <c r="J157">
        <v>4</v>
      </c>
      <c r="K157">
        <v>0.15</v>
      </c>
      <c r="L157">
        <v>659.63</v>
      </c>
      <c r="M157" t="s">
        <v>90</v>
      </c>
      <c r="N157" t="s">
        <v>44</v>
      </c>
      <c r="O157" t="str">
        <f t="shared" si="4"/>
        <v>Bad</v>
      </c>
      <c r="P157">
        <f t="shared" si="5"/>
        <v>709.16</v>
      </c>
      <c r="Q157">
        <v>45796</v>
      </c>
      <c r="R157">
        <f>YEAR(Table1[[#This Row],[Order_Date_New]])</f>
        <v>2025</v>
      </c>
      <c r="S157">
        <f>MONTH(Table1[[#This Row],[Order_Date_New]])</f>
        <v>5</v>
      </c>
      <c r="T157" t="str">
        <f>TEXT(Table1[[#This Row],[Order_Date_New]],"mmmm")</f>
        <v>May</v>
      </c>
      <c r="U157">
        <f>Table1[[#This Row],[Profit]]/Table1[[#This Row],[Sales]]</f>
        <v>0.23253920130859046</v>
      </c>
      <c r="V157" t="str">
        <f>IF(Table1[[#This Row],[Discount]]=0,"No Discount",IF(Table1[[#This Row],[Discount]]&lt;=0.1,"Low",IF(Table1[[#This Row],[Discount]]&lt;=0.2,"medium","high")))</f>
        <v>medium</v>
      </c>
    </row>
    <row r="158" spans="1:22" x14ac:dyDescent="0.3">
      <c r="A158" t="s">
        <v>363</v>
      </c>
      <c r="B158" s="6">
        <v>45625</v>
      </c>
      <c r="C158" t="s">
        <v>40</v>
      </c>
      <c r="D158" t="s">
        <v>33</v>
      </c>
      <c r="E158" t="s">
        <v>66</v>
      </c>
      <c r="F158" t="s">
        <v>26</v>
      </c>
      <c r="G158" t="s">
        <v>41</v>
      </c>
      <c r="H158" t="s">
        <v>42</v>
      </c>
      <c r="I158">
        <v>2362.5</v>
      </c>
      <c r="J158">
        <v>2</v>
      </c>
      <c r="K158">
        <v>0.25</v>
      </c>
      <c r="L158">
        <v>453.05</v>
      </c>
      <c r="M158" t="s">
        <v>90</v>
      </c>
      <c r="N158" t="s">
        <v>80</v>
      </c>
      <c r="O158" t="str">
        <f t="shared" si="4"/>
        <v>Bad</v>
      </c>
      <c r="P158">
        <f t="shared" si="5"/>
        <v>1181.25</v>
      </c>
      <c r="Q158">
        <v>45625</v>
      </c>
      <c r="R158">
        <f>YEAR(Table1[[#This Row],[Order_Date_New]])</f>
        <v>2024</v>
      </c>
      <c r="S158">
        <f>MONTH(Table1[[#This Row],[Order_Date_New]])</f>
        <v>11</v>
      </c>
      <c r="T158" t="str">
        <f>TEXT(Table1[[#This Row],[Order_Date_New]],"mmmm")</f>
        <v>November</v>
      </c>
      <c r="U158">
        <f>Table1[[#This Row],[Profit]]/Table1[[#This Row],[Sales]]</f>
        <v>0.19176719576719578</v>
      </c>
      <c r="V158" t="str">
        <f>IF(Table1[[#This Row],[Discount]]=0,"No Discount",IF(Table1[[#This Row],[Discount]]&lt;=0.1,"Low",IF(Table1[[#This Row],[Discount]]&lt;=0.2,"medium","high")))</f>
        <v>high</v>
      </c>
    </row>
    <row r="159" spans="1:22" x14ac:dyDescent="0.3">
      <c r="A159" t="s">
        <v>364</v>
      </c>
      <c r="B159" s="6">
        <v>46008</v>
      </c>
      <c r="C159" t="s">
        <v>365</v>
      </c>
      <c r="D159" t="s">
        <v>33</v>
      </c>
      <c r="E159" t="s">
        <v>48</v>
      </c>
      <c r="F159" t="s">
        <v>72</v>
      </c>
      <c r="G159" t="s">
        <v>73</v>
      </c>
      <c r="H159" t="s">
        <v>102</v>
      </c>
      <c r="I159">
        <v>6022.66</v>
      </c>
      <c r="J159">
        <v>7</v>
      </c>
      <c r="K159">
        <v>0</v>
      </c>
      <c r="L159">
        <v>1913.54</v>
      </c>
      <c r="M159" t="s">
        <v>43</v>
      </c>
      <c r="N159" t="s">
        <v>30</v>
      </c>
      <c r="O159" t="str">
        <f t="shared" si="4"/>
        <v>Bad</v>
      </c>
      <c r="P159">
        <f t="shared" si="5"/>
        <v>860.38</v>
      </c>
      <c r="Q159">
        <v>46008</v>
      </c>
      <c r="R159">
        <f>YEAR(Table1[[#This Row],[Order_Date_New]])</f>
        <v>2025</v>
      </c>
      <c r="S159">
        <f>MONTH(Table1[[#This Row],[Order_Date_New]])</f>
        <v>12</v>
      </c>
      <c r="T159" t="str">
        <f>TEXT(Table1[[#This Row],[Order_Date_New]],"mmmm")</f>
        <v>December</v>
      </c>
      <c r="U159">
        <f>Table1[[#This Row],[Profit]]/Table1[[#This Row],[Sales]]</f>
        <v>0.31772339796701127</v>
      </c>
      <c r="V159" t="str">
        <f>IF(Table1[[#This Row],[Discount]]=0,"No Discount",IF(Table1[[#This Row],[Discount]]&lt;=0.1,"Low",IF(Table1[[#This Row],[Discount]]&lt;=0.2,"medium","high")))</f>
        <v>No Discount</v>
      </c>
    </row>
    <row r="160" spans="1:22" x14ac:dyDescent="0.3">
      <c r="A160" t="s">
        <v>366</v>
      </c>
      <c r="B160" s="6">
        <v>45395</v>
      </c>
      <c r="C160" t="s">
        <v>367</v>
      </c>
      <c r="D160" t="s">
        <v>33</v>
      </c>
      <c r="E160" t="s">
        <v>48</v>
      </c>
      <c r="F160" t="s">
        <v>60</v>
      </c>
      <c r="G160" t="s">
        <v>78</v>
      </c>
      <c r="H160" t="s">
        <v>125</v>
      </c>
      <c r="I160">
        <v>47.06</v>
      </c>
      <c r="J160">
        <v>1</v>
      </c>
      <c r="K160">
        <v>0.1</v>
      </c>
      <c r="L160">
        <v>8.56</v>
      </c>
      <c r="M160" t="s">
        <v>133</v>
      </c>
      <c r="N160" t="s">
        <v>30</v>
      </c>
      <c r="O160" t="str">
        <f t="shared" si="4"/>
        <v>Bad</v>
      </c>
      <c r="P160">
        <f t="shared" si="5"/>
        <v>47.06</v>
      </c>
      <c r="Q160">
        <v>45395</v>
      </c>
      <c r="R160">
        <f>YEAR(Table1[[#This Row],[Order_Date_New]])</f>
        <v>2024</v>
      </c>
      <c r="S160">
        <f>MONTH(Table1[[#This Row],[Order_Date_New]])</f>
        <v>4</v>
      </c>
      <c r="T160" t="str">
        <f>TEXT(Table1[[#This Row],[Order_Date_New]],"mmmm")</f>
        <v>April</v>
      </c>
      <c r="U160">
        <f>Table1[[#This Row],[Profit]]/Table1[[#This Row],[Sales]]</f>
        <v>0.18189545261368467</v>
      </c>
      <c r="V160" t="str">
        <f>IF(Table1[[#This Row],[Discount]]=0,"No Discount",IF(Table1[[#This Row],[Discount]]&lt;=0.1,"Low",IF(Table1[[#This Row],[Discount]]&lt;=0.2,"medium","high")))</f>
        <v>Low</v>
      </c>
    </row>
    <row r="161" spans="1:22" x14ac:dyDescent="0.3">
      <c r="A161" t="s">
        <v>368</v>
      </c>
      <c r="B161" s="6">
        <v>45664</v>
      </c>
      <c r="C161" t="s">
        <v>369</v>
      </c>
      <c r="D161" t="s">
        <v>33</v>
      </c>
      <c r="E161" t="s">
        <v>48</v>
      </c>
      <c r="F161" t="s">
        <v>26</v>
      </c>
      <c r="G161" t="s">
        <v>35</v>
      </c>
      <c r="H161" t="s">
        <v>173</v>
      </c>
      <c r="I161">
        <v>1635.8</v>
      </c>
      <c r="J161">
        <v>4</v>
      </c>
      <c r="K161">
        <v>0.05</v>
      </c>
      <c r="L161">
        <v>105.83</v>
      </c>
      <c r="M161" t="s">
        <v>29</v>
      </c>
      <c r="N161" t="s">
        <v>38</v>
      </c>
      <c r="O161" t="str">
        <f t="shared" si="4"/>
        <v>Bad</v>
      </c>
      <c r="P161">
        <f t="shared" si="5"/>
        <v>408.95</v>
      </c>
      <c r="Q161">
        <v>45664</v>
      </c>
      <c r="R161">
        <f>YEAR(Table1[[#This Row],[Order_Date_New]])</f>
        <v>2025</v>
      </c>
      <c r="S161">
        <f>MONTH(Table1[[#This Row],[Order_Date_New]])</f>
        <v>1</v>
      </c>
      <c r="T161" t="str">
        <f>TEXT(Table1[[#This Row],[Order_Date_New]],"mmmm")</f>
        <v>January</v>
      </c>
      <c r="U161">
        <f>Table1[[#This Row],[Profit]]/Table1[[#This Row],[Sales]]</f>
        <v>6.4696173126299064E-2</v>
      </c>
      <c r="V161" t="str">
        <f>IF(Table1[[#This Row],[Discount]]=0,"No Discount",IF(Table1[[#This Row],[Discount]]&lt;=0.1,"Low",IF(Table1[[#This Row],[Discount]]&lt;=0.2,"medium","high")))</f>
        <v>Low</v>
      </c>
    </row>
    <row r="162" spans="1:22" x14ac:dyDescent="0.3">
      <c r="A162" t="s">
        <v>370</v>
      </c>
      <c r="B162" s="6">
        <v>45356</v>
      </c>
      <c r="C162" t="s">
        <v>329</v>
      </c>
      <c r="D162" t="s">
        <v>53</v>
      </c>
      <c r="E162" t="s">
        <v>87</v>
      </c>
      <c r="F162" t="s">
        <v>72</v>
      </c>
      <c r="G162" t="s">
        <v>88</v>
      </c>
      <c r="H162" t="s">
        <v>119</v>
      </c>
      <c r="I162">
        <v>7148.61</v>
      </c>
      <c r="J162">
        <v>9</v>
      </c>
      <c r="K162">
        <v>0.1</v>
      </c>
      <c r="L162">
        <v>1277.8</v>
      </c>
      <c r="M162" t="s">
        <v>113</v>
      </c>
      <c r="N162" t="s">
        <v>80</v>
      </c>
      <c r="O162" t="str">
        <f t="shared" si="4"/>
        <v>Good</v>
      </c>
      <c r="P162">
        <f t="shared" si="5"/>
        <v>794.29</v>
      </c>
      <c r="Q162">
        <v>45356</v>
      </c>
      <c r="R162">
        <f>YEAR(Table1[[#This Row],[Order_Date_New]])</f>
        <v>2024</v>
      </c>
      <c r="S162">
        <f>MONTH(Table1[[#This Row],[Order_Date_New]])</f>
        <v>3</v>
      </c>
      <c r="T162" t="str">
        <f>TEXT(Table1[[#This Row],[Order_Date_New]],"mmmm")</f>
        <v>March</v>
      </c>
      <c r="U162">
        <f>Table1[[#This Row],[Profit]]/Table1[[#This Row],[Sales]]</f>
        <v>0.17874803633153857</v>
      </c>
      <c r="V162" t="str">
        <f>IF(Table1[[#This Row],[Discount]]=0,"No Discount",IF(Table1[[#This Row],[Discount]]&lt;=0.1,"Low",IF(Table1[[#This Row],[Discount]]&lt;=0.2,"medium","high")))</f>
        <v>Low</v>
      </c>
    </row>
    <row r="163" spans="1:22" x14ac:dyDescent="0.3">
      <c r="A163" t="s">
        <v>371</v>
      </c>
      <c r="B163" s="6">
        <v>45665</v>
      </c>
      <c r="C163" t="s">
        <v>329</v>
      </c>
      <c r="D163" t="s">
        <v>128</v>
      </c>
      <c r="E163" t="s">
        <v>132</v>
      </c>
      <c r="F163" t="s">
        <v>26</v>
      </c>
      <c r="G163" t="s">
        <v>41</v>
      </c>
      <c r="H163" t="s">
        <v>189</v>
      </c>
      <c r="I163">
        <v>3459.3</v>
      </c>
      <c r="J163">
        <v>10</v>
      </c>
      <c r="K163">
        <v>0.15</v>
      </c>
      <c r="L163">
        <v>-168.83</v>
      </c>
      <c r="M163" t="s">
        <v>170</v>
      </c>
      <c r="N163" t="s">
        <v>30</v>
      </c>
      <c r="O163" t="str">
        <f t="shared" si="4"/>
        <v>Bad</v>
      </c>
      <c r="P163">
        <f t="shared" si="5"/>
        <v>345.93</v>
      </c>
      <c r="Q163">
        <v>45665</v>
      </c>
      <c r="R163">
        <f>YEAR(Table1[[#This Row],[Order_Date_New]])</f>
        <v>2025</v>
      </c>
      <c r="S163">
        <f>MONTH(Table1[[#This Row],[Order_Date_New]])</f>
        <v>1</v>
      </c>
      <c r="T163" t="str">
        <f>TEXT(Table1[[#This Row],[Order_Date_New]],"mmmm")</f>
        <v>January</v>
      </c>
      <c r="U163">
        <f>Table1[[#This Row],[Profit]]/Table1[[#This Row],[Sales]]</f>
        <v>-4.8804671465325355E-2</v>
      </c>
      <c r="V163" t="str">
        <f>IF(Table1[[#This Row],[Discount]]=0,"No Discount",IF(Table1[[#This Row],[Discount]]&lt;=0.1,"Low",IF(Table1[[#This Row],[Discount]]&lt;=0.2,"medium","high")))</f>
        <v>medium</v>
      </c>
    </row>
    <row r="164" spans="1:22" x14ac:dyDescent="0.3">
      <c r="A164" t="s">
        <v>372</v>
      </c>
      <c r="B164" s="6">
        <v>45830</v>
      </c>
      <c r="C164" t="s">
        <v>221</v>
      </c>
      <c r="D164" t="s">
        <v>128</v>
      </c>
      <c r="E164" t="s">
        <v>132</v>
      </c>
      <c r="F164" t="s">
        <v>26</v>
      </c>
      <c r="G164" t="s">
        <v>41</v>
      </c>
      <c r="H164" t="s">
        <v>42</v>
      </c>
      <c r="I164">
        <v>1569.72</v>
      </c>
      <c r="J164">
        <v>3</v>
      </c>
      <c r="K164">
        <v>0.05</v>
      </c>
      <c r="L164">
        <v>544.54</v>
      </c>
      <c r="M164" t="s">
        <v>90</v>
      </c>
      <c r="N164" t="s">
        <v>80</v>
      </c>
      <c r="O164" t="str">
        <f t="shared" si="4"/>
        <v>Bad</v>
      </c>
      <c r="P164">
        <f t="shared" si="5"/>
        <v>523.24</v>
      </c>
      <c r="Q164">
        <v>45830</v>
      </c>
      <c r="R164">
        <f>YEAR(Table1[[#This Row],[Order_Date_New]])</f>
        <v>2025</v>
      </c>
      <c r="S164">
        <f>MONTH(Table1[[#This Row],[Order_Date_New]])</f>
        <v>6</v>
      </c>
      <c r="T164" t="str">
        <f>TEXT(Table1[[#This Row],[Order_Date_New]],"mmmm")</f>
        <v>June</v>
      </c>
      <c r="U164">
        <f>Table1[[#This Row],[Profit]]/Table1[[#This Row],[Sales]]</f>
        <v>0.34690263231659146</v>
      </c>
      <c r="V164" t="str">
        <f>IF(Table1[[#This Row],[Discount]]=0,"No Discount",IF(Table1[[#This Row],[Discount]]&lt;=0.1,"Low",IF(Table1[[#This Row],[Discount]]&lt;=0.2,"medium","high")))</f>
        <v>Low</v>
      </c>
    </row>
    <row r="165" spans="1:22" x14ac:dyDescent="0.3">
      <c r="A165" t="s">
        <v>373</v>
      </c>
      <c r="B165" s="6">
        <v>45293</v>
      </c>
      <c r="C165" t="s">
        <v>156</v>
      </c>
      <c r="D165" t="s">
        <v>128</v>
      </c>
      <c r="E165" t="s">
        <v>202</v>
      </c>
      <c r="F165" t="s">
        <v>26</v>
      </c>
      <c r="G165" t="s">
        <v>41</v>
      </c>
      <c r="H165" t="s">
        <v>108</v>
      </c>
      <c r="I165">
        <v>2354.88</v>
      </c>
      <c r="J165">
        <v>4</v>
      </c>
      <c r="K165">
        <v>0.05</v>
      </c>
      <c r="L165">
        <v>28.57</v>
      </c>
      <c r="M165" t="s">
        <v>49</v>
      </c>
      <c r="N165" t="s">
        <v>80</v>
      </c>
      <c r="O165" t="str">
        <f t="shared" si="4"/>
        <v>Bad</v>
      </c>
      <c r="P165">
        <f t="shared" si="5"/>
        <v>588.72</v>
      </c>
      <c r="Q165">
        <v>45293</v>
      </c>
      <c r="R165">
        <f>YEAR(Table1[[#This Row],[Order_Date_New]])</f>
        <v>2024</v>
      </c>
      <c r="S165">
        <f>MONTH(Table1[[#This Row],[Order_Date_New]])</f>
        <v>1</v>
      </c>
      <c r="T165" t="str">
        <f>TEXT(Table1[[#This Row],[Order_Date_New]],"mmmm")</f>
        <v>January</v>
      </c>
      <c r="U165">
        <f>Table1[[#This Row],[Profit]]/Table1[[#This Row],[Sales]]</f>
        <v>1.2132253023508628E-2</v>
      </c>
      <c r="V165" t="str">
        <f>IF(Table1[[#This Row],[Discount]]=0,"No Discount",IF(Table1[[#This Row],[Discount]]&lt;=0.1,"Low",IF(Table1[[#This Row],[Discount]]&lt;=0.2,"medium","high")))</f>
        <v>Low</v>
      </c>
    </row>
    <row r="166" spans="1:22" x14ac:dyDescent="0.3">
      <c r="A166" t="s">
        <v>374</v>
      </c>
      <c r="B166" s="6">
        <v>45481</v>
      </c>
      <c r="C166" t="s">
        <v>268</v>
      </c>
      <c r="D166" t="s">
        <v>24</v>
      </c>
      <c r="E166" t="s">
        <v>84</v>
      </c>
      <c r="F166" t="s">
        <v>72</v>
      </c>
      <c r="G166" t="s">
        <v>88</v>
      </c>
      <c r="H166" t="s">
        <v>89</v>
      </c>
      <c r="I166">
        <v>6649.74</v>
      </c>
      <c r="J166">
        <v>6</v>
      </c>
      <c r="K166">
        <v>0</v>
      </c>
      <c r="L166">
        <v>1583.53</v>
      </c>
      <c r="M166" t="s">
        <v>105</v>
      </c>
      <c r="N166" t="s">
        <v>30</v>
      </c>
      <c r="O166" t="str">
        <f t="shared" si="4"/>
        <v>Bad</v>
      </c>
      <c r="P166">
        <f t="shared" si="5"/>
        <v>1108.29</v>
      </c>
      <c r="Q166">
        <v>45481</v>
      </c>
      <c r="R166">
        <f>YEAR(Table1[[#This Row],[Order_Date_New]])</f>
        <v>2024</v>
      </c>
      <c r="S166">
        <f>MONTH(Table1[[#This Row],[Order_Date_New]])</f>
        <v>7</v>
      </c>
      <c r="T166" t="str">
        <f>TEXT(Table1[[#This Row],[Order_Date_New]],"mmmm")</f>
        <v>July</v>
      </c>
      <c r="U166">
        <f>Table1[[#This Row],[Profit]]/Table1[[#This Row],[Sales]]</f>
        <v>0.23813412253712177</v>
      </c>
      <c r="V166" t="str">
        <f>IF(Table1[[#This Row],[Discount]]=0,"No Discount",IF(Table1[[#This Row],[Discount]]&lt;=0.1,"Low",IF(Table1[[#This Row],[Discount]]&lt;=0.2,"medium","high")))</f>
        <v>No Discount</v>
      </c>
    </row>
    <row r="167" spans="1:22" x14ac:dyDescent="0.3">
      <c r="A167" t="s">
        <v>375</v>
      </c>
      <c r="B167" s="6">
        <v>45836</v>
      </c>
      <c r="C167" t="s">
        <v>376</v>
      </c>
      <c r="D167" t="s">
        <v>53</v>
      </c>
      <c r="E167" t="s">
        <v>107</v>
      </c>
      <c r="F167" t="s">
        <v>60</v>
      </c>
      <c r="G167" t="s">
        <v>78</v>
      </c>
      <c r="H167" t="s">
        <v>79</v>
      </c>
      <c r="I167">
        <v>5817.04</v>
      </c>
      <c r="J167">
        <v>8</v>
      </c>
      <c r="K167">
        <v>0.3</v>
      </c>
      <c r="L167">
        <v>-345.02</v>
      </c>
      <c r="M167" t="s">
        <v>29</v>
      </c>
      <c r="N167" t="s">
        <v>30</v>
      </c>
      <c r="O167" t="str">
        <f t="shared" si="4"/>
        <v>Good</v>
      </c>
      <c r="P167">
        <f t="shared" si="5"/>
        <v>727.13</v>
      </c>
      <c r="Q167">
        <v>45836</v>
      </c>
      <c r="R167">
        <f>YEAR(Table1[[#This Row],[Order_Date_New]])</f>
        <v>2025</v>
      </c>
      <c r="S167">
        <f>MONTH(Table1[[#This Row],[Order_Date_New]])</f>
        <v>6</v>
      </c>
      <c r="T167" t="str">
        <f>TEXT(Table1[[#This Row],[Order_Date_New]],"mmmm")</f>
        <v>June</v>
      </c>
      <c r="U167">
        <f>Table1[[#This Row],[Profit]]/Table1[[#This Row],[Sales]]</f>
        <v>-5.9311952470672363E-2</v>
      </c>
      <c r="V167" t="str">
        <f>IF(Table1[[#This Row],[Discount]]=0,"No Discount",IF(Table1[[#This Row],[Discount]]&lt;=0.1,"Low",IF(Table1[[#This Row],[Discount]]&lt;=0.2,"medium","high")))</f>
        <v>high</v>
      </c>
    </row>
    <row r="168" spans="1:22" x14ac:dyDescent="0.3">
      <c r="A168" t="s">
        <v>377</v>
      </c>
      <c r="B168" s="6">
        <v>45685</v>
      </c>
      <c r="C168" t="s">
        <v>378</v>
      </c>
      <c r="D168" t="s">
        <v>128</v>
      </c>
      <c r="E168" t="s">
        <v>146</v>
      </c>
      <c r="F168" t="s">
        <v>72</v>
      </c>
      <c r="G168" t="s">
        <v>88</v>
      </c>
      <c r="H168" t="s">
        <v>119</v>
      </c>
      <c r="I168">
        <v>3937.05</v>
      </c>
      <c r="J168">
        <v>9</v>
      </c>
      <c r="K168">
        <v>0.15</v>
      </c>
      <c r="L168">
        <v>674.62</v>
      </c>
      <c r="M168" t="s">
        <v>37</v>
      </c>
      <c r="N168" t="s">
        <v>38</v>
      </c>
      <c r="O168" t="str">
        <f t="shared" si="4"/>
        <v>Bad</v>
      </c>
      <c r="P168">
        <f t="shared" si="5"/>
        <v>437.45000000000005</v>
      </c>
      <c r="Q168">
        <v>45685</v>
      </c>
      <c r="R168">
        <f>YEAR(Table1[[#This Row],[Order_Date_New]])</f>
        <v>2025</v>
      </c>
      <c r="S168">
        <f>MONTH(Table1[[#This Row],[Order_Date_New]])</f>
        <v>1</v>
      </c>
      <c r="T168" t="str">
        <f>TEXT(Table1[[#This Row],[Order_Date_New]],"mmmm")</f>
        <v>January</v>
      </c>
      <c r="U168">
        <f>Table1[[#This Row],[Profit]]/Table1[[#This Row],[Sales]]</f>
        <v>0.17135164653738205</v>
      </c>
      <c r="V168" t="str">
        <f>IF(Table1[[#This Row],[Discount]]=0,"No Discount",IF(Table1[[#This Row],[Discount]]&lt;=0.1,"Low",IF(Table1[[#This Row],[Discount]]&lt;=0.2,"medium","high")))</f>
        <v>medium</v>
      </c>
    </row>
    <row r="169" spans="1:22" x14ac:dyDescent="0.3">
      <c r="A169" t="s">
        <v>379</v>
      </c>
      <c r="B169" s="6">
        <v>45358</v>
      </c>
      <c r="C169" t="s">
        <v>242</v>
      </c>
      <c r="D169" t="s">
        <v>24</v>
      </c>
      <c r="E169" t="s">
        <v>25</v>
      </c>
      <c r="F169" t="s">
        <v>72</v>
      </c>
      <c r="G169" t="s">
        <v>73</v>
      </c>
      <c r="H169" t="s">
        <v>102</v>
      </c>
      <c r="I169">
        <v>1089.8599999999999</v>
      </c>
      <c r="J169">
        <v>1</v>
      </c>
      <c r="K169">
        <v>0.1</v>
      </c>
      <c r="L169">
        <v>236.69</v>
      </c>
      <c r="M169" t="s">
        <v>37</v>
      </c>
      <c r="N169" t="s">
        <v>38</v>
      </c>
      <c r="O169" t="str">
        <f t="shared" si="4"/>
        <v>Bad</v>
      </c>
      <c r="P169">
        <f t="shared" si="5"/>
        <v>1089.8599999999999</v>
      </c>
      <c r="Q169">
        <v>45358</v>
      </c>
      <c r="R169">
        <f>YEAR(Table1[[#This Row],[Order_Date_New]])</f>
        <v>2024</v>
      </c>
      <c r="S169">
        <f>MONTH(Table1[[#This Row],[Order_Date_New]])</f>
        <v>3</v>
      </c>
      <c r="T169" t="str">
        <f>TEXT(Table1[[#This Row],[Order_Date_New]],"mmmm")</f>
        <v>March</v>
      </c>
      <c r="U169">
        <f>Table1[[#This Row],[Profit]]/Table1[[#This Row],[Sales]]</f>
        <v>0.21717468298680567</v>
      </c>
      <c r="V169" t="str">
        <f>IF(Table1[[#This Row],[Discount]]=0,"No Discount",IF(Table1[[#This Row],[Discount]]&lt;=0.1,"Low",IF(Table1[[#This Row],[Discount]]&lt;=0.2,"medium","high")))</f>
        <v>Low</v>
      </c>
    </row>
    <row r="170" spans="1:22" x14ac:dyDescent="0.3">
      <c r="A170" t="s">
        <v>380</v>
      </c>
      <c r="B170" s="6">
        <v>45881</v>
      </c>
      <c r="C170" t="s">
        <v>228</v>
      </c>
      <c r="D170" t="s">
        <v>24</v>
      </c>
      <c r="E170" t="s">
        <v>25</v>
      </c>
      <c r="F170" t="s">
        <v>26</v>
      </c>
      <c r="G170" t="s">
        <v>41</v>
      </c>
      <c r="H170" t="s">
        <v>42</v>
      </c>
      <c r="I170">
        <v>1886.8</v>
      </c>
      <c r="J170">
        <v>5</v>
      </c>
      <c r="K170">
        <v>0</v>
      </c>
      <c r="L170">
        <v>614.41</v>
      </c>
      <c r="M170" t="s">
        <v>49</v>
      </c>
      <c r="N170" t="s">
        <v>80</v>
      </c>
      <c r="O170" t="str">
        <f t="shared" si="4"/>
        <v>Bad</v>
      </c>
      <c r="P170">
        <f t="shared" si="5"/>
        <v>377.36</v>
      </c>
      <c r="Q170">
        <v>45881</v>
      </c>
      <c r="R170">
        <f>YEAR(Table1[[#This Row],[Order_Date_New]])</f>
        <v>2025</v>
      </c>
      <c r="S170">
        <f>MONTH(Table1[[#This Row],[Order_Date_New]])</f>
        <v>8</v>
      </c>
      <c r="T170" t="str">
        <f>TEXT(Table1[[#This Row],[Order_Date_New]],"mmmm")</f>
        <v>August</v>
      </c>
      <c r="U170">
        <f>Table1[[#This Row],[Profit]]/Table1[[#This Row],[Sales]]</f>
        <v>0.32563599745601018</v>
      </c>
      <c r="V170" t="str">
        <f>IF(Table1[[#This Row],[Discount]]=0,"No Discount",IF(Table1[[#This Row],[Discount]]&lt;=0.1,"Low",IF(Table1[[#This Row],[Discount]]&lt;=0.2,"medium","high")))</f>
        <v>No Discount</v>
      </c>
    </row>
    <row r="171" spans="1:22" x14ac:dyDescent="0.3">
      <c r="A171" t="s">
        <v>381</v>
      </c>
      <c r="B171" s="6">
        <v>45592</v>
      </c>
      <c r="C171" t="s">
        <v>266</v>
      </c>
      <c r="D171" t="s">
        <v>24</v>
      </c>
      <c r="E171" t="s">
        <v>84</v>
      </c>
      <c r="F171" t="s">
        <v>60</v>
      </c>
      <c r="G171" t="s">
        <v>78</v>
      </c>
      <c r="H171" t="s">
        <v>79</v>
      </c>
      <c r="I171">
        <v>1496.16</v>
      </c>
      <c r="J171">
        <v>8</v>
      </c>
      <c r="K171">
        <v>0.2</v>
      </c>
      <c r="L171">
        <v>47.51</v>
      </c>
      <c r="M171" t="s">
        <v>49</v>
      </c>
      <c r="N171" t="s">
        <v>38</v>
      </c>
      <c r="O171" t="str">
        <f t="shared" si="4"/>
        <v>Bad</v>
      </c>
      <c r="P171">
        <f t="shared" si="5"/>
        <v>187.02</v>
      </c>
      <c r="Q171">
        <v>45592</v>
      </c>
      <c r="R171">
        <f>YEAR(Table1[[#This Row],[Order_Date_New]])</f>
        <v>2024</v>
      </c>
      <c r="S171">
        <f>MONTH(Table1[[#This Row],[Order_Date_New]])</f>
        <v>10</v>
      </c>
      <c r="T171" t="str">
        <f>TEXT(Table1[[#This Row],[Order_Date_New]],"mmmm")</f>
        <v>October</v>
      </c>
      <c r="U171">
        <f>Table1[[#This Row],[Profit]]/Table1[[#This Row],[Sales]]</f>
        <v>3.1754625173778202E-2</v>
      </c>
      <c r="V171" t="str">
        <f>IF(Table1[[#This Row],[Discount]]=0,"No Discount",IF(Table1[[#This Row],[Discount]]&lt;=0.1,"Low",IF(Table1[[#This Row],[Discount]]&lt;=0.2,"medium","high")))</f>
        <v>medium</v>
      </c>
    </row>
    <row r="172" spans="1:22" x14ac:dyDescent="0.3">
      <c r="A172" t="s">
        <v>382</v>
      </c>
      <c r="B172" s="6">
        <v>45779</v>
      </c>
      <c r="C172" t="s">
        <v>208</v>
      </c>
      <c r="D172" t="s">
        <v>33</v>
      </c>
      <c r="E172" t="s">
        <v>34</v>
      </c>
      <c r="F172" t="s">
        <v>60</v>
      </c>
      <c r="G172" t="s">
        <v>98</v>
      </c>
      <c r="H172" t="s">
        <v>141</v>
      </c>
      <c r="I172">
        <v>1068.7</v>
      </c>
      <c r="J172">
        <v>2</v>
      </c>
      <c r="K172">
        <v>0.3</v>
      </c>
      <c r="L172">
        <v>-141.44999999999999</v>
      </c>
      <c r="M172" t="s">
        <v>43</v>
      </c>
      <c r="N172" t="s">
        <v>38</v>
      </c>
      <c r="O172" t="str">
        <f t="shared" si="4"/>
        <v>Bad</v>
      </c>
      <c r="P172">
        <f t="shared" si="5"/>
        <v>534.35</v>
      </c>
      <c r="Q172">
        <v>45779</v>
      </c>
      <c r="R172">
        <f>YEAR(Table1[[#This Row],[Order_Date_New]])</f>
        <v>2025</v>
      </c>
      <c r="S172">
        <f>MONTH(Table1[[#This Row],[Order_Date_New]])</f>
        <v>5</v>
      </c>
      <c r="T172" t="str">
        <f>TEXT(Table1[[#This Row],[Order_Date_New]],"mmmm")</f>
        <v>May</v>
      </c>
      <c r="U172">
        <f>Table1[[#This Row],[Profit]]/Table1[[#This Row],[Sales]]</f>
        <v>-0.13235706933657712</v>
      </c>
      <c r="V172" t="str">
        <f>IF(Table1[[#This Row],[Discount]]=0,"No Discount",IF(Table1[[#This Row],[Discount]]&lt;=0.1,"Low",IF(Table1[[#This Row],[Discount]]&lt;=0.2,"medium","high")))</f>
        <v>high</v>
      </c>
    </row>
    <row r="173" spans="1:22" x14ac:dyDescent="0.3">
      <c r="A173" t="s">
        <v>383</v>
      </c>
      <c r="B173" s="6">
        <v>45448</v>
      </c>
      <c r="C173" t="s">
        <v>384</v>
      </c>
      <c r="D173" t="s">
        <v>33</v>
      </c>
      <c r="E173" t="s">
        <v>34</v>
      </c>
      <c r="F173" t="s">
        <v>60</v>
      </c>
      <c r="G173" t="s">
        <v>61</v>
      </c>
      <c r="H173" t="s">
        <v>122</v>
      </c>
      <c r="I173">
        <v>9736.4699999999993</v>
      </c>
      <c r="J173">
        <v>9</v>
      </c>
      <c r="K173">
        <v>0.1</v>
      </c>
      <c r="L173">
        <v>3382.16</v>
      </c>
      <c r="M173" t="s">
        <v>133</v>
      </c>
      <c r="N173" t="s">
        <v>80</v>
      </c>
      <c r="O173" t="str">
        <f t="shared" si="4"/>
        <v>Good</v>
      </c>
      <c r="P173">
        <f t="shared" si="5"/>
        <v>1081.83</v>
      </c>
      <c r="Q173">
        <v>45448</v>
      </c>
      <c r="R173">
        <f>YEAR(Table1[[#This Row],[Order_Date_New]])</f>
        <v>2024</v>
      </c>
      <c r="S173">
        <f>MONTH(Table1[[#This Row],[Order_Date_New]])</f>
        <v>6</v>
      </c>
      <c r="T173" t="str">
        <f>TEXT(Table1[[#This Row],[Order_Date_New]],"mmmm")</f>
        <v>June</v>
      </c>
      <c r="U173">
        <f>Table1[[#This Row],[Profit]]/Table1[[#This Row],[Sales]]</f>
        <v>0.34737024814948336</v>
      </c>
      <c r="V173" t="str">
        <f>IF(Table1[[#This Row],[Discount]]=0,"No Discount",IF(Table1[[#This Row],[Discount]]&lt;=0.1,"Low",IF(Table1[[#This Row],[Discount]]&lt;=0.2,"medium","high")))</f>
        <v>Low</v>
      </c>
    </row>
    <row r="174" spans="1:22" x14ac:dyDescent="0.3">
      <c r="A174" t="s">
        <v>385</v>
      </c>
      <c r="B174" s="6">
        <v>45862</v>
      </c>
      <c r="C174" t="s">
        <v>386</v>
      </c>
      <c r="D174" t="s">
        <v>33</v>
      </c>
      <c r="E174" t="s">
        <v>34</v>
      </c>
      <c r="F174" t="s">
        <v>72</v>
      </c>
      <c r="G174" t="s">
        <v>73</v>
      </c>
      <c r="H174" t="s">
        <v>102</v>
      </c>
      <c r="I174">
        <v>3686.67</v>
      </c>
      <c r="J174">
        <v>9</v>
      </c>
      <c r="K174">
        <v>0.2</v>
      </c>
      <c r="L174">
        <v>386.4</v>
      </c>
      <c r="M174" t="s">
        <v>105</v>
      </c>
      <c r="N174" t="s">
        <v>38</v>
      </c>
      <c r="O174" t="str">
        <f t="shared" si="4"/>
        <v>Bad</v>
      </c>
      <c r="P174">
        <f t="shared" si="5"/>
        <v>409.63</v>
      </c>
      <c r="Q174">
        <v>45862</v>
      </c>
      <c r="R174">
        <f>YEAR(Table1[[#This Row],[Order_Date_New]])</f>
        <v>2025</v>
      </c>
      <c r="S174">
        <f>MONTH(Table1[[#This Row],[Order_Date_New]])</f>
        <v>7</v>
      </c>
      <c r="T174" t="str">
        <f>TEXT(Table1[[#This Row],[Order_Date_New]],"mmmm")</f>
        <v>July</v>
      </c>
      <c r="U174">
        <f>Table1[[#This Row],[Profit]]/Table1[[#This Row],[Sales]]</f>
        <v>0.10481003181733108</v>
      </c>
      <c r="V174" t="str">
        <f>IF(Table1[[#This Row],[Discount]]=0,"No Discount",IF(Table1[[#This Row],[Discount]]&lt;=0.1,"Low",IF(Table1[[#This Row],[Discount]]&lt;=0.2,"medium","high")))</f>
        <v>medium</v>
      </c>
    </row>
    <row r="175" spans="1:22" x14ac:dyDescent="0.3">
      <c r="A175" t="s">
        <v>387</v>
      </c>
      <c r="B175" s="6">
        <v>45613</v>
      </c>
      <c r="C175" t="s">
        <v>388</v>
      </c>
      <c r="D175" t="s">
        <v>24</v>
      </c>
      <c r="E175" t="s">
        <v>84</v>
      </c>
      <c r="F175" t="s">
        <v>60</v>
      </c>
      <c r="G175" t="s">
        <v>98</v>
      </c>
      <c r="H175" t="s">
        <v>99</v>
      </c>
      <c r="I175">
        <v>5429.7</v>
      </c>
      <c r="J175">
        <v>5</v>
      </c>
      <c r="K175">
        <v>0</v>
      </c>
      <c r="L175">
        <v>2335.9699999999998</v>
      </c>
      <c r="M175" t="s">
        <v>43</v>
      </c>
      <c r="N175" t="s">
        <v>30</v>
      </c>
      <c r="O175" t="str">
        <f t="shared" si="4"/>
        <v>Bad</v>
      </c>
      <c r="P175">
        <f t="shared" si="5"/>
        <v>1085.94</v>
      </c>
      <c r="Q175">
        <v>45613</v>
      </c>
      <c r="R175">
        <f>YEAR(Table1[[#This Row],[Order_Date_New]])</f>
        <v>2024</v>
      </c>
      <c r="S175">
        <f>MONTH(Table1[[#This Row],[Order_Date_New]])</f>
        <v>11</v>
      </c>
      <c r="T175" t="str">
        <f>TEXT(Table1[[#This Row],[Order_Date_New]],"mmmm")</f>
        <v>November</v>
      </c>
      <c r="U175">
        <f>Table1[[#This Row],[Profit]]/Table1[[#This Row],[Sales]]</f>
        <v>0.43022082251321436</v>
      </c>
      <c r="V175" t="str">
        <f>IF(Table1[[#This Row],[Discount]]=0,"No Discount",IF(Table1[[#This Row],[Discount]]&lt;=0.1,"Low",IF(Table1[[#This Row],[Discount]]&lt;=0.2,"medium","high")))</f>
        <v>No Discount</v>
      </c>
    </row>
    <row r="176" spans="1:22" x14ac:dyDescent="0.3">
      <c r="A176" t="s">
        <v>389</v>
      </c>
      <c r="B176" s="6">
        <v>45631</v>
      </c>
      <c r="C176" t="s">
        <v>197</v>
      </c>
      <c r="D176" t="s">
        <v>33</v>
      </c>
      <c r="E176" t="s">
        <v>66</v>
      </c>
      <c r="F176" t="s">
        <v>72</v>
      </c>
      <c r="G176" t="s">
        <v>111</v>
      </c>
      <c r="H176" t="s">
        <v>112</v>
      </c>
      <c r="I176">
        <v>2408.6</v>
      </c>
      <c r="J176">
        <v>4</v>
      </c>
      <c r="K176">
        <v>0.15</v>
      </c>
      <c r="L176">
        <v>-176.91</v>
      </c>
      <c r="M176" t="s">
        <v>68</v>
      </c>
      <c r="N176" t="s">
        <v>44</v>
      </c>
      <c r="O176" t="str">
        <f t="shared" si="4"/>
        <v>Bad</v>
      </c>
      <c r="P176">
        <f t="shared" si="5"/>
        <v>602.15</v>
      </c>
      <c r="Q176">
        <v>45631</v>
      </c>
      <c r="R176">
        <f>YEAR(Table1[[#This Row],[Order_Date_New]])</f>
        <v>2024</v>
      </c>
      <c r="S176">
        <f>MONTH(Table1[[#This Row],[Order_Date_New]])</f>
        <v>12</v>
      </c>
      <c r="T176" t="str">
        <f>TEXT(Table1[[#This Row],[Order_Date_New]],"mmmm")</f>
        <v>December</v>
      </c>
      <c r="U176">
        <f>Table1[[#This Row],[Profit]]/Table1[[#This Row],[Sales]]</f>
        <v>-7.3449306651166654E-2</v>
      </c>
      <c r="V176" t="str">
        <f>IF(Table1[[#This Row],[Discount]]=0,"No Discount",IF(Table1[[#This Row],[Discount]]&lt;=0.1,"Low",IF(Table1[[#This Row],[Discount]]&lt;=0.2,"medium","high")))</f>
        <v>medium</v>
      </c>
    </row>
    <row r="177" spans="1:22" x14ac:dyDescent="0.3">
      <c r="A177" t="s">
        <v>390</v>
      </c>
      <c r="B177" s="6">
        <v>45700</v>
      </c>
      <c r="C177" t="s">
        <v>391</v>
      </c>
      <c r="D177" t="s">
        <v>24</v>
      </c>
      <c r="E177" t="s">
        <v>59</v>
      </c>
      <c r="F177" t="s">
        <v>26</v>
      </c>
      <c r="G177" t="s">
        <v>41</v>
      </c>
      <c r="H177" t="s">
        <v>42</v>
      </c>
      <c r="I177">
        <v>3156.6</v>
      </c>
      <c r="J177">
        <v>6</v>
      </c>
      <c r="K177">
        <v>0.3</v>
      </c>
      <c r="L177">
        <v>-250.52</v>
      </c>
      <c r="M177" t="s">
        <v>113</v>
      </c>
      <c r="N177" t="s">
        <v>44</v>
      </c>
      <c r="O177" t="str">
        <f t="shared" si="4"/>
        <v>Bad</v>
      </c>
      <c r="P177">
        <f t="shared" si="5"/>
        <v>526.1</v>
      </c>
      <c r="Q177">
        <v>45700</v>
      </c>
      <c r="R177">
        <f>YEAR(Table1[[#This Row],[Order_Date_New]])</f>
        <v>2025</v>
      </c>
      <c r="S177">
        <f>MONTH(Table1[[#This Row],[Order_Date_New]])</f>
        <v>2</v>
      </c>
      <c r="T177" t="str">
        <f>TEXT(Table1[[#This Row],[Order_Date_New]],"mmmm")</f>
        <v>February</v>
      </c>
      <c r="U177">
        <f>Table1[[#This Row],[Profit]]/Table1[[#This Row],[Sales]]</f>
        <v>-7.9363872521066983E-2</v>
      </c>
      <c r="V177" t="str">
        <f>IF(Table1[[#This Row],[Discount]]=0,"No Discount",IF(Table1[[#This Row],[Discount]]&lt;=0.1,"Low",IF(Table1[[#This Row],[Discount]]&lt;=0.2,"medium","high")))</f>
        <v>high</v>
      </c>
    </row>
    <row r="178" spans="1:22" x14ac:dyDescent="0.3">
      <c r="A178" t="s">
        <v>392</v>
      </c>
      <c r="B178" s="6">
        <v>45463</v>
      </c>
      <c r="C178" t="s">
        <v>393</v>
      </c>
      <c r="D178" t="s">
        <v>53</v>
      </c>
      <c r="E178" t="s">
        <v>107</v>
      </c>
      <c r="F178" t="s">
        <v>72</v>
      </c>
      <c r="G178" t="s">
        <v>88</v>
      </c>
      <c r="H178" t="s">
        <v>89</v>
      </c>
      <c r="I178">
        <v>2552.9699999999998</v>
      </c>
      <c r="J178">
        <v>7</v>
      </c>
      <c r="K178">
        <v>0.25</v>
      </c>
      <c r="L178">
        <v>-165.64</v>
      </c>
      <c r="M178" t="s">
        <v>170</v>
      </c>
      <c r="N178" t="s">
        <v>44</v>
      </c>
      <c r="O178" t="str">
        <f t="shared" si="4"/>
        <v>Bad</v>
      </c>
      <c r="P178">
        <f t="shared" si="5"/>
        <v>364.71</v>
      </c>
      <c r="Q178">
        <v>45463</v>
      </c>
      <c r="R178">
        <f>YEAR(Table1[[#This Row],[Order_Date_New]])</f>
        <v>2024</v>
      </c>
      <c r="S178">
        <f>MONTH(Table1[[#This Row],[Order_Date_New]])</f>
        <v>6</v>
      </c>
      <c r="T178" t="str">
        <f>TEXT(Table1[[#This Row],[Order_Date_New]],"mmmm")</f>
        <v>June</v>
      </c>
      <c r="U178">
        <f>Table1[[#This Row],[Profit]]/Table1[[#This Row],[Sales]]</f>
        <v>-6.4881295119018245E-2</v>
      </c>
      <c r="V178" t="str">
        <f>IF(Table1[[#This Row],[Discount]]=0,"No Discount",IF(Table1[[#This Row],[Discount]]&lt;=0.1,"Low",IF(Table1[[#This Row],[Discount]]&lt;=0.2,"medium","high")))</f>
        <v>high</v>
      </c>
    </row>
    <row r="179" spans="1:22" x14ac:dyDescent="0.3">
      <c r="A179" t="s">
        <v>394</v>
      </c>
      <c r="B179" s="6">
        <v>45763</v>
      </c>
      <c r="C179" t="s">
        <v>309</v>
      </c>
      <c r="D179" t="s">
        <v>24</v>
      </c>
      <c r="E179" t="s">
        <v>97</v>
      </c>
      <c r="F179" t="s">
        <v>60</v>
      </c>
      <c r="G179" t="s">
        <v>78</v>
      </c>
      <c r="H179" t="s">
        <v>125</v>
      </c>
      <c r="I179">
        <v>3325.12</v>
      </c>
      <c r="J179">
        <v>8</v>
      </c>
      <c r="K179">
        <v>0.3</v>
      </c>
      <c r="L179">
        <v>-209.61</v>
      </c>
      <c r="M179" t="s">
        <v>170</v>
      </c>
      <c r="N179" t="s">
        <v>38</v>
      </c>
      <c r="O179" t="str">
        <f t="shared" si="4"/>
        <v>Bad</v>
      </c>
      <c r="P179">
        <f t="shared" si="5"/>
        <v>415.64</v>
      </c>
      <c r="Q179">
        <v>45763</v>
      </c>
      <c r="R179">
        <f>YEAR(Table1[[#This Row],[Order_Date_New]])</f>
        <v>2025</v>
      </c>
      <c r="S179">
        <f>MONTH(Table1[[#This Row],[Order_Date_New]])</f>
        <v>4</v>
      </c>
      <c r="T179" t="str">
        <f>TEXT(Table1[[#This Row],[Order_Date_New]],"mmmm")</f>
        <v>April</v>
      </c>
      <c r="U179">
        <f>Table1[[#This Row],[Profit]]/Table1[[#This Row],[Sales]]</f>
        <v>-6.3038326436339151E-2</v>
      </c>
      <c r="V179" t="str">
        <f>IF(Table1[[#This Row],[Discount]]=0,"No Discount",IF(Table1[[#This Row],[Discount]]&lt;=0.1,"Low",IF(Table1[[#This Row],[Discount]]&lt;=0.2,"medium","high")))</f>
        <v>high</v>
      </c>
    </row>
    <row r="180" spans="1:22" x14ac:dyDescent="0.3">
      <c r="A180" t="s">
        <v>395</v>
      </c>
      <c r="B180" s="6">
        <v>45628</v>
      </c>
      <c r="C180" t="s">
        <v>396</v>
      </c>
      <c r="D180" t="s">
        <v>24</v>
      </c>
      <c r="E180" t="s">
        <v>84</v>
      </c>
      <c r="F180" t="s">
        <v>60</v>
      </c>
      <c r="G180" t="s">
        <v>61</v>
      </c>
      <c r="H180" t="s">
        <v>67</v>
      </c>
      <c r="I180">
        <v>4594.38</v>
      </c>
      <c r="J180">
        <v>6</v>
      </c>
      <c r="K180">
        <v>0</v>
      </c>
      <c r="L180">
        <v>929.1</v>
      </c>
      <c r="M180" t="s">
        <v>90</v>
      </c>
      <c r="N180" t="s">
        <v>38</v>
      </c>
      <c r="O180" t="str">
        <f t="shared" si="4"/>
        <v>Bad</v>
      </c>
      <c r="P180">
        <f t="shared" si="5"/>
        <v>765.73</v>
      </c>
      <c r="Q180">
        <v>45628</v>
      </c>
      <c r="R180">
        <f>YEAR(Table1[[#This Row],[Order_Date_New]])</f>
        <v>2024</v>
      </c>
      <c r="S180">
        <f>MONTH(Table1[[#This Row],[Order_Date_New]])</f>
        <v>12</v>
      </c>
      <c r="T180" t="str">
        <f>TEXT(Table1[[#This Row],[Order_Date_New]],"mmmm")</f>
        <v>December</v>
      </c>
      <c r="U180">
        <f>Table1[[#This Row],[Profit]]/Table1[[#This Row],[Sales]]</f>
        <v>0.20222532746529456</v>
      </c>
      <c r="V180" t="str">
        <f>IF(Table1[[#This Row],[Discount]]=0,"No Discount",IF(Table1[[#This Row],[Discount]]&lt;=0.1,"Low",IF(Table1[[#This Row],[Discount]]&lt;=0.2,"medium","high")))</f>
        <v>No Discount</v>
      </c>
    </row>
    <row r="181" spans="1:22" x14ac:dyDescent="0.3">
      <c r="A181" t="s">
        <v>397</v>
      </c>
      <c r="B181" s="6">
        <v>45458</v>
      </c>
      <c r="C181" t="s">
        <v>398</v>
      </c>
      <c r="D181" t="s">
        <v>24</v>
      </c>
      <c r="E181" t="s">
        <v>84</v>
      </c>
      <c r="F181" t="s">
        <v>26</v>
      </c>
      <c r="G181" t="s">
        <v>27</v>
      </c>
      <c r="H181" t="s">
        <v>271</v>
      </c>
      <c r="I181">
        <v>5388.95</v>
      </c>
      <c r="J181">
        <v>5</v>
      </c>
      <c r="K181">
        <v>0.25</v>
      </c>
      <c r="L181">
        <v>-620.64</v>
      </c>
      <c r="M181" t="s">
        <v>105</v>
      </c>
      <c r="N181" t="s">
        <v>30</v>
      </c>
      <c r="O181" t="str">
        <f t="shared" si="4"/>
        <v>Bad</v>
      </c>
      <c r="P181">
        <f t="shared" si="5"/>
        <v>1077.79</v>
      </c>
      <c r="Q181">
        <v>45458</v>
      </c>
      <c r="R181">
        <f>YEAR(Table1[[#This Row],[Order_Date_New]])</f>
        <v>2024</v>
      </c>
      <c r="S181">
        <f>MONTH(Table1[[#This Row],[Order_Date_New]])</f>
        <v>6</v>
      </c>
      <c r="T181" t="str">
        <f>TEXT(Table1[[#This Row],[Order_Date_New]],"mmmm")</f>
        <v>June</v>
      </c>
      <c r="U181">
        <f>Table1[[#This Row],[Profit]]/Table1[[#This Row],[Sales]]</f>
        <v>-0.11516900323810761</v>
      </c>
      <c r="V181" t="str">
        <f>IF(Table1[[#This Row],[Discount]]=0,"No Discount",IF(Table1[[#This Row],[Discount]]&lt;=0.1,"Low",IF(Table1[[#This Row],[Discount]]&lt;=0.2,"medium","high")))</f>
        <v>high</v>
      </c>
    </row>
    <row r="182" spans="1:22" x14ac:dyDescent="0.3">
      <c r="A182" t="s">
        <v>399</v>
      </c>
      <c r="B182" s="6">
        <v>45407</v>
      </c>
      <c r="C182" t="s">
        <v>256</v>
      </c>
      <c r="D182" t="s">
        <v>128</v>
      </c>
      <c r="E182" t="s">
        <v>129</v>
      </c>
      <c r="F182" t="s">
        <v>72</v>
      </c>
      <c r="G182" t="s">
        <v>111</v>
      </c>
      <c r="H182" t="s">
        <v>112</v>
      </c>
      <c r="I182">
        <v>6670.44</v>
      </c>
      <c r="J182">
        <v>9</v>
      </c>
      <c r="K182">
        <v>0.15</v>
      </c>
      <c r="L182">
        <v>1023.16</v>
      </c>
      <c r="M182" t="s">
        <v>29</v>
      </c>
      <c r="N182" t="s">
        <v>80</v>
      </c>
      <c r="O182" t="str">
        <f t="shared" si="4"/>
        <v>Good</v>
      </c>
      <c r="P182">
        <f t="shared" si="5"/>
        <v>741.16</v>
      </c>
      <c r="Q182">
        <v>45407</v>
      </c>
      <c r="R182">
        <f>YEAR(Table1[[#This Row],[Order_Date_New]])</f>
        <v>2024</v>
      </c>
      <c r="S182">
        <f>MONTH(Table1[[#This Row],[Order_Date_New]])</f>
        <v>4</v>
      </c>
      <c r="T182" t="str">
        <f>TEXT(Table1[[#This Row],[Order_Date_New]],"mmmm")</f>
        <v>April</v>
      </c>
      <c r="U182">
        <f>Table1[[#This Row],[Profit]]/Table1[[#This Row],[Sales]]</f>
        <v>0.15338718285450437</v>
      </c>
      <c r="V182" t="str">
        <f>IF(Table1[[#This Row],[Discount]]=0,"No Discount",IF(Table1[[#This Row],[Discount]]&lt;=0.1,"Low",IF(Table1[[#This Row],[Discount]]&lt;=0.2,"medium","high")))</f>
        <v>medium</v>
      </c>
    </row>
    <row r="183" spans="1:22" x14ac:dyDescent="0.3">
      <c r="A183" t="s">
        <v>400</v>
      </c>
      <c r="B183" s="6">
        <v>45734</v>
      </c>
      <c r="C183" t="s">
        <v>401</v>
      </c>
      <c r="D183" t="s">
        <v>33</v>
      </c>
      <c r="E183" t="s">
        <v>118</v>
      </c>
      <c r="F183" t="s">
        <v>72</v>
      </c>
      <c r="G183" t="s">
        <v>88</v>
      </c>
      <c r="H183" t="s">
        <v>119</v>
      </c>
      <c r="I183">
        <v>1529.28</v>
      </c>
      <c r="J183">
        <v>9</v>
      </c>
      <c r="K183">
        <v>0.25</v>
      </c>
      <c r="L183">
        <v>27.86</v>
      </c>
      <c r="M183" t="s">
        <v>105</v>
      </c>
      <c r="N183" t="s">
        <v>80</v>
      </c>
      <c r="O183" t="str">
        <f t="shared" si="4"/>
        <v>Bad</v>
      </c>
      <c r="P183">
        <f t="shared" si="5"/>
        <v>169.92</v>
      </c>
      <c r="Q183">
        <v>45734</v>
      </c>
      <c r="R183">
        <f>YEAR(Table1[[#This Row],[Order_Date_New]])</f>
        <v>2025</v>
      </c>
      <c r="S183">
        <f>MONTH(Table1[[#This Row],[Order_Date_New]])</f>
        <v>3</v>
      </c>
      <c r="T183" t="str">
        <f>TEXT(Table1[[#This Row],[Order_Date_New]],"mmmm")</f>
        <v>March</v>
      </c>
      <c r="U183">
        <f>Table1[[#This Row],[Profit]]/Table1[[#This Row],[Sales]]</f>
        <v>1.8217723373090605E-2</v>
      </c>
      <c r="V183" t="str">
        <f>IF(Table1[[#This Row],[Discount]]=0,"No Discount",IF(Table1[[#This Row],[Discount]]&lt;=0.1,"Low",IF(Table1[[#This Row],[Discount]]&lt;=0.2,"medium","high")))</f>
        <v>high</v>
      </c>
    </row>
    <row r="184" spans="1:22" x14ac:dyDescent="0.3">
      <c r="A184" t="s">
        <v>402</v>
      </c>
      <c r="B184" s="6">
        <v>45737</v>
      </c>
      <c r="C184" t="s">
        <v>317</v>
      </c>
      <c r="D184" t="s">
        <v>128</v>
      </c>
      <c r="E184" t="s">
        <v>202</v>
      </c>
      <c r="F184" t="s">
        <v>60</v>
      </c>
      <c r="G184" t="s">
        <v>61</v>
      </c>
      <c r="H184" t="s">
        <v>62</v>
      </c>
      <c r="I184">
        <v>8058.4</v>
      </c>
      <c r="J184">
        <v>8</v>
      </c>
      <c r="K184">
        <v>0.05</v>
      </c>
      <c r="L184">
        <v>1420.47</v>
      </c>
      <c r="M184" t="s">
        <v>113</v>
      </c>
      <c r="N184" t="s">
        <v>44</v>
      </c>
      <c r="O184" t="str">
        <f t="shared" si="4"/>
        <v>Good</v>
      </c>
      <c r="P184">
        <f t="shared" si="5"/>
        <v>1007.3</v>
      </c>
      <c r="Q184">
        <v>45737</v>
      </c>
      <c r="R184">
        <f>YEAR(Table1[[#This Row],[Order_Date_New]])</f>
        <v>2025</v>
      </c>
      <c r="S184">
        <f>MONTH(Table1[[#This Row],[Order_Date_New]])</f>
        <v>3</v>
      </c>
      <c r="T184" t="str">
        <f>TEXT(Table1[[#This Row],[Order_Date_New]],"mmmm")</f>
        <v>March</v>
      </c>
      <c r="U184">
        <f>Table1[[#This Row],[Profit]]/Table1[[#This Row],[Sales]]</f>
        <v>0.17627196465799663</v>
      </c>
      <c r="V184" t="str">
        <f>IF(Table1[[#This Row],[Discount]]=0,"No Discount",IF(Table1[[#This Row],[Discount]]&lt;=0.1,"Low",IF(Table1[[#This Row],[Discount]]&lt;=0.2,"medium","high")))</f>
        <v>Low</v>
      </c>
    </row>
    <row r="185" spans="1:22" x14ac:dyDescent="0.3">
      <c r="A185" t="s">
        <v>403</v>
      </c>
      <c r="B185" s="6">
        <v>45762</v>
      </c>
      <c r="C185" t="s">
        <v>266</v>
      </c>
      <c r="D185" t="s">
        <v>33</v>
      </c>
      <c r="E185" t="s">
        <v>34</v>
      </c>
      <c r="F185" t="s">
        <v>26</v>
      </c>
      <c r="G185" t="s">
        <v>35</v>
      </c>
      <c r="H185" t="s">
        <v>55</v>
      </c>
      <c r="I185">
        <v>7951.6</v>
      </c>
      <c r="J185">
        <v>8</v>
      </c>
      <c r="K185">
        <v>0.3</v>
      </c>
      <c r="L185">
        <v>531.36</v>
      </c>
      <c r="M185" t="s">
        <v>43</v>
      </c>
      <c r="N185" t="s">
        <v>30</v>
      </c>
      <c r="O185" t="str">
        <f t="shared" si="4"/>
        <v>Good</v>
      </c>
      <c r="P185">
        <f t="shared" si="5"/>
        <v>993.95</v>
      </c>
      <c r="Q185">
        <v>45762</v>
      </c>
      <c r="R185">
        <f>YEAR(Table1[[#This Row],[Order_Date_New]])</f>
        <v>2025</v>
      </c>
      <c r="S185">
        <f>MONTH(Table1[[#This Row],[Order_Date_New]])</f>
        <v>4</v>
      </c>
      <c r="T185" t="str">
        <f>TEXT(Table1[[#This Row],[Order_Date_New]],"mmmm")</f>
        <v>April</v>
      </c>
      <c r="U185">
        <f>Table1[[#This Row],[Profit]]/Table1[[#This Row],[Sales]]</f>
        <v>6.6824286935962568E-2</v>
      </c>
      <c r="V185" t="str">
        <f>IF(Table1[[#This Row],[Discount]]=0,"No Discount",IF(Table1[[#This Row],[Discount]]&lt;=0.1,"Low",IF(Table1[[#This Row],[Discount]]&lt;=0.2,"medium","high")))</f>
        <v>high</v>
      </c>
    </row>
    <row r="186" spans="1:22" x14ac:dyDescent="0.3">
      <c r="A186" t="s">
        <v>404</v>
      </c>
      <c r="B186" s="6">
        <v>45339</v>
      </c>
      <c r="C186" t="s">
        <v>273</v>
      </c>
      <c r="D186" t="s">
        <v>53</v>
      </c>
      <c r="E186" t="s">
        <v>77</v>
      </c>
      <c r="F186" t="s">
        <v>60</v>
      </c>
      <c r="G186" t="s">
        <v>98</v>
      </c>
      <c r="H186" t="s">
        <v>141</v>
      </c>
      <c r="I186">
        <v>6223</v>
      </c>
      <c r="J186">
        <v>7</v>
      </c>
      <c r="K186">
        <v>0.25</v>
      </c>
      <c r="L186">
        <v>112.66</v>
      </c>
      <c r="M186" t="s">
        <v>43</v>
      </c>
      <c r="N186" t="s">
        <v>30</v>
      </c>
      <c r="O186" t="str">
        <f t="shared" si="4"/>
        <v>Bad</v>
      </c>
      <c r="P186">
        <f t="shared" si="5"/>
        <v>889</v>
      </c>
      <c r="Q186">
        <v>45339</v>
      </c>
      <c r="R186">
        <f>YEAR(Table1[[#This Row],[Order_Date_New]])</f>
        <v>2024</v>
      </c>
      <c r="S186">
        <f>MONTH(Table1[[#This Row],[Order_Date_New]])</f>
        <v>2</v>
      </c>
      <c r="T186" t="str">
        <f>TEXT(Table1[[#This Row],[Order_Date_New]],"mmmm")</f>
        <v>February</v>
      </c>
      <c r="U186">
        <f>Table1[[#This Row],[Profit]]/Table1[[#This Row],[Sales]]</f>
        <v>1.8103808452514865E-2</v>
      </c>
      <c r="V186" t="str">
        <f>IF(Table1[[#This Row],[Discount]]=0,"No Discount",IF(Table1[[#This Row],[Discount]]&lt;=0.1,"Low",IF(Table1[[#This Row],[Discount]]&lt;=0.2,"medium","high")))</f>
        <v>high</v>
      </c>
    </row>
    <row r="187" spans="1:22" x14ac:dyDescent="0.3">
      <c r="A187" t="s">
        <v>405</v>
      </c>
      <c r="B187" s="6">
        <v>45743</v>
      </c>
      <c r="C187" t="s">
        <v>65</v>
      </c>
      <c r="D187" t="s">
        <v>128</v>
      </c>
      <c r="E187" t="s">
        <v>146</v>
      </c>
      <c r="F187" t="s">
        <v>60</v>
      </c>
      <c r="G187" t="s">
        <v>61</v>
      </c>
      <c r="H187" t="s">
        <v>62</v>
      </c>
      <c r="I187">
        <v>9335.34</v>
      </c>
      <c r="J187">
        <v>9</v>
      </c>
      <c r="K187">
        <v>0.3</v>
      </c>
      <c r="L187">
        <v>-1121.1300000000001</v>
      </c>
      <c r="M187" t="s">
        <v>29</v>
      </c>
      <c r="N187" t="s">
        <v>44</v>
      </c>
      <c r="O187" t="str">
        <f t="shared" si="4"/>
        <v>Good</v>
      </c>
      <c r="P187">
        <f t="shared" si="5"/>
        <v>1037.26</v>
      </c>
      <c r="Q187">
        <v>45743</v>
      </c>
      <c r="R187">
        <f>YEAR(Table1[[#This Row],[Order_Date_New]])</f>
        <v>2025</v>
      </c>
      <c r="S187">
        <f>MONTH(Table1[[#This Row],[Order_Date_New]])</f>
        <v>3</v>
      </c>
      <c r="T187" t="str">
        <f>TEXT(Table1[[#This Row],[Order_Date_New]],"mmmm")</f>
        <v>March</v>
      </c>
      <c r="U187">
        <f>Table1[[#This Row],[Profit]]/Table1[[#This Row],[Sales]]</f>
        <v>-0.12009525094961727</v>
      </c>
      <c r="V187" t="str">
        <f>IF(Table1[[#This Row],[Discount]]=0,"No Discount",IF(Table1[[#This Row],[Discount]]&lt;=0.1,"Low",IF(Table1[[#This Row],[Discount]]&lt;=0.2,"medium","high")))</f>
        <v>high</v>
      </c>
    </row>
    <row r="188" spans="1:22" x14ac:dyDescent="0.3">
      <c r="A188" t="s">
        <v>406</v>
      </c>
      <c r="B188" s="6">
        <v>45672</v>
      </c>
      <c r="C188" t="s">
        <v>407</v>
      </c>
      <c r="D188" t="s">
        <v>128</v>
      </c>
      <c r="E188" t="s">
        <v>129</v>
      </c>
      <c r="F188" t="s">
        <v>60</v>
      </c>
      <c r="G188" t="s">
        <v>61</v>
      </c>
      <c r="H188" t="s">
        <v>122</v>
      </c>
      <c r="I188">
        <v>7320.95</v>
      </c>
      <c r="J188">
        <v>7</v>
      </c>
      <c r="K188">
        <v>0.25</v>
      </c>
      <c r="L188">
        <v>-1208.1600000000001</v>
      </c>
      <c r="M188" t="s">
        <v>90</v>
      </c>
      <c r="N188" t="s">
        <v>44</v>
      </c>
      <c r="O188" t="str">
        <f t="shared" si="4"/>
        <v>Bad</v>
      </c>
      <c r="P188">
        <f t="shared" si="5"/>
        <v>1045.8499999999999</v>
      </c>
      <c r="Q188">
        <v>45672</v>
      </c>
      <c r="R188">
        <f>YEAR(Table1[[#This Row],[Order_Date_New]])</f>
        <v>2025</v>
      </c>
      <c r="S188">
        <f>MONTH(Table1[[#This Row],[Order_Date_New]])</f>
        <v>1</v>
      </c>
      <c r="T188" t="str">
        <f>TEXT(Table1[[#This Row],[Order_Date_New]],"mmmm")</f>
        <v>January</v>
      </c>
      <c r="U188">
        <f>Table1[[#This Row],[Profit]]/Table1[[#This Row],[Sales]]</f>
        <v>-0.16502776279034825</v>
      </c>
      <c r="V188" t="str">
        <f>IF(Table1[[#This Row],[Discount]]=0,"No Discount",IF(Table1[[#This Row],[Discount]]&lt;=0.1,"Low",IF(Table1[[#This Row],[Discount]]&lt;=0.2,"medium","high")))</f>
        <v>high</v>
      </c>
    </row>
    <row r="189" spans="1:22" x14ac:dyDescent="0.3">
      <c r="A189" t="s">
        <v>408</v>
      </c>
      <c r="B189" s="6">
        <v>46010</v>
      </c>
      <c r="C189" t="s">
        <v>231</v>
      </c>
      <c r="D189" t="s">
        <v>33</v>
      </c>
      <c r="E189" t="s">
        <v>118</v>
      </c>
      <c r="F189" t="s">
        <v>72</v>
      </c>
      <c r="G189" t="s">
        <v>111</v>
      </c>
      <c r="H189" t="s">
        <v>182</v>
      </c>
      <c r="I189">
        <v>1060.55</v>
      </c>
      <c r="J189">
        <v>5</v>
      </c>
      <c r="K189">
        <v>0.2</v>
      </c>
      <c r="L189">
        <v>-80.930000000000007</v>
      </c>
      <c r="M189" t="s">
        <v>105</v>
      </c>
      <c r="N189" t="s">
        <v>80</v>
      </c>
      <c r="O189" t="str">
        <f t="shared" si="4"/>
        <v>Bad</v>
      </c>
      <c r="P189">
        <f t="shared" si="5"/>
        <v>212.10999999999999</v>
      </c>
      <c r="Q189">
        <v>46010</v>
      </c>
      <c r="R189">
        <f>YEAR(Table1[[#This Row],[Order_Date_New]])</f>
        <v>2025</v>
      </c>
      <c r="S189">
        <f>MONTH(Table1[[#This Row],[Order_Date_New]])</f>
        <v>12</v>
      </c>
      <c r="T189" t="str">
        <f>TEXT(Table1[[#This Row],[Order_Date_New]],"mmmm")</f>
        <v>December</v>
      </c>
      <c r="U189">
        <f>Table1[[#This Row],[Profit]]/Table1[[#This Row],[Sales]]</f>
        <v>-7.630946207156665E-2</v>
      </c>
      <c r="V189" t="str">
        <f>IF(Table1[[#This Row],[Discount]]=0,"No Discount",IF(Table1[[#This Row],[Discount]]&lt;=0.1,"Low",IF(Table1[[#This Row],[Discount]]&lt;=0.2,"medium","high")))</f>
        <v>medium</v>
      </c>
    </row>
    <row r="190" spans="1:22" x14ac:dyDescent="0.3">
      <c r="A190" t="s">
        <v>409</v>
      </c>
      <c r="B190" s="6">
        <v>45725</v>
      </c>
      <c r="C190" t="s">
        <v>410</v>
      </c>
      <c r="D190" t="s">
        <v>53</v>
      </c>
      <c r="E190" t="s">
        <v>77</v>
      </c>
      <c r="F190" t="s">
        <v>60</v>
      </c>
      <c r="G190" t="s">
        <v>61</v>
      </c>
      <c r="H190" t="s">
        <v>122</v>
      </c>
      <c r="I190">
        <v>2568.7199999999998</v>
      </c>
      <c r="J190">
        <v>8</v>
      </c>
      <c r="K190">
        <v>0.05</v>
      </c>
      <c r="L190">
        <v>668.07</v>
      </c>
      <c r="M190" t="s">
        <v>29</v>
      </c>
      <c r="N190" t="s">
        <v>38</v>
      </c>
      <c r="O190" t="str">
        <f t="shared" si="4"/>
        <v>Bad</v>
      </c>
      <c r="P190">
        <f t="shared" si="5"/>
        <v>321.08999999999997</v>
      </c>
      <c r="Q190">
        <v>45725</v>
      </c>
      <c r="R190">
        <f>YEAR(Table1[[#This Row],[Order_Date_New]])</f>
        <v>2025</v>
      </c>
      <c r="S190">
        <f>MONTH(Table1[[#This Row],[Order_Date_New]])</f>
        <v>3</v>
      </c>
      <c r="T190" t="str">
        <f>TEXT(Table1[[#This Row],[Order_Date_New]],"mmmm")</f>
        <v>March</v>
      </c>
      <c r="U190">
        <f>Table1[[#This Row],[Profit]]/Table1[[#This Row],[Sales]]</f>
        <v>0.2600789498271513</v>
      </c>
      <c r="V190" t="str">
        <f>IF(Table1[[#This Row],[Discount]]=0,"No Discount",IF(Table1[[#This Row],[Discount]]&lt;=0.1,"Low",IF(Table1[[#This Row],[Discount]]&lt;=0.2,"medium","high")))</f>
        <v>Low</v>
      </c>
    </row>
    <row r="191" spans="1:22" x14ac:dyDescent="0.3">
      <c r="A191" t="s">
        <v>411</v>
      </c>
      <c r="B191" s="6">
        <v>45304</v>
      </c>
      <c r="C191" t="s">
        <v>52</v>
      </c>
      <c r="D191" t="s">
        <v>24</v>
      </c>
      <c r="E191" t="s">
        <v>84</v>
      </c>
      <c r="F191" t="s">
        <v>60</v>
      </c>
      <c r="G191" t="s">
        <v>78</v>
      </c>
      <c r="H191" t="s">
        <v>79</v>
      </c>
      <c r="I191">
        <v>5028.7</v>
      </c>
      <c r="J191">
        <v>10</v>
      </c>
      <c r="K191">
        <v>0.3</v>
      </c>
      <c r="L191">
        <v>668.52</v>
      </c>
      <c r="M191" t="s">
        <v>113</v>
      </c>
      <c r="N191" t="s">
        <v>44</v>
      </c>
      <c r="O191" t="str">
        <f t="shared" si="4"/>
        <v>Good</v>
      </c>
      <c r="P191">
        <f t="shared" si="5"/>
        <v>502.87</v>
      </c>
      <c r="Q191">
        <v>45304</v>
      </c>
      <c r="R191">
        <f>YEAR(Table1[[#This Row],[Order_Date_New]])</f>
        <v>2024</v>
      </c>
      <c r="S191">
        <f>MONTH(Table1[[#This Row],[Order_Date_New]])</f>
        <v>1</v>
      </c>
      <c r="T191" t="str">
        <f>TEXT(Table1[[#This Row],[Order_Date_New]],"mmmm")</f>
        <v>January</v>
      </c>
      <c r="U191">
        <f>Table1[[#This Row],[Profit]]/Table1[[#This Row],[Sales]]</f>
        <v>0.13294091912422693</v>
      </c>
      <c r="V191" t="str">
        <f>IF(Table1[[#This Row],[Discount]]=0,"No Discount",IF(Table1[[#This Row],[Discount]]&lt;=0.1,"Low",IF(Table1[[#This Row],[Discount]]&lt;=0.2,"medium","high")))</f>
        <v>high</v>
      </c>
    </row>
    <row r="192" spans="1:22" x14ac:dyDescent="0.3">
      <c r="A192" t="s">
        <v>412</v>
      </c>
      <c r="B192" s="6">
        <v>45305</v>
      </c>
      <c r="C192" t="s">
        <v>219</v>
      </c>
      <c r="D192" t="s">
        <v>53</v>
      </c>
      <c r="E192" t="s">
        <v>107</v>
      </c>
      <c r="F192" t="s">
        <v>26</v>
      </c>
      <c r="G192" t="s">
        <v>27</v>
      </c>
      <c r="H192" t="s">
        <v>271</v>
      </c>
      <c r="I192">
        <v>7182</v>
      </c>
      <c r="J192">
        <v>7</v>
      </c>
      <c r="K192">
        <v>0.1</v>
      </c>
      <c r="L192">
        <v>1619.83</v>
      </c>
      <c r="M192" t="s">
        <v>49</v>
      </c>
      <c r="N192" t="s">
        <v>38</v>
      </c>
      <c r="O192" t="str">
        <f t="shared" si="4"/>
        <v>Bad</v>
      </c>
      <c r="P192">
        <f t="shared" si="5"/>
        <v>1026</v>
      </c>
      <c r="Q192">
        <v>45305</v>
      </c>
      <c r="R192">
        <f>YEAR(Table1[[#This Row],[Order_Date_New]])</f>
        <v>2024</v>
      </c>
      <c r="S192">
        <f>MONTH(Table1[[#This Row],[Order_Date_New]])</f>
        <v>1</v>
      </c>
      <c r="T192" t="str">
        <f>TEXT(Table1[[#This Row],[Order_Date_New]],"mmmm")</f>
        <v>January</v>
      </c>
      <c r="U192">
        <f>Table1[[#This Row],[Profit]]/Table1[[#This Row],[Sales]]</f>
        <v>0.2255402394876079</v>
      </c>
      <c r="V192" t="str">
        <f>IF(Table1[[#This Row],[Discount]]=0,"No Discount",IF(Table1[[#This Row],[Discount]]&lt;=0.1,"Low",IF(Table1[[#This Row],[Discount]]&lt;=0.2,"medium","high")))</f>
        <v>Low</v>
      </c>
    </row>
    <row r="193" spans="1:22" x14ac:dyDescent="0.3">
      <c r="A193" t="s">
        <v>413</v>
      </c>
      <c r="B193" s="6">
        <v>45575</v>
      </c>
      <c r="C193" t="s">
        <v>231</v>
      </c>
      <c r="D193" t="s">
        <v>128</v>
      </c>
      <c r="E193" t="s">
        <v>129</v>
      </c>
      <c r="F193" t="s">
        <v>26</v>
      </c>
      <c r="G193" t="s">
        <v>27</v>
      </c>
      <c r="H193" t="s">
        <v>28</v>
      </c>
      <c r="I193">
        <v>4739.8999999999996</v>
      </c>
      <c r="J193">
        <v>10</v>
      </c>
      <c r="K193">
        <v>0.05</v>
      </c>
      <c r="L193">
        <v>405.97</v>
      </c>
      <c r="M193" t="s">
        <v>113</v>
      </c>
      <c r="N193" t="s">
        <v>80</v>
      </c>
      <c r="O193" t="str">
        <f t="shared" si="4"/>
        <v>Bad</v>
      </c>
      <c r="P193">
        <f t="shared" si="5"/>
        <v>473.98999999999995</v>
      </c>
      <c r="Q193">
        <v>45575</v>
      </c>
      <c r="R193">
        <f>YEAR(Table1[[#This Row],[Order_Date_New]])</f>
        <v>2024</v>
      </c>
      <c r="S193">
        <f>MONTH(Table1[[#This Row],[Order_Date_New]])</f>
        <v>10</v>
      </c>
      <c r="T193" t="str">
        <f>TEXT(Table1[[#This Row],[Order_Date_New]],"mmmm")</f>
        <v>October</v>
      </c>
      <c r="U193">
        <f>Table1[[#This Row],[Profit]]/Table1[[#This Row],[Sales]]</f>
        <v>8.5649486276081779E-2</v>
      </c>
      <c r="V193" t="str">
        <f>IF(Table1[[#This Row],[Discount]]=0,"No Discount",IF(Table1[[#This Row],[Discount]]&lt;=0.1,"Low",IF(Table1[[#This Row],[Discount]]&lt;=0.2,"medium","high")))</f>
        <v>Low</v>
      </c>
    </row>
    <row r="194" spans="1:22" x14ac:dyDescent="0.3">
      <c r="A194" t="s">
        <v>414</v>
      </c>
      <c r="B194" s="6">
        <v>45713</v>
      </c>
      <c r="C194" t="s">
        <v>344</v>
      </c>
      <c r="D194" t="s">
        <v>53</v>
      </c>
      <c r="E194" t="s">
        <v>107</v>
      </c>
      <c r="F194" t="s">
        <v>60</v>
      </c>
      <c r="G194" t="s">
        <v>98</v>
      </c>
      <c r="H194" t="s">
        <v>99</v>
      </c>
      <c r="I194">
        <v>2480.6999999999998</v>
      </c>
      <c r="J194">
        <v>10</v>
      </c>
      <c r="K194">
        <v>0</v>
      </c>
      <c r="L194">
        <v>772.79</v>
      </c>
      <c r="M194" t="s">
        <v>170</v>
      </c>
      <c r="N194" t="s">
        <v>44</v>
      </c>
      <c r="O194" t="str">
        <f t="shared" ref="O194:O257" si="6">IF(AND(I194&gt;5000,J194&gt;7),"Good","Bad")</f>
        <v>Bad</v>
      </c>
      <c r="P194">
        <f t="shared" ref="P194:P257" si="7">I194/J194</f>
        <v>248.07</v>
      </c>
      <c r="Q194">
        <v>45713</v>
      </c>
      <c r="R194">
        <f>YEAR(Table1[[#This Row],[Order_Date_New]])</f>
        <v>2025</v>
      </c>
      <c r="S194">
        <f>MONTH(Table1[[#This Row],[Order_Date_New]])</f>
        <v>2</v>
      </c>
      <c r="T194" t="str">
        <f>TEXT(Table1[[#This Row],[Order_Date_New]],"mmmm")</f>
        <v>February</v>
      </c>
      <c r="U194">
        <f>Table1[[#This Row],[Profit]]/Table1[[#This Row],[Sales]]</f>
        <v>0.31152094166969002</v>
      </c>
      <c r="V194" t="str">
        <f>IF(Table1[[#This Row],[Discount]]=0,"No Discount",IF(Table1[[#This Row],[Discount]]&lt;=0.1,"Low",IF(Table1[[#This Row],[Discount]]&lt;=0.2,"medium","high")))</f>
        <v>No Discount</v>
      </c>
    </row>
    <row r="195" spans="1:22" x14ac:dyDescent="0.3">
      <c r="A195" t="s">
        <v>415</v>
      </c>
      <c r="B195" s="6">
        <v>46017</v>
      </c>
      <c r="C195" t="s">
        <v>261</v>
      </c>
      <c r="D195" t="s">
        <v>128</v>
      </c>
      <c r="E195" t="s">
        <v>202</v>
      </c>
      <c r="F195" t="s">
        <v>60</v>
      </c>
      <c r="G195" t="s">
        <v>98</v>
      </c>
      <c r="H195" t="s">
        <v>141</v>
      </c>
      <c r="I195">
        <v>9379.7000000000007</v>
      </c>
      <c r="J195">
        <v>10</v>
      </c>
      <c r="K195">
        <v>0.05</v>
      </c>
      <c r="L195">
        <v>1304.29</v>
      </c>
      <c r="M195" t="s">
        <v>105</v>
      </c>
      <c r="N195" t="s">
        <v>80</v>
      </c>
      <c r="O195" t="str">
        <f t="shared" si="6"/>
        <v>Good</v>
      </c>
      <c r="P195">
        <f t="shared" si="7"/>
        <v>937.97</v>
      </c>
      <c r="Q195">
        <v>46017</v>
      </c>
      <c r="R195">
        <f>YEAR(Table1[[#This Row],[Order_Date_New]])</f>
        <v>2025</v>
      </c>
      <c r="S195">
        <f>MONTH(Table1[[#This Row],[Order_Date_New]])</f>
        <v>12</v>
      </c>
      <c r="T195" t="str">
        <f>TEXT(Table1[[#This Row],[Order_Date_New]],"mmmm")</f>
        <v>December</v>
      </c>
      <c r="U195">
        <f>Table1[[#This Row],[Profit]]/Table1[[#This Row],[Sales]]</f>
        <v>0.13905455398360286</v>
      </c>
      <c r="V195" t="str">
        <f>IF(Table1[[#This Row],[Discount]]=0,"No Discount",IF(Table1[[#This Row],[Discount]]&lt;=0.1,"Low",IF(Table1[[#This Row],[Discount]]&lt;=0.2,"medium","high")))</f>
        <v>Low</v>
      </c>
    </row>
    <row r="196" spans="1:22" x14ac:dyDescent="0.3">
      <c r="A196" t="s">
        <v>416</v>
      </c>
      <c r="B196" s="6">
        <v>45928</v>
      </c>
      <c r="C196" t="s">
        <v>417</v>
      </c>
      <c r="D196" t="s">
        <v>53</v>
      </c>
      <c r="E196" t="s">
        <v>54</v>
      </c>
      <c r="F196" t="s">
        <v>26</v>
      </c>
      <c r="G196" t="s">
        <v>41</v>
      </c>
      <c r="H196" t="s">
        <v>42</v>
      </c>
      <c r="I196">
        <v>1119.22</v>
      </c>
      <c r="J196">
        <v>2</v>
      </c>
      <c r="K196">
        <v>0.05</v>
      </c>
      <c r="L196">
        <v>46.92</v>
      </c>
      <c r="M196" t="s">
        <v>170</v>
      </c>
      <c r="N196" t="s">
        <v>38</v>
      </c>
      <c r="O196" t="str">
        <f t="shared" si="6"/>
        <v>Bad</v>
      </c>
      <c r="P196">
        <f t="shared" si="7"/>
        <v>559.61</v>
      </c>
      <c r="Q196">
        <v>45928</v>
      </c>
      <c r="R196">
        <f>YEAR(Table1[[#This Row],[Order_Date_New]])</f>
        <v>2025</v>
      </c>
      <c r="S196">
        <f>MONTH(Table1[[#This Row],[Order_Date_New]])</f>
        <v>9</v>
      </c>
      <c r="T196" t="str">
        <f>TEXT(Table1[[#This Row],[Order_Date_New]],"mmmm")</f>
        <v>September</v>
      </c>
      <c r="U196">
        <f>Table1[[#This Row],[Profit]]/Table1[[#This Row],[Sales]]</f>
        <v>4.1922052858240563E-2</v>
      </c>
      <c r="V196" t="str">
        <f>IF(Table1[[#This Row],[Discount]]=0,"No Discount",IF(Table1[[#This Row],[Discount]]&lt;=0.1,"Low",IF(Table1[[#This Row],[Discount]]&lt;=0.2,"medium","high")))</f>
        <v>Low</v>
      </c>
    </row>
    <row r="197" spans="1:22" x14ac:dyDescent="0.3">
      <c r="A197" t="s">
        <v>418</v>
      </c>
      <c r="B197" s="6">
        <v>45825</v>
      </c>
      <c r="C197" t="s">
        <v>224</v>
      </c>
      <c r="D197" t="s">
        <v>53</v>
      </c>
      <c r="E197" t="s">
        <v>107</v>
      </c>
      <c r="F197" t="s">
        <v>72</v>
      </c>
      <c r="G197" t="s">
        <v>111</v>
      </c>
      <c r="H197" t="s">
        <v>158</v>
      </c>
      <c r="I197">
        <v>1180.08</v>
      </c>
      <c r="J197">
        <v>3</v>
      </c>
      <c r="K197">
        <v>0.15</v>
      </c>
      <c r="L197">
        <v>-97.91</v>
      </c>
      <c r="M197" t="s">
        <v>49</v>
      </c>
      <c r="N197" t="s">
        <v>30</v>
      </c>
      <c r="O197" t="str">
        <f t="shared" si="6"/>
        <v>Bad</v>
      </c>
      <c r="P197">
        <f t="shared" si="7"/>
        <v>393.35999999999996</v>
      </c>
      <c r="Q197">
        <v>45825</v>
      </c>
      <c r="R197">
        <f>YEAR(Table1[[#This Row],[Order_Date_New]])</f>
        <v>2025</v>
      </c>
      <c r="S197">
        <f>MONTH(Table1[[#This Row],[Order_Date_New]])</f>
        <v>6</v>
      </c>
      <c r="T197" t="str">
        <f>TEXT(Table1[[#This Row],[Order_Date_New]],"mmmm")</f>
        <v>June</v>
      </c>
      <c r="U197">
        <f>Table1[[#This Row],[Profit]]/Table1[[#This Row],[Sales]]</f>
        <v>-8.2968951257541862E-2</v>
      </c>
      <c r="V197" t="str">
        <f>IF(Table1[[#This Row],[Discount]]=0,"No Discount",IF(Table1[[#This Row],[Discount]]&lt;=0.1,"Low",IF(Table1[[#This Row],[Discount]]&lt;=0.2,"medium","high")))</f>
        <v>medium</v>
      </c>
    </row>
    <row r="198" spans="1:22" x14ac:dyDescent="0.3">
      <c r="A198" t="s">
        <v>419</v>
      </c>
      <c r="B198" s="6">
        <v>45585</v>
      </c>
      <c r="C198" t="s">
        <v>420</v>
      </c>
      <c r="D198" t="s">
        <v>53</v>
      </c>
      <c r="E198" t="s">
        <v>54</v>
      </c>
      <c r="F198" t="s">
        <v>26</v>
      </c>
      <c r="G198" t="s">
        <v>35</v>
      </c>
      <c r="H198" t="s">
        <v>173</v>
      </c>
      <c r="I198">
        <v>4608.08</v>
      </c>
      <c r="J198">
        <v>4</v>
      </c>
      <c r="K198">
        <v>0.3</v>
      </c>
      <c r="L198">
        <v>-1022.6</v>
      </c>
      <c r="M198" t="s">
        <v>105</v>
      </c>
      <c r="N198" t="s">
        <v>80</v>
      </c>
      <c r="O198" t="str">
        <f t="shared" si="6"/>
        <v>Bad</v>
      </c>
      <c r="P198">
        <f t="shared" si="7"/>
        <v>1152.02</v>
      </c>
      <c r="Q198">
        <v>45585</v>
      </c>
      <c r="R198">
        <f>YEAR(Table1[[#This Row],[Order_Date_New]])</f>
        <v>2024</v>
      </c>
      <c r="S198">
        <f>MONTH(Table1[[#This Row],[Order_Date_New]])</f>
        <v>10</v>
      </c>
      <c r="T198" t="str">
        <f>TEXT(Table1[[#This Row],[Order_Date_New]],"mmmm")</f>
        <v>October</v>
      </c>
      <c r="U198">
        <f>Table1[[#This Row],[Profit]]/Table1[[#This Row],[Sales]]</f>
        <v>-0.22191455009461641</v>
      </c>
      <c r="V198" t="str">
        <f>IF(Table1[[#This Row],[Discount]]=0,"No Discount",IF(Table1[[#This Row],[Discount]]&lt;=0.1,"Low",IF(Table1[[#This Row],[Discount]]&lt;=0.2,"medium","high")))</f>
        <v>high</v>
      </c>
    </row>
    <row r="199" spans="1:22" x14ac:dyDescent="0.3">
      <c r="A199" t="s">
        <v>421</v>
      </c>
      <c r="B199" s="6">
        <v>45487</v>
      </c>
      <c r="C199" t="s">
        <v>276</v>
      </c>
      <c r="D199" t="s">
        <v>33</v>
      </c>
      <c r="E199" t="s">
        <v>48</v>
      </c>
      <c r="F199" t="s">
        <v>26</v>
      </c>
      <c r="G199" t="s">
        <v>35</v>
      </c>
      <c r="H199" t="s">
        <v>36</v>
      </c>
      <c r="I199">
        <v>778.4</v>
      </c>
      <c r="J199">
        <v>5</v>
      </c>
      <c r="K199">
        <v>0.15</v>
      </c>
      <c r="L199">
        <v>83.4</v>
      </c>
      <c r="M199" t="s">
        <v>133</v>
      </c>
      <c r="N199" t="s">
        <v>44</v>
      </c>
      <c r="O199" t="str">
        <f t="shared" si="6"/>
        <v>Bad</v>
      </c>
      <c r="P199">
        <f t="shared" si="7"/>
        <v>155.68</v>
      </c>
      <c r="Q199">
        <v>45487</v>
      </c>
      <c r="R199">
        <f>YEAR(Table1[[#This Row],[Order_Date_New]])</f>
        <v>2024</v>
      </c>
      <c r="S199">
        <f>MONTH(Table1[[#This Row],[Order_Date_New]])</f>
        <v>7</v>
      </c>
      <c r="T199" t="str">
        <f>TEXT(Table1[[#This Row],[Order_Date_New]],"mmmm")</f>
        <v>July</v>
      </c>
      <c r="U199">
        <f>Table1[[#This Row],[Profit]]/Table1[[#This Row],[Sales]]</f>
        <v>0.10714285714285715</v>
      </c>
      <c r="V199" t="str">
        <f>IF(Table1[[#This Row],[Discount]]=0,"No Discount",IF(Table1[[#This Row],[Discount]]&lt;=0.1,"Low",IF(Table1[[#This Row],[Discount]]&lt;=0.2,"medium","high")))</f>
        <v>medium</v>
      </c>
    </row>
    <row r="200" spans="1:22" x14ac:dyDescent="0.3">
      <c r="A200" t="s">
        <v>422</v>
      </c>
      <c r="B200" s="6">
        <v>45535</v>
      </c>
      <c r="C200" t="s">
        <v>184</v>
      </c>
      <c r="D200" t="s">
        <v>33</v>
      </c>
      <c r="E200" t="s">
        <v>118</v>
      </c>
      <c r="F200" t="s">
        <v>72</v>
      </c>
      <c r="G200" t="s">
        <v>88</v>
      </c>
      <c r="H200" t="s">
        <v>209</v>
      </c>
      <c r="I200">
        <v>1090.32</v>
      </c>
      <c r="J200">
        <v>2</v>
      </c>
      <c r="K200">
        <v>0.25</v>
      </c>
      <c r="L200">
        <v>-211.67</v>
      </c>
      <c r="M200" t="s">
        <v>133</v>
      </c>
      <c r="N200" t="s">
        <v>44</v>
      </c>
      <c r="O200" t="str">
        <f t="shared" si="6"/>
        <v>Bad</v>
      </c>
      <c r="P200">
        <f t="shared" si="7"/>
        <v>545.16</v>
      </c>
      <c r="Q200">
        <v>45535</v>
      </c>
      <c r="R200">
        <f>YEAR(Table1[[#This Row],[Order_Date_New]])</f>
        <v>2024</v>
      </c>
      <c r="S200">
        <f>MONTH(Table1[[#This Row],[Order_Date_New]])</f>
        <v>8</v>
      </c>
      <c r="T200" t="str">
        <f>TEXT(Table1[[#This Row],[Order_Date_New]],"mmmm")</f>
        <v>August</v>
      </c>
      <c r="U200">
        <f>Table1[[#This Row],[Profit]]/Table1[[#This Row],[Sales]]</f>
        <v>-0.1941356665932937</v>
      </c>
      <c r="V200" t="str">
        <f>IF(Table1[[#This Row],[Discount]]=0,"No Discount",IF(Table1[[#This Row],[Discount]]&lt;=0.1,"Low",IF(Table1[[#This Row],[Discount]]&lt;=0.2,"medium","high")))</f>
        <v>high</v>
      </c>
    </row>
    <row r="201" spans="1:22" x14ac:dyDescent="0.3">
      <c r="A201" t="s">
        <v>423</v>
      </c>
      <c r="B201" s="6">
        <v>45346</v>
      </c>
      <c r="C201" t="s">
        <v>311</v>
      </c>
      <c r="D201" t="s">
        <v>24</v>
      </c>
      <c r="E201" t="s">
        <v>97</v>
      </c>
      <c r="F201" t="s">
        <v>26</v>
      </c>
      <c r="G201" t="s">
        <v>41</v>
      </c>
      <c r="H201" t="s">
        <v>108</v>
      </c>
      <c r="I201">
        <v>5014.26</v>
      </c>
      <c r="J201">
        <v>6</v>
      </c>
      <c r="K201">
        <v>0.1</v>
      </c>
      <c r="L201">
        <v>362.96</v>
      </c>
      <c r="M201" t="s">
        <v>68</v>
      </c>
      <c r="N201" t="s">
        <v>38</v>
      </c>
      <c r="O201" t="str">
        <f t="shared" si="6"/>
        <v>Bad</v>
      </c>
      <c r="P201">
        <f t="shared" si="7"/>
        <v>835.71</v>
      </c>
      <c r="Q201">
        <v>45346</v>
      </c>
      <c r="R201">
        <f>YEAR(Table1[[#This Row],[Order_Date_New]])</f>
        <v>2024</v>
      </c>
      <c r="S201">
        <f>MONTH(Table1[[#This Row],[Order_Date_New]])</f>
        <v>2</v>
      </c>
      <c r="T201" t="str">
        <f>TEXT(Table1[[#This Row],[Order_Date_New]],"mmmm")</f>
        <v>February</v>
      </c>
      <c r="U201">
        <f>Table1[[#This Row],[Profit]]/Table1[[#This Row],[Sales]]</f>
        <v>7.2385556393166683E-2</v>
      </c>
      <c r="V201" t="str">
        <f>IF(Table1[[#This Row],[Discount]]=0,"No Discount",IF(Table1[[#This Row],[Discount]]&lt;=0.1,"Low",IF(Table1[[#This Row],[Discount]]&lt;=0.2,"medium","high")))</f>
        <v>Low</v>
      </c>
    </row>
    <row r="202" spans="1:22" x14ac:dyDescent="0.3">
      <c r="A202" t="s">
        <v>424</v>
      </c>
      <c r="B202" s="6">
        <v>45617</v>
      </c>
      <c r="C202" t="s">
        <v>309</v>
      </c>
      <c r="D202" t="s">
        <v>128</v>
      </c>
      <c r="E202" t="s">
        <v>132</v>
      </c>
      <c r="F202" t="s">
        <v>26</v>
      </c>
      <c r="G202" t="s">
        <v>41</v>
      </c>
      <c r="H202" t="s">
        <v>108</v>
      </c>
      <c r="I202">
        <v>1381.56</v>
      </c>
      <c r="J202">
        <v>6</v>
      </c>
      <c r="K202">
        <v>0.2</v>
      </c>
      <c r="L202">
        <v>185.05</v>
      </c>
      <c r="M202" t="s">
        <v>133</v>
      </c>
      <c r="N202" t="s">
        <v>44</v>
      </c>
      <c r="O202" t="str">
        <f t="shared" si="6"/>
        <v>Bad</v>
      </c>
      <c r="P202">
        <f t="shared" si="7"/>
        <v>230.26</v>
      </c>
      <c r="Q202">
        <v>45617</v>
      </c>
      <c r="R202">
        <f>YEAR(Table1[[#This Row],[Order_Date_New]])</f>
        <v>2024</v>
      </c>
      <c r="S202">
        <f>MONTH(Table1[[#This Row],[Order_Date_New]])</f>
        <v>11</v>
      </c>
      <c r="T202" t="str">
        <f>TEXT(Table1[[#This Row],[Order_Date_New]],"mmmm")</f>
        <v>November</v>
      </c>
      <c r="U202">
        <f>Table1[[#This Row],[Profit]]/Table1[[#This Row],[Sales]]</f>
        <v>0.13394278931063436</v>
      </c>
      <c r="V202" t="str">
        <f>IF(Table1[[#This Row],[Discount]]=0,"No Discount",IF(Table1[[#This Row],[Discount]]&lt;=0.1,"Low",IF(Table1[[#This Row],[Discount]]&lt;=0.2,"medium","high")))</f>
        <v>medium</v>
      </c>
    </row>
    <row r="203" spans="1:22" x14ac:dyDescent="0.3">
      <c r="A203" t="s">
        <v>425</v>
      </c>
      <c r="B203" s="6">
        <v>45905</v>
      </c>
      <c r="C203" t="s">
        <v>244</v>
      </c>
      <c r="D203" t="s">
        <v>33</v>
      </c>
      <c r="E203" t="s">
        <v>118</v>
      </c>
      <c r="F203" t="s">
        <v>60</v>
      </c>
      <c r="G203" t="s">
        <v>78</v>
      </c>
      <c r="H203" t="s">
        <v>79</v>
      </c>
      <c r="I203">
        <v>4907.76</v>
      </c>
      <c r="J203">
        <v>6</v>
      </c>
      <c r="K203">
        <v>0</v>
      </c>
      <c r="L203">
        <v>2072.31</v>
      </c>
      <c r="M203" t="s">
        <v>90</v>
      </c>
      <c r="N203" t="s">
        <v>38</v>
      </c>
      <c r="O203" t="str">
        <f t="shared" si="6"/>
        <v>Bad</v>
      </c>
      <c r="P203">
        <f t="shared" si="7"/>
        <v>817.96</v>
      </c>
      <c r="Q203">
        <v>45905</v>
      </c>
      <c r="R203">
        <f>YEAR(Table1[[#This Row],[Order_Date_New]])</f>
        <v>2025</v>
      </c>
      <c r="S203">
        <f>MONTH(Table1[[#This Row],[Order_Date_New]])</f>
        <v>9</v>
      </c>
      <c r="T203" t="str">
        <f>TEXT(Table1[[#This Row],[Order_Date_New]],"mmmm")</f>
        <v>September</v>
      </c>
      <c r="U203">
        <f>Table1[[#This Row],[Profit]]/Table1[[#This Row],[Sales]]</f>
        <v>0.42225169934960144</v>
      </c>
      <c r="V203" t="str">
        <f>IF(Table1[[#This Row],[Discount]]=0,"No Discount",IF(Table1[[#This Row],[Discount]]&lt;=0.1,"Low",IF(Table1[[#This Row],[Discount]]&lt;=0.2,"medium","high")))</f>
        <v>No Discount</v>
      </c>
    </row>
    <row r="204" spans="1:22" x14ac:dyDescent="0.3">
      <c r="A204" t="s">
        <v>426</v>
      </c>
      <c r="B204" s="6">
        <v>45957</v>
      </c>
      <c r="C204" t="s">
        <v>427</v>
      </c>
      <c r="D204" t="s">
        <v>24</v>
      </c>
      <c r="E204" t="s">
        <v>97</v>
      </c>
      <c r="F204" t="s">
        <v>72</v>
      </c>
      <c r="G204" t="s">
        <v>111</v>
      </c>
      <c r="H204" t="s">
        <v>158</v>
      </c>
      <c r="I204">
        <v>1263.28</v>
      </c>
      <c r="J204">
        <v>8</v>
      </c>
      <c r="K204">
        <v>0.15</v>
      </c>
      <c r="L204">
        <v>-44.37</v>
      </c>
      <c r="M204" t="s">
        <v>105</v>
      </c>
      <c r="N204" t="s">
        <v>80</v>
      </c>
      <c r="O204" t="str">
        <f t="shared" si="6"/>
        <v>Bad</v>
      </c>
      <c r="P204">
        <f t="shared" si="7"/>
        <v>157.91</v>
      </c>
      <c r="Q204">
        <v>45957</v>
      </c>
      <c r="R204">
        <f>YEAR(Table1[[#This Row],[Order_Date_New]])</f>
        <v>2025</v>
      </c>
      <c r="S204">
        <f>MONTH(Table1[[#This Row],[Order_Date_New]])</f>
        <v>10</v>
      </c>
      <c r="T204" t="str">
        <f>TEXT(Table1[[#This Row],[Order_Date_New]],"mmmm")</f>
        <v>October</v>
      </c>
      <c r="U204">
        <f>Table1[[#This Row],[Profit]]/Table1[[#This Row],[Sales]]</f>
        <v>-3.5122854790703567E-2</v>
      </c>
      <c r="V204" t="str">
        <f>IF(Table1[[#This Row],[Discount]]=0,"No Discount",IF(Table1[[#This Row],[Discount]]&lt;=0.1,"Low",IF(Table1[[#This Row],[Discount]]&lt;=0.2,"medium","high")))</f>
        <v>medium</v>
      </c>
    </row>
    <row r="205" spans="1:22" x14ac:dyDescent="0.3">
      <c r="A205" t="s">
        <v>428</v>
      </c>
      <c r="B205" s="6">
        <v>45659</v>
      </c>
      <c r="C205" t="s">
        <v>278</v>
      </c>
      <c r="D205" t="s">
        <v>128</v>
      </c>
      <c r="E205" t="s">
        <v>146</v>
      </c>
      <c r="F205" t="s">
        <v>60</v>
      </c>
      <c r="G205" t="s">
        <v>78</v>
      </c>
      <c r="H205" t="s">
        <v>79</v>
      </c>
      <c r="I205">
        <v>1046.53</v>
      </c>
      <c r="J205">
        <v>1</v>
      </c>
      <c r="K205">
        <v>0.25</v>
      </c>
      <c r="L205">
        <v>75.069999999999993</v>
      </c>
      <c r="M205" t="s">
        <v>133</v>
      </c>
      <c r="N205" t="s">
        <v>38</v>
      </c>
      <c r="O205" t="str">
        <f t="shared" si="6"/>
        <v>Bad</v>
      </c>
      <c r="P205">
        <f t="shared" si="7"/>
        <v>1046.53</v>
      </c>
      <c r="Q205">
        <v>45659</v>
      </c>
      <c r="R205">
        <f>YEAR(Table1[[#This Row],[Order_Date_New]])</f>
        <v>2025</v>
      </c>
      <c r="S205">
        <f>MONTH(Table1[[#This Row],[Order_Date_New]])</f>
        <v>1</v>
      </c>
      <c r="T205" t="str">
        <f>TEXT(Table1[[#This Row],[Order_Date_New]],"mmmm")</f>
        <v>January</v>
      </c>
      <c r="U205">
        <f>Table1[[#This Row],[Profit]]/Table1[[#This Row],[Sales]]</f>
        <v>7.1732296255243508E-2</v>
      </c>
      <c r="V205" t="str">
        <f>IF(Table1[[#This Row],[Discount]]=0,"No Discount",IF(Table1[[#This Row],[Discount]]&lt;=0.1,"Low",IF(Table1[[#This Row],[Discount]]&lt;=0.2,"medium","high")))</f>
        <v>high</v>
      </c>
    </row>
    <row r="206" spans="1:22" x14ac:dyDescent="0.3">
      <c r="A206" t="s">
        <v>429</v>
      </c>
      <c r="B206" s="6">
        <v>45984</v>
      </c>
      <c r="C206" t="s">
        <v>137</v>
      </c>
      <c r="D206" t="s">
        <v>24</v>
      </c>
      <c r="E206" t="s">
        <v>97</v>
      </c>
      <c r="F206" t="s">
        <v>72</v>
      </c>
      <c r="G206" t="s">
        <v>111</v>
      </c>
      <c r="H206" t="s">
        <v>158</v>
      </c>
      <c r="I206">
        <v>8416.24</v>
      </c>
      <c r="J206">
        <v>8</v>
      </c>
      <c r="K206">
        <v>0.25</v>
      </c>
      <c r="L206">
        <v>-1112.45</v>
      </c>
      <c r="M206" t="s">
        <v>37</v>
      </c>
      <c r="N206" t="s">
        <v>38</v>
      </c>
      <c r="O206" t="str">
        <f t="shared" si="6"/>
        <v>Good</v>
      </c>
      <c r="P206">
        <f t="shared" si="7"/>
        <v>1052.03</v>
      </c>
      <c r="Q206">
        <v>45984</v>
      </c>
      <c r="R206">
        <f>YEAR(Table1[[#This Row],[Order_Date_New]])</f>
        <v>2025</v>
      </c>
      <c r="S206">
        <f>MONTH(Table1[[#This Row],[Order_Date_New]])</f>
        <v>11</v>
      </c>
      <c r="T206" t="str">
        <f>TEXT(Table1[[#This Row],[Order_Date_New]],"mmmm")</f>
        <v>November</v>
      </c>
      <c r="U206">
        <f>Table1[[#This Row],[Profit]]/Table1[[#This Row],[Sales]]</f>
        <v>-0.13217897778580459</v>
      </c>
      <c r="V206" t="str">
        <f>IF(Table1[[#This Row],[Discount]]=0,"No Discount",IF(Table1[[#This Row],[Discount]]&lt;=0.1,"Low",IF(Table1[[#This Row],[Discount]]&lt;=0.2,"medium","high")))</f>
        <v>high</v>
      </c>
    </row>
    <row r="207" spans="1:22" x14ac:dyDescent="0.3">
      <c r="A207" t="s">
        <v>430</v>
      </c>
      <c r="B207" s="6">
        <v>45996</v>
      </c>
      <c r="C207" t="s">
        <v>431</v>
      </c>
      <c r="D207" t="s">
        <v>33</v>
      </c>
      <c r="E207" t="s">
        <v>48</v>
      </c>
      <c r="F207" t="s">
        <v>60</v>
      </c>
      <c r="G207" t="s">
        <v>61</v>
      </c>
      <c r="H207" t="s">
        <v>62</v>
      </c>
      <c r="I207">
        <v>192.26</v>
      </c>
      <c r="J207">
        <v>1</v>
      </c>
      <c r="K207">
        <v>0.15</v>
      </c>
      <c r="L207">
        <v>18.86</v>
      </c>
      <c r="M207" t="s">
        <v>43</v>
      </c>
      <c r="N207" t="s">
        <v>80</v>
      </c>
      <c r="O207" t="str">
        <f t="shared" si="6"/>
        <v>Bad</v>
      </c>
      <c r="P207">
        <f t="shared" si="7"/>
        <v>192.26</v>
      </c>
      <c r="Q207">
        <v>45996</v>
      </c>
      <c r="R207">
        <f>YEAR(Table1[[#This Row],[Order_Date_New]])</f>
        <v>2025</v>
      </c>
      <c r="S207">
        <f>MONTH(Table1[[#This Row],[Order_Date_New]])</f>
        <v>12</v>
      </c>
      <c r="T207" t="str">
        <f>TEXT(Table1[[#This Row],[Order_Date_New]],"mmmm")</f>
        <v>December</v>
      </c>
      <c r="U207">
        <f>Table1[[#This Row],[Profit]]/Table1[[#This Row],[Sales]]</f>
        <v>9.8096327889316548E-2</v>
      </c>
      <c r="V207" t="str">
        <f>IF(Table1[[#This Row],[Discount]]=0,"No Discount",IF(Table1[[#This Row],[Discount]]&lt;=0.1,"Low",IF(Table1[[#This Row],[Discount]]&lt;=0.2,"medium","high")))</f>
        <v>medium</v>
      </c>
    </row>
    <row r="208" spans="1:22" x14ac:dyDescent="0.3">
      <c r="A208" t="s">
        <v>432</v>
      </c>
      <c r="B208" s="6">
        <v>45686</v>
      </c>
      <c r="C208" t="s">
        <v>334</v>
      </c>
      <c r="D208" t="s">
        <v>53</v>
      </c>
      <c r="E208" t="s">
        <v>77</v>
      </c>
      <c r="F208" t="s">
        <v>60</v>
      </c>
      <c r="G208" t="s">
        <v>78</v>
      </c>
      <c r="H208" t="s">
        <v>125</v>
      </c>
      <c r="I208">
        <v>1135.6500000000001</v>
      </c>
      <c r="J208">
        <v>1</v>
      </c>
      <c r="K208">
        <v>0.2</v>
      </c>
      <c r="L208">
        <v>142.78</v>
      </c>
      <c r="M208" t="s">
        <v>133</v>
      </c>
      <c r="N208" t="s">
        <v>44</v>
      </c>
      <c r="O208" t="str">
        <f t="shared" si="6"/>
        <v>Bad</v>
      </c>
      <c r="P208">
        <f t="shared" si="7"/>
        <v>1135.6500000000001</v>
      </c>
      <c r="Q208">
        <v>45686</v>
      </c>
      <c r="R208">
        <f>YEAR(Table1[[#This Row],[Order_Date_New]])</f>
        <v>2025</v>
      </c>
      <c r="S208">
        <f>MONTH(Table1[[#This Row],[Order_Date_New]])</f>
        <v>1</v>
      </c>
      <c r="T208" t="str">
        <f>TEXT(Table1[[#This Row],[Order_Date_New]],"mmmm")</f>
        <v>January</v>
      </c>
      <c r="U208">
        <f>Table1[[#This Row],[Profit]]/Table1[[#This Row],[Sales]]</f>
        <v>0.12572535552326861</v>
      </c>
      <c r="V208" t="str">
        <f>IF(Table1[[#This Row],[Discount]]=0,"No Discount",IF(Table1[[#This Row],[Discount]]&lt;=0.1,"Low",IF(Table1[[#This Row],[Discount]]&lt;=0.2,"medium","high")))</f>
        <v>medium</v>
      </c>
    </row>
    <row r="209" spans="1:22" x14ac:dyDescent="0.3">
      <c r="A209" t="s">
        <v>433</v>
      </c>
      <c r="B209" s="6">
        <v>45972</v>
      </c>
      <c r="C209" t="s">
        <v>270</v>
      </c>
      <c r="D209" t="s">
        <v>33</v>
      </c>
      <c r="E209" t="s">
        <v>48</v>
      </c>
      <c r="F209" t="s">
        <v>26</v>
      </c>
      <c r="G209" t="s">
        <v>35</v>
      </c>
      <c r="H209" t="s">
        <v>173</v>
      </c>
      <c r="I209">
        <v>3047.36</v>
      </c>
      <c r="J209">
        <v>4</v>
      </c>
      <c r="K209">
        <v>0.3</v>
      </c>
      <c r="L209">
        <v>-3.1</v>
      </c>
      <c r="M209" t="s">
        <v>43</v>
      </c>
      <c r="N209" t="s">
        <v>30</v>
      </c>
      <c r="O209" t="str">
        <f t="shared" si="6"/>
        <v>Bad</v>
      </c>
      <c r="P209">
        <f t="shared" si="7"/>
        <v>761.84</v>
      </c>
      <c r="Q209">
        <v>45972</v>
      </c>
      <c r="R209">
        <f>YEAR(Table1[[#This Row],[Order_Date_New]])</f>
        <v>2025</v>
      </c>
      <c r="S209">
        <f>MONTH(Table1[[#This Row],[Order_Date_New]])</f>
        <v>11</v>
      </c>
      <c r="T209" t="str">
        <f>TEXT(Table1[[#This Row],[Order_Date_New]],"mmmm")</f>
        <v>November</v>
      </c>
      <c r="U209">
        <f>Table1[[#This Row],[Profit]]/Table1[[#This Row],[Sales]]</f>
        <v>-1.0172739682873045E-3</v>
      </c>
      <c r="V209" t="str">
        <f>IF(Table1[[#This Row],[Discount]]=0,"No Discount",IF(Table1[[#This Row],[Discount]]&lt;=0.1,"Low",IF(Table1[[#This Row],[Discount]]&lt;=0.2,"medium","high")))</f>
        <v>high</v>
      </c>
    </row>
    <row r="210" spans="1:22" x14ac:dyDescent="0.3">
      <c r="A210" t="s">
        <v>434</v>
      </c>
      <c r="B210" s="6">
        <v>45957</v>
      </c>
      <c r="C210" t="s">
        <v>224</v>
      </c>
      <c r="D210" t="s">
        <v>33</v>
      </c>
      <c r="E210" t="s">
        <v>48</v>
      </c>
      <c r="F210" t="s">
        <v>60</v>
      </c>
      <c r="G210" t="s">
        <v>98</v>
      </c>
      <c r="H210" t="s">
        <v>141</v>
      </c>
      <c r="I210">
        <v>2869.83</v>
      </c>
      <c r="J210">
        <v>3</v>
      </c>
      <c r="K210">
        <v>0</v>
      </c>
      <c r="L210">
        <v>852.14</v>
      </c>
      <c r="M210" t="s">
        <v>49</v>
      </c>
      <c r="N210" t="s">
        <v>30</v>
      </c>
      <c r="O210" t="str">
        <f t="shared" si="6"/>
        <v>Bad</v>
      </c>
      <c r="P210">
        <f t="shared" si="7"/>
        <v>956.61</v>
      </c>
      <c r="Q210">
        <v>45957</v>
      </c>
      <c r="R210">
        <f>YEAR(Table1[[#This Row],[Order_Date_New]])</f>
        <v>2025</v>
      </c>
      <c r="S210">
        <f>MONTH(Table1[[#This Row],[Order_Date_New]])</f>
        <v>10</v>
      </c>
      <c r="T210" t="str">
        <f>TEXT(Table1[[#This Row],[Order_Date_New]],"mmmm")</f>
        <v>October</v>
      </c>
      <c r="U210">
        <f>Table1[[#This Row],[Profit]]/Table1[[#This Row],[Sales]]</f>
        <v>0.29693048020266011</v>
      </c>
      <c r="V210" t="str">
        <f>IF(Table1[[#This Row],[Discount]]=0,"No Discount",IF(Table1[[#This Row],[Discount]]&lt;=0.1,"Low",IF(Table1[[#This Row],[Discount]]&lt;=0.2,"medium","high")))</f>
        <v>No Discount</v>
      </c>
    </row>
    <row r="211" spans="1:22" x14ac:dyDescent="0.3">
      <c r="A211" t="s">
        <v>435</v>
      </c>
      <c r="B211" s="6">
        <v>45475</v>
      </c>
      <c r="C211" t="s">
        <v>121</v>
      </c>
      <c r="D211" t="s">
        <v>128</v>
      </c>
      <c r="E211" t="s">
        <v>202</v>
      </c>
      <c r="F211" t="s">
        <v>72</v>
      </c>
      <c r="G211" t="s">
        <v>88</v>
      </c>
      <c r="H211" t="s">
        <v>89</v>
      </c>
      <c r="I211">
        <v>3757.5</v>
      </c>
      <c r="J211">
        <v>9</v>
      </c>
      <c r="K211">
        <v>0.15</v>
      </c>
      <c r="L211">
        <v>509.53</v>
      </c>
      <c r="M211" t="s">
        <v>90</v>
      </c>
      <c r="N211" t="s">
        <v>80</v>
      </c>
      <c r="O211" t="str">
        <f t="shared" si="6"/>
        <v>Bad</v>
      </c>
      <c r="P211">
        <f t="shared" si="7"/>
        <v>417.5</v>
      </c>
      <c r="Q211">
        <v>45475</v>
      </c>
      <c r="R211">
        <f>YEAR(Table1[[#This Row],[Order_Date_New]])</f>
        <v>2024</v>
      </c>
      <c r="S211">
        <f>MONTH(Table1[[#This Row],[Order_Date_New]])</f>
        <v>7</v>
      </c>
      <c r="T211" t="str">
        <f>TEXT(Table1[[#This Row],[Order_Date_New]],"mmmm")</f>
        <v>July</v>
      </c>
      <c r="U211">
        <f>Table1[[#This Row],[Profit]]/Table1[[#This Row],[Sales]]</f>
        <v>0.13560345974717231</v>
      </c>
      <c r="V211" t="str">
        <f>IF(Table1[[#This Row],[Discount]]=0,"No Discount",IF(Table1[[#This Row],[Discount]]&lt;=0.1,"Low",IF(Table1[[#This Row],[Discount]]&lt;=0.2,"medium","high")))</f>
        <v>medium</v>
      </c>
    </row>
    <row r="212" spans="1:22" x14ac:dyDescent="0.3">
      <c r="A212" t="s">
        <v>436</v>
      </c>
      <c r="B212" s="6">
        <v>45716</v>
      </c>
      <c r="C212" t="s">
        <v>437</v>
      </c>
      <c r="D212" t="s">
        <v>128</v>
      </c>
      <c r="E212" t="s">
        <v>202</v>
      </c>
      <c r="F212" t="s">
        <v>72</v>
      </c>
      <c r="G212" t="s">
        <v>88</v>
      </c>
      <c r="H212" t="s">
        <v>119</v>
      </c>
      <c r="I212">
        <v>2536.1999999999998</v>
      </c>
      <c r="J212">
        <v>10</v>
      </c>
      <c r="K212">
        <v>0</v>
      </c>
      <c r="L212">
        <v>872.82</v>
      </c>
      <c r="M212" t="s">
        <v>113</v>
      </c>
      <c r="N212" t="s">
        <v>30</v>
      </c>
      <c r="O212" t="str">
        <f t="shared" si="6"/>
        <v>Bad</v>
      </c>
      <c r="P212">
        <f t="shared" si="7"/>
        <v>253.61999999999998</v>
      </c>
      <c r="Q212">
        <v>45716</v>
      </c>
      <c r="R212">
        <f>YEAR(Table1[[#This Row],[Order_Date_New]])</f>
        <v>2025</v>
      </c>
      <c r="S212">
        <f>MONTH(Table1[[#This Row],[Order_Date_New]])</f>
        <v>2</v>
      </c>
      <c r="T212" t="str">
        <f>TEXT(Table1[[#This Row],[Order_Date_New]],"mmmm")</f>
        <v>February</v>
      </c>
      <c r="U212">
        <f>Table1[[#This Row],[Profit]]/Table1[[#This Row],[Sales]]</f>
        <v>0.34414478353442163</v>
      </c>
      <c r="V212" t="str">
        <f>IF(Table1[[#This Row],[Discount]]=0,"No Discount",IF(Table1[[#This Row],[Discount]]&lt;=0.1,"Low",IF(Table1[[#This Row],[Discount]]&lt;=0.2,"medium","high")))</f>
        <v>No Discount</v>
      </c>
    </row>
    <row r="213" spans="1:22" x14ac:dyDescent="0.3">
      <c r="A213" t="s">
        <v>438</v>
      </c>
      <c r="B213" s="6">
        <v>45330</v>
      </c>
      <c r="C213" t="s">
        <v>253</v>
      </c>
      <c r="D213" t="s">
        <v>128</v>
      </c>
      <c r="E213" t="s">
        <v>202</v>
      </c>
      <c r="F213" t="s">
        <v>26</v>
      </c>
      <c r="G213" t="s">
        <v>41</v>
      </c>
      <c r="H213" t="s">
        <v>108</v>
      </c>
      <c r="I213">
        <v>368.8</v>
      </c>
      <c r="J213">
        <v>2</v>
      </c>
      <c r="K213">
        <v>0</v>
      </c>
      <c r="L213">
        <v>85.12</v>
      </c>
      <c r="M213" t="s">
        <v>105</v>
      </c>
      <c r="N213" t="s">
        <v>44</v>
      </c>
      <c r="O213" t="str">
        <f t="shared" si="6"/>
        <v>Bad</v>
      </c>
      <c r="P213">
        <f t="shared" si="7"/>
        <v>184.4</v>
      </c>
      <c r="Q213">
        <v>45330</v>
      </c>
      <c r="R213">
        <f>YEAR(Table1[[#This Row],[Order_Date_New]])</f>
        <v>2024</v>
      </c>
      <c r="S213">
        <f>MONTH(Table1[[#This Row],[Order_Date_New]])</f>
        <v>2</v>
      </c>
      <c r="T213" t="str">
        <f>TEXT(Table1[[#This Row],[Order_Date_New]],"mmmm")</f>
        <v>February</v>
      </c>
      <c r="U213">
        <f>Table1[[#This Row],[Profit]]/Table1[[#This Row],[Sales]]</f>
        <v>0.23080260303687636</v>
      </c>
      <c r="V213" t="str">
        <f>IF(Table1[[#This Row],[Discount]]=0,"No Discount",IF(Table1[[#This Row],[Discount]]&lt;=0.1,"Low",IF(Table1[[#This Row],[Discount]]&lt;=0.2,"medium","high")))</f>
        <v>No Discount</v>
      </c>
    </row>
    <row r="214" spans="1:22" x14ac:dyDescent="0.3">
      <c r="A214" t="s">
        <v>439</v>
      </c>
      <c r="B214" s="6">
        <v>45871</v>
      </c>
      <c r="C214" t="s">
        <v>165</v>
      </c>
      <c r="D214" t="s">
        <v>128</v>
      </c>
      <c r="E214" t="s">
        <v>146</v>
      </c>
      <c r="F214" t="s">
        <v>26</v>
      </c>
      <c r="G214" t="s">
        <v>41</v>
      </c>
      <c r="H214" t="s">
        <v>42</v>
      </c>
      <c r="I214">
        <v>412.71</v>
      </c>
      <c r="J214">
        <v>3</v>
      </c>
      <c r="K214">
        <v>0.15</v>
      </c>
      <c r="L214">
        <v>-8.39</v>
      </c>
      <c r="M214" t="s">
        <v>133</v>
      </c>
      <c r="N214" t="s">
        <v>44</v>
      </c>
      <c r="O214" t="str">
        <f t="shared" si="6"/>
        <v>Bad</v>
      </c>
      <c r="P214">
        <f t="shared" si="7"/>
        <v>137.57</v>
      </c>
      <c r="Q214">
        <v>45871</v>
      </c>
      <c r="R214">
        <f>YEAR(Table1[[#This Row],[Order_Date_New]])</f>
        <v>2025</v>
      </c>
      <c r="S214">
        <f>MONTH(Table1[[#This Row],[Order_Date_New]])</f>
        <v>8</v>
      </c>
      <c r="T214" t="str">
        <f>TEXT(Table1[[#This Row],[Order_Date_New]],"mmmm")</f>
        <v>August</v>
      </c>
      <c r="U214">
        <f>Table1[[#This Row],[Profit]]/Table1[[#This Row],[Sales]]</f>
        <v>-2.0329044607593712E-2</v>
      </c>
      <c r="V214" t="str">
        <f>IF(Table1[[#This Row],[Discount]]=0,"No Discount",IF(Table1[[#This Row],[Discount]]&lt;=0.1,"Low",IF(Table1[[#This Row],[Discount]]&lt;=0.2,"medium","high")))</f>
        <v>medium</v>
      </c>
    </row>
    <row r="215" spans="1:22" x14ac:dyDescent="0.3">
      <c r="A215" t="s">
        <v>440</v>
      </c>
      <c r="B215" s="6">
        <v>45534</v>
      </c>
      <c r="C215" t="s">
        <v>441</v>
      </c>
      <c r="D215" t="s">
        <v>33</v>
      </c>
      <c r="E215" t="s">
        <v>118</v>
      </c>
      <c r="F215" t="s">
        <v>60</v>
      </c>
      <c r="G215" t="s">
        <v>98</v>
      </c>
      <c r="H215" t="s">
        <v>141</v>
      </c>
      <c r="I215">
        <v>307.75</v>
      </c>
      <c r="J215">
        <v>5</v>
      </c>
      <c r="K215">
        <v>0.05</v>
      </c>
      <c r="L215">
        <v>95.63</v>
      </c>
      <c r="M215" t="s">
        <v>37</v>
      </c>
      <c r="N215" t="s">
        <v>44</v>
      </c>
      <c r="O215" t="str">
        <f t="shared" si="6"/>
        <v>Bad</v>
      </c>
      <c r="P215">
        <f t="shared" si="7"/>
        <v>61.55</v>
      </c>
      <c r="Q215">
        <v>45534</v>
      </c>
      <c r="R215">
        <f>YEAR(Table1[[#This Row],[Order_Date_New]])</f>
        <v>2024</v>
      </c>
      <c r="S215">
        <f>MONTH(Table1[[#This Row],[Order_Date_New]])</f>
        <v>8</v>
      </c>
      <c r="T215" t="str">
        <f>TEXT(Table1[[#This Row],[Order_Date_New]],"mmmm")</f>
        <v>August</v>
      </c>
      <c r="U215">
        <f>Table1[[#This Row],[Profit]]/Table1[[#This Row],[Sales]]</f>
        <v>0.31073923639317624</v>
      </c>
      <c r="V215" t="str">
        <f>IF(Table1[[#This Row],[Discount]]=0,"No Discount",IF(Table1[[#This Row],[Discount]]&lt;=0.1,"Low",IF(Table1[[#This Row],[Discount]]&lt;=0.2,"medium","high")))</f>
        <v>Low</v>
      </c>
    </row>
    <row r="216" spans="1:22" x14ac:dyDescent="0.3">
      <c r="A216" t="s">
        <v>442</v>
      </c>
      <c r="B216" s="6">
        <v>45835</v>
      </c>
      <c r="C216" t="s">
        <v>186</v>
      </c>
      <c r="D216" t="s">
        <v>24</v>
      </c>
      <c r="E216" t="s">
        <v>59</v>
      </c>
      <c r="F216" t="s">
        <v>26</v>
      </c>
      <c r="G216" t="s">
        <v>27</v>
      </c>
      <c r="H216" t="s">
        <v>271</v>
      </c>
      <c r="I216">
        <v>1233.05</v>
      </c>
      <c r="J216">
        <v>5</v>
      </c>
      <c r="K216">
        <v>0.15</v>
      </c>
      <c r="L216">
        <v>352.36</v>
      </c>
      <c r="M216" t="s">
        <v>170</v>
      </c>
      <c r="N216" t="s">
        <v>30</v>
      </c>
      <c r="O216" t="str">
        <f t="shared" si="6"/>
        <v>Bad</v>
      </c>
      <c r="P216">
        <f t="shared" si="7"/>
        <v>246.60999999999999</v>
      </c>
      <c r="Q216">
        <v>45835</v>
      </c>
      <c r="R216">
        <f>YEAR(Table1[[#This Row],[Order_Date_New]])</f>
        <v>2025</v>
      </c>
      <c r="S216">
        <f>MONTH(Table1[[#This Row],[Order_Date_New]])</f>
        <v>6</v>
      </c>
      <c r="T216" t="str">
        <f>TEXT(Table1[[#This Row],[Order_Date_New]],"mmmm")</f>
        <v>June</v>
      </c>
      <c r="U216">
        <f>Table1[[#This Row],[Profit]]/Table1[[#This Row],[Sales]]</f>
        <v>0.28576294554154336</v>
      </c>
      <c r="V216" t="str">
        <f>IF(Table1[[#This Row],[Discount]]=0,"No Discount",IF(Table1[[#This Row],[Discount]]&lt;=0.1,"Low",IF(Table1[[#This Row],[Discount]]&lt;=0.2,"medium","high")))</f>
        <v>medium</v>
      </c>
    </row>
    <row r="217" spans="1:22" x14ac:dyDescent="0.3">
      <c r="A217" t="s">
        <v>443</v>
      </c>
      <c r="B217" s="6">
        <v>45538</v>
      </c>
      <c r="C217" t="s">
        <v>444</v>
      </c>
      <c r="D217" t="s">
        <v>128</v>
      </c>
      <c r="E217" t="s">
        <v>202</v>
      </c>
      <c r="F217" t="s">
        <v>26</v>
      </c>
      <c r="G217" t="s">
        <v>41</v>
      </c>
      <c r="H217" t="s">
        <v>108</v>
      </c>
      <c r="I217">
        <v>2447.1999999999998</v>
      </c>
      <c r="J217">
        <v>7</v>
      </c>
      <c r="K217">
        <v>0.25</v>
      </c>
      <c r="L217">
        <v>-178.09</v>
      </c>
      <c r="M217" t="s">
        <v>49</v>
      </c>
      <c r="N217" t="s">
        <v>38</v>
      </c>
      <c r="O217" t="str">
        <f t="shared" si="6"/>
        <v>Bad</v>
      </c>
      <c r="P217">
        <f t="shared" si="7"/>
        <v>349.59999999999997</v>
      </c>
      <c r="Q217">
        <v>45538</v>
      </c>
      <c r="R217">
        <f>YEAR(Table1[[#This Row],[Order_Date_New]])</f>
        <v>2024</v>
      </c>
      <c r="S217">
        <f>MONTH(Table1[[#This Row],[Order_Date_New]])</f>
        <v>9</v>
      </c>
      <c r="T217" t="str">
        <f>TEXT(Table1[[#This Row],[Order_Date_New]],"mmmm")</f>
        <v>September</v>
      </c>
      <c r="U217">
        <f>Table1[[#This Row],[Profit]]/Table1[[#This Row],[Sales]]</f>
        <v>-7.2772965021248776E-2</v>
      </c>
      <c r="V217" t="str">
        <f>IF(Table1[[#This Row],[Discount]]=0,"No Discount",IF(Table1[[#This Row],[Discount]]&lt;=0.1,"Low",IF(Table1[[#This Row],[Discount]]&lt;=0.2,"medium","high")))</f>
        <v>high</v>
      </c>
    </row>
    <row r="218" spans="1:22" x14ac:dyDescent="0.3">
      <c r="A218" t="s">
        <v>445</v>
      </c>
      <c r="B218" s="6">
        <v>45755</v>
      </c>
      <c r="C218" t="s">
        <v>285</v>
      </c>
      <c r="D218" t="s">
        <v>53</v>
      </c>
      <c r="E218" t="s">
        <v>77</v>
      </c>
      <c r="F218" t="s">
        <v>72</v>
      </c>
      <c r="G218" t="s">
        <v>88</v>
      </c>
      <c r="H218" t="s">
        <v>119</v>
      </c>
      <c r="I218">
        <v>1800.32</v>
      </c>
      <c r="J218">
        <v>8</v>
      </c>
      <c r="K218">
        <v>0.25</v>
      </c>
      <c r="L218">
        <v>48.55</v>
      </c>
      <c r="M218" t="s">
        <v>29</v>
      </c>
      <c r="N218" t="s">
        <v>44</v>
      </c>
      <c r="O218" t="str">
        <f t="shared" si="6"/>
        <v>Bad</v>
      </c>
      <c r="P218">
        <f t="shared" si="7"/>
        <v>225.04</v>
      </c>
      <c r="Q218">
        <v>45755</v>
      </c>
      <c r="R218">
        <f>YEAR(Table1[[#This Row],[Order_Date_New]])</f>
        <v>2025</v>
      </c>
      <c r="S218">
        <f>MONTH(Table1[[#This Row],[Order_Date_New]])</f>
        <v>4</v>
      </c>
      <c r="T218" t="str">
        <f>TEXT(Table1[[#This Row],[Order_Date_New]],"mmmm")</f>
        <v>April</v>
      </c>
      <c r="U218">
        <f>Table1[[#This Row],[Profit]]/Table1[[#This Row],[Sales]]</f>
        <v>2.6967428012797723E-2</v>
      </c>
      <c r="V218" t="str">
        <f>IF(Table1[[#This Row],[Discount]]=0,"No Discount",IF(Table1[[#This Row],[Discount]]&lt;=0.1,"Low",IF(Table1[[#This Row],[Discount]]&lt;=0.2,"medium","high")))</f>
        <v>high</v>
      </c>
    </row>
    <row r="219" spans="1:22" x14ac:dyDescent="0.3">
      <c r="A219" t="s">
        <v>446</v>
      </c>
      <c r="B219" s="6">
        <v>45603</v>
      </c>
      <c r="C219" t="s">
        <v>407</v>
      </c>
      <c r="D219" t="s">
        <v>53</v>
      </c>
      <c r="E219" t="s">
        <v>77</v>
      </c>
      <c r="F219" t="s">
        <v>72</v>
      </c>
      <c r="G219" t="s">
        <v>73</v>
      </c>
      <c r="H219" t="s">
        <v>293</v>
      </c>
      <c r="I219">
        <v>4080.8</v>
      </c>
      <c r="J219">
        <v>10</v>
      </c>
      <c r="K219">
        <v>0.3</v>
      </c>
      <c r="L219">
        <v>-362.53</v>
      </c>
      <c r="M219" t="s">
        <v>49</v>
      </c>
      <c r="N219" t="s">
        <v>30</v>
      </c>
      <c r="O219" t="str">
        <f t="shared" si="6"/>
        <v>Bad</v>
      </c>
      <c r="P219">
        <f t="shared" si="7"/>
        <v>408.08000000000004</v>
      </c>
      <c r="Q219">
        <v>45603</v>
      </c>
      <c r="R219">
        <f>YEAR(Table1[[#This Row],[Order_Date_New]])</f>
        <v>2024</v>
      </c>
      <c r="S219">
        <f>MONTH(Table1[[#This Row],[Order_Date_New]])</f>
        <v>11</v>
      </c>
      <c r="T219" t="str">
        <f>TEXT(Table1[[#This Row],[Order_Date_New]],"mmmm")</f>
        <v>November</v>
      </c>
      <c r="U219">
        <f>Table1[[#This Row],[Profit]]/Table1[[#This Row],[Sales]]</f>
        <v>-8.8837972946481075E-2</v>
      </c>
      <c r="V219" t="str">
        <f>IF(Table1[[#This Row],[Discount]]=0,"No Discount",IF(Table1[[#This Row],[Discount]]&lt;=0.1,"Low",IF(Table1[[#This Row],[Discount]]&lt;=0.2,"medium","high")))</f>
        <v>high</v>
      </c>
    </row>
    <row r="220" spans="1:22" x14ac:dyDescent="0.3">
      <c r="A220" t="s">
        <v>447</v>
      </c>
      <c r="B220" s="6">
        <v>45670</v>
      </c>
      <c r="C220" t="s">
        <v>448</v>
      </c>
      <c r="D220" t="s">
        <v>24</v>
      </c>
      <c r="E220" t="s">
        <v>84</v>
      </c>
      <c r="F220" t="s">
        <v>72</v>
      </c>
      <c r="G220" t="s">
        <v>88</v>
      </c>
      <c r="H220" t="s">
        <v>119</v>
      </c>
      <c r="I220">
        <v>6652.98</v>
      </c>
      <c r="J220">
        <v>9</v>
      </c>
      <c r="K220">
        <v>0</v>
      </c>
      <c r="L220">
        <v>555.32000000000005</v>
      </c>
      <c r="M220" t="s">
        <v>29</v>
      </c>
      <c r="N220" t="s">
        <v>38</v>
      </c>
      <c r="O220" t="str">
        <f t="shared" si="6"/>
        <v>Good</v>
      </c>
      <c r="P220">
        <f t="shared" si="7"/>
        <v>739.21999999999991</v>
      </c>
      <c r="Q220">
        <v>45670</v>
      </c>
      <c r="R220">
        <f>YEAR(Table1[[#This Row],[Order_Date_New]])</f>
        <v>2025</v>
      </c>
      <c r="S220">
        <f>MONTH(Table1[[#This Row],[Order_Date_New]])</f>
        <v>1</v>
      </c>
      <c r="T220" t="str">
        <f>TEXT(Table1[[#This Row],[Order_Date_New]],"mmmm")</f>
        <v>January</v>
      </c>
      <c r="U220">
        <f>Table1[[#This Row],[Profit]]/Table1[[#This Row],[Sales]]</f>
        <v>8.3469362601420724E-2</v>
      </c>
      <c r="V220" t="str">
        <f>IF(Table1[[#This Row],[Discount]]=0,"No Discount",IF(Table1[[#This Row],[Discount]]&lt;=0.1,"Low",IF(Table1[[#This Row],[Discount]]&lt;=0.2,"medium","high")))</f>
        <v>No Discount</v>
      </c>
    </row>
    <row r="221" spans="1:22" x14ac:dyDescent="0.3">
      <c r="A221" t="s">
        <v>449</v>
      </c>
      <c r="B221" s="6">
        <v>45982</v>
      </c>
      <c r="C221" t="s">
        <v>450</v>
      </c>
      <c r="D221" t="s">
        <v>53</v>
      </c>
      <c r="E221" t="s">
        <v>54</v>
      </c>
      <c r="F221" t="s">
        <v>72</v>
      </c>
      <c r="G221" t="s">
        <v>88</v>
      </c>
      <c r="H221" t="s">
        <v>119</v>
      </c>
      <c r="I221">
        <v>3054.48</v>
      </c>
      <c r="J221">
        <v>4</v>
      </c>
      <c r="K221">
        <v>0</v>
      </c>
      <c r="L221">
        <v>656.2</v>
      </c>
      <c r="M221" t="s">
        <v>113</v>
      </c>
      <c r="N221" t="s">
        <v>44</v>
      </c>
      <c r="O221" t="str">
        <f t="shared" si="6"/>
        <v>Bad</v>
      </c>
      <c r="P221">
        <f t="shared" si="7"/>
        <v>763.62</v>
      </c>
      <c r="Q221">
        <v>45982</v>
      </c>
      <c r="R221">
        <f>YEAR(Table1[[#This Row],[Order_Date_New]])</f>
        <v>2025</v>
      </c>
      <c r="S221">
        <f>MONTH(Table1[[#This Row],[Order_Date_New]])</f>
        <v>11</v>
      </c>
      <c r="T221" t="str">
        <f>TEXT(Table1[[#This Row],[Order_Date_New]],"mmmm")</f>
        <v>November</v>
      </c>
      <c r="U221">
        <f>Table1[[#This Row],[Profit]]/Table1[[#This Row],[Sales]]</f>
        <v>0.21483198449490587</v>
      </c>
      <c r="V221" t="str">
        <f>IF(Table1[[#This Row],[Discount]]=0,"No Discount",IF(Table1[[#This Row],[Discount]]&lt;=0.1,"Low",IF(Table1[[#This Row],[Discount]]&lt;=0.2,"medium","high")))</f>
        <v>No Discount</v>
      </c>
    </row>
    <row r="222" spans="1:22" x14ac:dyDescent="0.3">
      <c r="A222" t="s">
        <v>451</v>
      </c>
      <c r="B222" s="6">
        <v>45980</v>
      </c>
      <c r="C222" t="s">
        <v>86</v>
      </c>
      <c r="D222" t="s">
        <v>24</v>
      </c>
      <c r="E222" t="s">
        <v>84</v>
      </c>
      <c r="F222" t="s">
        <v>72</v>
      </c>
      <c r="G222" t="s">
        <v>88</v>
      </c>
      <c r="H222" t="s">
        <v>119</v>
      </c>
      <c r="I222">
        <v>6696.54</v>
      </c>
      <c r="J222">
        <v>6</v>
      </c>
      <c r="K222">
        <v>0</v>
      </c>
      <c r="L222">
        <v>1890.59</v>
      </c>
      <c r="M222" t="s">
        <v>105</v>
      </c>
      <c r="N222" t="s">
        <v>44</v>
      </c>
      <c r="O222" t="str">
        <f t="shared" si="6"/>
        <v>Bad</v>
      </c>
      <c r="P222">
        <f t="shared" si="7"/>
        <v>1116.0899999999999</v>
      </c>
      <c r="Q222">
        <v>45980</v>
      </c>
      <c r="R222">
        <f>YEAR(Table1[[#This Row],[Order_Date_New]])</f>
        <v>2025</v>
      </c>
      <c r="S222">
        <f>MONTH(Table1[[#This Row],[Order_Date_New]])</f>
        <v>11</v>
      </c>
      <c r="T222" t="str">
        <f>TEXT(Table1[[#This Row],[Order_Date_New]],"mmmm")</f>
        <v>November</v>
      </c>
      <c r="U222">
        <f>Table1[[#This Row],[Profit]]/Table1[[#This Row],[Sales]]</f>
        <v>0.28232340880514412</v>
      </c>
      <c r="V222" t="str">
        <f>IF(Table1[[#This Row],[Discount]]=0,"No Discount",IF(Table1[[#This Row],[Discount]]&lt;=0.1,"Low",IF(Table1[[#This Row],[Discount]]&lt;=0.2,"medium","high")))</f>
        <v>No Discount</v>
      </c>
    </row>
    <row r="223" spans="1:22" x14ac:dyDescent="0.3">
      <c r="A223" t="s">
        <v>452</v>
      </c>
      <c r="B223" s="6">
        <v>45933</v>
      </c>
      <c r="C223" t="s">
        <v>369</v>
      </c>
      <c r="D223" t="s">
        <v>128</v>
      </c>
      <c r="E223" t="s">
        <v>132</v>
      </c>
      <c r="F223" t="s">
        <v>72</v>
      </c>
      <c r="G223" t="s">
        <v>88</v>
      </c>
      <c r="H223" t="s">
        <v>119</v>
      </c>
      <c r="I223">
        <v>3232.7</v>
      </c>
      <c r="J223">
        <v>10</v>
      </c>
      <c r="K223">
        <v>0.3</v>
      </c>
      <c r="L223">
        <v>100.75</v>
      </c>
      <c r="M223" t="s">
        <v>90</v>
      </c>
      <c r="N223" t="s">
        <v>30</v>
      </c>
      <c r="O223" t="str">
        <f t="shared" si="6"/>
        <v>Bad</v>
      </c>
      <c r="P223">
        <f t="shared" si="7"/>
        <v>323.27</v>
      </c>
      <c r="Q223">
        <v>45933</v>
      </c>
      <c r="R223">
        <f>YEAR(Table1[[#This Row],[Order_Date_New]])</f>
        <v>2025</v>
      </c>
      <c r="S223">
        <f>MONTH(Table1[[#This Row],[Order_Date_New]])</f>
        <v>10</v>
      </c>
      <c r="T223" t="str">
        <f>TEXT(Table1[[#This Row],[Order_Date_New]],"mmmm")</f>
        <v>October</v>
      </c>
      <c r="U223">
        <f>Table1[[#This Row],[Profit]]/Table1[[#This Row],[Sales]]</f>
        <v>3.1165898474959014E-2</v>
      </c>
      <c r="V223" t="str">
        <f>IF(Table1[[#This Row],[Discount]]=0,"No Discount",IF(Table1[[#This Row],[Discount]]&lt;=0.1,"Low",IF(Table1[[#This Row],[Discount]]&lt;=0.2,"medium","high")))</f>
        <v>high</v>
      </c>
    </row>
    <row r="224" spans="1:22" x14ac:dyDescent="0.3">
      <c r="A224" t="s">
        <v>453</v>
      </c>
      <c r="B224" s="6">
        <v>45737</v>
      </c>
      <c r="C224" t="s">
        <v>454</v>
      </c>
      <c r="D224" t="s">
        <v>128</v>
      </c>
      <c r="E224" t="s">
        <v>202</v>
      </c>
      <c r="F224" t="s">
        <v>72</v>
      </c>
      <c r="G224" t="s">
        <v>88</v>
      </c>
      <c r="H224" t="s">
        <v>209</v>
      </c>
      <c r="I224">
        <v>4505.96</v>
      </c>
      <c r="J224">
        <v>4</v>
      </c>
      <c r="K224">
        <v>0.05</v>
      </c>
      <c r="L224">
        <v>826.72</v>
      </c>
      <c r="M224" t="s">
        <v>105</v>
      </c>
      <c r="N224" t="s">
        <v>80</v>
      </c>
      <c r="O224" t="str">
        <f t="shared" si="6"/>
        <v>Bad</v>
      </c>
      <c r="P224">
        <f t="shared" si="7"/>
        <v>1126.49</v>
      </c>
      <c r="Q224">
        <v>45737</v>
      </c>
      <c r="R224">
        <f>YEAR(Table1[[#This Row],[Order_Date_New]])</f>
        <v>2025</v>
      </c>
      <c r="S224">
        <f>MONTH(Table1[[#This Row],[Order_Date_New]])</f>
        <v>3</v>
      </c>
      <c r="T224" t="str">
        <f>TEXT(Table1[[#This Row],[Order_Date_New]],"mmmm")</f>
        <v>March</v>
      </c>
      <c r="U224">
        <f>Table1[[#This Row],[Profit]]/Table1[[#This Row],[Sales]]</f>
        <v>0.18347255634759296</v>
      </c>
      <c r="V224" t="str">
        <f>IF(Table1[[#This Row],[Discount]]=0,"No Discount",IF(Table1[[#This Row],[Discount]]&lt;=0.1,"Low",IF(Table1[[#This Row],[Discount]]&lt;=0.2,"medium","high")))</f>
        <v>Low</v>
      </c>
    </row>
    <row r="225" spans="1:22" x14ac:dyDescent="0.3">
      <c r="A225" t="s">
        <v>455</v>
      </c>
      <c r="B225" s="6">
        <v>45329</v>
      </c>
      <c r="C225" t="s">
        <v>361</v>
      </c>
      <c r="D225" t="s">
        <v>53</v>
      </c>
      <c r="E225" t="s">
        <v>54</v>
      </c>
      <c r="F225" t="s">
        <v>26</v>
      </c>
      <c r="G225" t="s">
        <v>35</v>
      </c>
      <c r="H225" t="s">
        <v>55</v>
      </c>
      <c r="I225">
        <v>3291.15</v>
      </c>
      <c r="J225">
        <v>5</v>
      </c>
      <c r="K225">
        <v>0.25</v>
      </c>
      <c r="L225">
        <v>113.67</v>
      </c>
      <c r="M225" t="s">
        <v>68</v>
      </c>
      <c r="N225" t="s">
        <v>80</v>
      </c>
      <c r="O225" t="str">
        <f t="shared" si="6"/>
        <v>Bad</v>
      </c>
      <c r="P225">
        <f t="shared" si="7"/>
        <v>658.23</v>
      </c>
      <c r="Q225">
        <v>45329</v>
      </c>
      <c r="R225">
        <f>YEAR(Table1[[#This Row],[Order_Date_New]])</f>
        <v>2024</v>
      </c>
      <c r="S225">
        <f>MONTH(Table1[[#This Row],[Order_Date_New]])</f>
        <v>2</v>
      </c>
      <c r="T225" t="str">
        <f>TEXT(Table1[[#This Row],[Order_Date_New]],"mmmm")</f>
        <v>February</v>
      </c>
      <c r="U225">
        <f>Table1[[#This Row],[Profit]]/Table1[[#This Row],[Sales]]</f>
        <v>3.4538079394740441E-2</v>
      </c>
      <c r="V225" t="str">
        <f>IF(Table1[[#This Row],[Discount]]=0,"No Discount",IF(Table1[[#This Row],[Discount]]&lt;=0.1,"Low",IF(Table1[[#This Row],[Discount]]&lt;=0.2,"medium","high")))</f>
        <v>high</v>
      </c>
    </row>
    <row r="226" spans="1:22" x14ac:dyDescent="0.3">
      <c r="A226" t="s">
        <v>456</v>
      </c>
      <c r="B226" s="6">
        <v>45827</v>
      </c>
      <c r="C226" t="s">
        <v>329</v>
      </c>
      <c r="D226" t="s">
        <v>24</v>
      </c>
      <c r="E226" t="s">
        <v>25</v>
      </c>
      <c r="F226" t="s">
        <v>60</v>
      </c>
      <c r="G226" t="s">
        <v>78</v>
      </c>
      <c r="H226" t="s">
        <v>125</v>
      </c>
      <c r="I226">
        <v>1311.12</v>
      </c>
      <c r="J226">
        <v>8</v>
      </c>
      <c r="K226">
        <v>0</v>
      </c>
      <c r="L226">
        <v>200.65</v>
      </c>
      <c r="M226" t="s">
        <v>29</v>
      </c>
      <c r="N226" t="s">
        <v>44</v>
      </c>
      <c r="O226" t="str">
        <f t="shared" si="6"/>
        <v>Bad</v>
      </c>
      <c r="P226">
        <f t="shared" si="7"/>
        <v>163.89</v>
      </c>
      <c r="Q226">
        <v>45827</v>
      </c>
      <c r="R226">
        <f>YEAR(Table1[[#This Row],[Order_Date_New]])</f>
        <v>2025</v>
      </c>
      <c r="S226">
        <f>MONTH(Table1[[#This Row],[Order_Date_New]])</f>
        <v>6</v>
      </c>
      <c r="T226" t="str">
        <f>TEXT(Table1[[#This Row],[Order_Date_New]],"mmmm")</f>
        <v>June</v>
      </c>
      <c r="U226">
        <f>Table1[[#This Row],[Profit]]/Table1[[#This Row],[Sales]]</f>
        <v>0.15303709805357255</v>
      </c>
      <c r="V226" t="str">
        <f>IF(Table1[[#This Row],[Discount]]=0,"No Discount",IF(Table1[[#This Row],[Discount]]&lt;=0.1,"Low",IF(Table1[[#This Row],[Discount]]&lt;=0.2,"medium","high")))</f>
        <v>No Discount</v>
      </c>
    </row>
    <row r="227" spans="1:22" x14ac:dyDescent="0.3">
      <c r="A227" t="s">
        <v>457</v>
      </c>
      <c r="B227" s="6">
        <v>45561</v>
      </c>
      <c r="C227" t="s">
        <v>458</v>
      </c>
      <c r="D227" t="s">
        <v>24</v>
      </c>
      <c r="E227" t="s">
        <v>25</v>
      </c>
      <c r="F227" t="s">
        <v>26</v>
      </c>
      <c r="G227" t="s">
        <v>27</v>
      </c>
      <c r="H227" t="s">
        <v>271</v>
      </c>
      <c r="I227">
        <v>9410.85</v>
      </c>
      <c r="J227">
        <v>9</v>
      </c>
      <c r="K227">
        <v>0.25</v>
      </c>
      <c r="L227">
        <v>-505.42</v>
      </c>
      <c r="M227" t="s">
        <v>29</v>
      </c>
      <c r="N227" t="s">
        <v>80</v>
      </c>
      <c r="O227" t="str">
        <f t="shared" si="6"/>
        <v>Good</v>
      </c>
      <c r="P227">
        <f t="shared" si="7"/>
        <v>1045.6500000000001</v>
      </c>
      <c r="Q227">
        <v>45561</v>
      </c>
      <c r="R227">
        <f>YEAR(Table1[[#This Row],[Order_Date_New]])</f>
        <v>2024</v>
      </c>
      <c r="S227">
        <f>MONTH(Table1[[#This Row],[Order_Date_New]])</f>
        <v>9</v>
      </c>
      <c r="T227" t="str">
        <f>TEXT(Table1[[#This Row],[Order_Date_New]],"mmmm")</f>
        <v>September</v>
      </c>
      <c r="U227">
        <f>Table1[[#This Row],[Profit]]/Table1[[#This Row],[Sales]]</f>
        <v>-5.3706094561065156E-2</v>
      </c>
      <c r="V227" t="str">
        <f>IF(Table1[[#This Row],[Discount]]=0,"No Discount",IF(Table1[[#This Row],[Discount]]&lt;=0.1,"Low",IF(Table1[[#This Row],[Discount]]&lt;=0.2,"medium","high")))</f>
        <v>high</v>
      </c>
    </row>
    <row r="228" spans="1:22" x14ac:dyDescent="0.3">
      <c r="A228" t="s">
        <v>459</v>
      </c>
      <c r="B228" s="6">
        <v>45919</v>
      </c>
      <c r="C228" t="s">
        <v>71</v>
      </c>
      <c r="D228" t="s">
        <v>53</v>
      </c>
      <c r="E228" t="s">
        <v>87</v>
      </c>
      <c r="F228" t="s">
        <v>72</v>
      </c>
      <c r="G228" t="s">
        <v>111</v>
      </c>
      <c r="H228" t="s">
        <v>182</v>
      </c>
      <c r="I228">
        <v>899.01</v>
      </c>
      <c r="J228">
        <v>9</v>
      </c>
      <c r="K228">
        <v>0</v>
      </c>
      <c r="L228">
        <v>201.68</v>
      </c>
      <c r="M228" t="s">
        <v>68</v>
      </c>
      <c r="N228" t="s">
        <v>38</v>
      </c>
      <c r="O228" t="str">
        <f t="shared" si="6"/>
        <v>Bad</v>
      </c>
      <c r="P228">
        <f t="shared" si="7"/>
        <v>99.89</v>
      </c>
      <c r="Q228">
        <v>45919</v>
      </c>
      <c r="R228">
        <f>YEAR(Table1[[#This Row],[Order_Date_New]])</f>
        <v>2025</v>
      </c>
      <c r="S228">
        <f>MONTH(Table1[[#This Row],[Order_Date_New]])</f>
        <v>9</v>
      </c>
      <c r="T228" t="str">
        <f>TEXT(Table1[[#This Row],[Order_Date_New]],"mmmm")</f>
        <v>September</v>
      </c>
      <c r="U228">
        <f>Table1[[#This Row],[Profit]]/Table1[[#This Row],[Sales]]</f>
        <v>0.224335658112813</v>
      </c>
      <c r="V228" t="str">
        <f>IF(Table1[[#This Row],[Discount]]=0,"No Discount",IF(Table1[[#This Row],[Discount]]&lt;=0.1,"Low",IF(Table1[[#This Row],[Discount]]&lt;=0.2,"medium","high")))</f>
        <v>No Discount</v>
      </c>
    </row>
    <row r="229" spans="1:22" x14ac:dyDescent="0.3">
      <c r="A229" t="s">
        <v>460</v>
      </c>
      <c r="B229" s="6">
        <v>45690</v>
      </c>
      <c r="C229" t="s">
        <v>154</v>
      </c>
      <c r="D229" t="s">
        <v>128</v>
      </c>
      <c r="E229" t="s">
        <v>129</v>
      </c>
      <c r="F229" t="s">
        <v>26</v>
      </c>
      <c r="G229" t="s">
        <v>27</v>
      </c>
      <c r="H229" t="s">
        <v>28</v>
      </c>
      <c r="I229">
        <v>2519.04</v>
      </c>
      <c r="J229">
        <v>6</v>
      </c>
      <c r="K229">
        <v>0</v>
      </c>
      <c r="L229">
        <v>427.19</v>
      </c>
      <c r="M229" t="s">
        <v>29</v>
      </c>
      <c r="N229" t="s">
        <v>80</v>
      </c>
      <c r="O229" t="str">
        <f t="shared" si="6"/>
        <v>Bad</v>
      </c>
      <c r="P229">
        <f t="shared" si="7"/>
        <v>419.84</v>
      </c>
      <c r="Q229">
        <v>45690</v>
      </c>
      <c r="R229">
        <f>YEAR(Table1[[#This Row],[Order_Date_New]])</f>
        <v>2025</v>
      </c>
      <c r="S229">
        <f>MONTH(Table1[[#This Row],[Order_Date_New]])</f>
        <v>2</v>
      </c>
      <c r="T229" t="str">
        <f>TEXT(Table1[[#This Row],[Order_Date_New]],"mmmm")</f>
        <v>February</v>
      </c>
      <c r="U229">
        <f>Table1[[#This Row],[Profit]]/Table1[[#This Row],[Sales]]</f>
        <v>0.16958444486788618</v>
      </c>
      <c r="V229" t="str">
        <f>IF(Table1[[#This Row],[Discount]]=0,"No Discount",IF(Table1[[#This Row],[Discount]]&lt;=0.1,"Low",IF(Table1[[#This Row],[Discount]]&lt;=0.2,"medium","high")))</f>
        <v>No Discount</v>
      </c>
    </row>
    <row r="230" spans="1:22" x14ac:dyDescent="0.3">
      <c r="A230" t="s">
        <v>461</v>
      </c>
      <c r="B230" s="6">
        <v>45521</v>
      </c>
      <c r="C230" t="s">
        <v>184</v>
      </c>
      <c r="D230" t="s">
        <v>53</v>
      </c>
      <c r="E230" t="s">
        <v>107</v>
      </c>
      <c r="F230" t="s">
        <v>72</v>
      </c>
      <c r="G230" t="s">
        <v>73</v>
      </c>
      <c r="H230" t="s">
        <v>74</v>
      </c>
      <c r="I230">
        <v>630.9</v>
      </c>
      <c r="J230">
        <v>5</v>
      </c>
      <c r="K230">
        <v>0.1</v>
      </c>
      <c r="L230">
        <v>213.13</v>
      </c>
      <c r="M230" t="s">
        <v>29</v>
      </c>
      <c r="N230" t="s">
        <v>44</v>
      </c>
      <c r="O230" t="str">
        <f t="shared" si="6"/>
        <v>Bad</v>
      </c>
      <c r="P230">
        <f t="shared" si="7"/>
        <v>126.17999999999999</v>
      </c>
      <c r="Q230">
        <v>45521</v>
      </c>
      <c r="R230">
        <f>YEAR(Table1[[#This Row],[Order_Date_New]])</f>
        <v>2024</v>
      </c>
      <c r="S230">
        <f>MONTH(Table1[[#This Row],[Order_Date_New]])</f>
        <v>8</v>
      </c>
      <c r="T230" t="str">
        <f>TEXT(Table1[[#This Row],[Order_Date_New]],"mmmm")</f>
        <v>August</v>
      </c>
      <c r="U230">
        <f>Table1[[#This Row],[Profit]]/Table1[[#This Row],[Sales]]</f>
        <v>0.33781898874623556</v>
      </c>
      <c r="V230" t="str">
        <f>IF(Table1[[#This Row],[Discount]]=0,"No Discount",IF(Table1[[#This Row],[Discount]]&lt;=0.1,"Low",IF(Table1[[#This Row],[Discount]]&lt;=0.2,"medium","high")))</f>
        <v>Low</v>
      </c>
    </row>
    <row r="231" spans="1:22" x14ac:dyDescent="0.3">
      <c r="A231" t="s">
        <v>462</v>
      </c>
      <c r="B231" s="6">
        <v>45759</v>
      </c>
      <c r="C231" t="s">
        <v>463</v>
      </c>
      <c r="D231" t="s">
        <v>24</v>
      </c>
      <c r="E231" t="s">
        <v>25</v>
      </c>
      <c r="F231" t="s">
        <v>26</v>
      </c>
      <c r="G231" t="s">
        <v>35</v>
      </c>
      <c r="H231" t="s">
        <v>36</v>
      </c>
      <c r="I231">
        <v>4326.28</v>
      </c>
      <c r="J231">
        <v>4</v>
      </c>
      <c r="K231">
        <v>0.3</v>
      </c>
      <c r="L231">
        <v>180.72</v>
      </c>
      <c r="M231" t="s">
        <v>90</v>
      </c>
      <c r="N231" t="s">
        <v>38</v>
      </c>
      <c r="O231" t="str">
        <f t="shared" si="6"/>
        <v>Bad</v>
      </c>
      <c r="P231">
        <f t="shared" si="7"/>
        <v>1081.57</v>
      </c>
      <c r="Q231">
        <v>45759</v>
      </c>
      <c r="R231">
        <f>YEAR(Table1[[#This Row],[Order_Date_New]])</f>
        <v>2025</v>
      </c>
      <c r="S231">
        <f>MONTH(Table1[[#This Row],[Order_Date_New]])</f>
        <v>4</v>
      </c>
      <c r="T231" t="str">
        <f>TEXT(Table1[[#This Row],[Order_Date_New]],"mmmm")</f>
        <v>April</v>
      </c>
      <c r="U231">
        <f>Table1[[#This Row],[Profit]]/Table1[[#This Row],[Sales]]</f>
        <v>4.17726083378792E-2</v>
      </c>
      <c r="V231" t="str">
        <f>IF(Table1[[#This Row],[Discount]]=0,"No Discount",IF(Table1[[#This Row],[Discount]]&lt;=0.1,"Low",IF(Table1[[#This Row],[Discount]]&lt;=0.2,"medium","high")))</f>
        <v>high</v>
      </c>
    </row>
    <row r="232" spans="1:22" x14ac:dyDescent="0.3">
      <c r="A232" t="s">
        <v>464</v>
      </c>
      <c r="B232" s="6">
        <v>45846</v>
      </c>
      <c r="C232" t="s">
        <v>65</v>
      </c>
      <c r="D232" t="s">
        <v>33</v>
      </c>
      <c r="E232" t="s">
        <v>118</v>
      </c>
      <c r="F232" t="s">
        <v>60</v>
      </c>
      <c r="G232" t="s">
        <v>78</v>
      </c>
      <c r="H232" t="s">
        <v>79</v>
      </c>
      <c r="I232">
        <v>6087.72</v>
      </c>
      <c r="J232">
        <v>6</v>
      </c>
      <c r="K232">
        <v>0.05</v>
      </c>
      <c r="L232">
        <v>561.76</v>
      </c>
      <c r="M232" t="s">
        <v>68</v>
      </c>
      <c r="N232" t="s">
        <v>44</v>
      </c>
      <c r="O232" t="str">
        <f t="shared" si="6"/>
        <v>Bad</v>
      </c>
      <c r="P232">
        <f t="shared" si="7"/>
        <v>1014.62</v>
      </c>
      <c r="Q232">
        <v>45846</v>
      </c>
      <c r="R232">
        <f>YEAR(Table1[[#This Row],[Order_Date_New]])</f>
        <v>2025</v>
      </c>
      <c r="S232">
        <f>MONTH(Table1[[#This Row],[Order_Date_New]])</f>
        <v>7</v>
      </c>
      <c r="T232" t="str">
        <f>TEXT(Table1[[#This Row],[Order_Date_New]],"mmmm")</f>
        <v>July</v>
      </c>
      <c r="U232">
        <f>Table1[[#This Row],[Profit]]/Table1[[#This Row],[Sales]]</f>
        <v>9.2277568613536753E-2</v>
      </c>
      <c r="V232" t="str">
        <f>IF(Table1[[#This Row],[Discount]]=0,"No Discount",IF(Table1[[#This Row],[Discount]]&lt;=0.1,"Low",IF(Table1[[#This Row],[Discount]]&lt;=0.2,"medium","high")))</f>
        <v>Low</v>
      </c>
    </row>
    <row r="233" spans="1:22" x14ac:dyDescent="0.3">
      <c r="A233" t="s">
        <v>465</v>
      </c>
      <c r="B233" s="6">
        <v>45491</v>
      </c>
      <c r="C233" t="s">
        <v>466</v>
      </c>
      <c r="D233" t="s">
        <v>128</v>
      </c>
      <c r="E233" t="s">
        <v>132</v>
      </c>
      <c r="F233" t="s">
        <v>72</v>
      </c>
      <c r="G233" t="s">
        <v>88</v>
      </c>
      <c r="H233" t="s">
        <v>89</v>
      </c>
      <c r="I233">
        <v>740.29</v>
      </c>
      <c r="J233">
        <v>1</v>
      </c>
      <c r="K233">
        <v>0.05</v>
      </c>
      <c r="L233">
        <v>103.14</v>
      </c>
      <c r="M233" t="s">
        <v>43</v>
      </c>
      <c r="N233" t="s">
        <v>44</v>
      </c>
      <c r="O233" t="str">
        <f t="shared" si="6"/>
        <v>Bad</v>
      </c>
      <c r="P233">
        <f t="shared" si="7"/>
        <v>740.29</v>
      </c>
      <c r="Q233">
        <v>45491</v>
      </c>
      <c r="R233">
        <f>YEAR(Table1[[#This Row],[Order_Date_New]])</f>
        <v>2024</v>
      </c>
      <c r="S233">
        <f>MONTH(Table1[[#This Row],[Order_Date_New]])</f>
        <v>7</v>
      </c>
      <c r="T233" t="str">
        <f>TEXT(Table1[[#This Row],[Order_Date_New]],"mmmm")</f>
        <v>July</v>
      </c>
      <c r="U233">
        <f>Table1[[#This Row],[Profit]]/Table1[[#This Row],[Sales]]</f>
        <v>0.13932377851922895</v>
      </c>
      <c r="V233" t="str">
        <f>IF(Table1[[#This Row],[Discount]]=0,"No Discount",IF(Table1[[#This Row],[Discount]]&lt;=0.1,"Low",IF(Table1[[#This Row],[Discount]]&lt;=0.2,"medium","high")))</f>
        <v>Low</v>
      </c>
    </row>
    <row r="234" spans="1:22" x14ac:dyDescent="0.3">
      <c r="A234" t="s">
        <v>467</v>
      </c>
      <c r="B234" s="6">
        <v>45302</v>
      </c>
      <c r="C234" t="s">
        <v>32</v>
      </c>
      <c r="D234" t="s">
        <v>53</v>
      </c>
      <c r="E234" t="s">
        <v>54</v>
      </c>
      <c r="F234" t="s">
        <v>60</v>
      </c>
      <c r="G234" t="s">
        <v>98</v>
      </c>
      <c r="H234" t="s">
        <v>138</v>
      </c>
      <c r="I234">
        <v>1873.5</v>
      </c>
      <c r="J234">
        <v>3</v>
      </c>
      <c r="K234">
        <v>0.05</v>
      </c>
      <c r="L234">
        <v>71.62</v>
      </c>
      <c r="M234" t="s">
        <v>49</v>
      </c>
      <c r="N234" t="s">
        <v>30</v>
      </c>
      <c r="O234" t="str">
        <f t="shared" si="6"/>
        <v>Bad</v>
      </c>
      <c r="P234">
        <f t="shared" si="7"/>
        <v>624.5</v>
      </c>
      <c r="Q234">
        <v>45302</v>
      </c>
      <c r="R234">
        <f>YEAR(Table1[[#This Row],[Order_Date_New]])</f>
        <v>2024</v>
      </c>
      <c r="S234">
        <f>MONTH(Table1[[#This Row],[Order_Date_New]])</f>
        <v>1</v>
      </c>
      <c r="T234" t="str">
        <f>TEXT(Table1[[#This Row],[Order_Date_New]],"mmmm")</f>
        <v>January</v>
      </c>
      <c r="U234">
        <f>Table1[[#This Row],[Profit]]/Table1[[#This Row],[Sales]]</f>
        <v>3.822791566586603E-2</v>
      </c>
      <c r="V234" t="str">
        <f>IF(Table1[[#This Row],[Discount]]=0,"No Discount",IF(Table1[[#This Row],[Discount]]&lt;=0.1,"Low",IF(Table1[[#This Row],[Discount]]&lt;=0.2,"medium","high")))</f>
        <v>Low</v>
      </c>
    </row>
    <row r="235" spans="1:22" x14ac:dyDescent="0.3">
      <c r="A235" t="s">
        <v>468</v>
      </c>
      <c r="B235" s="6">
        <v>45724</v>
      </c>
      <c r="C235" t="s">
        <v>347</v>
      </c>
      <c r="D235" t="s">
        <v>33</v>
      </c>
      <c r="E235" t="s">
        <v>66</v>
      </c>
      <c r="F235" t="s">
        <v>72</v>
      </c>
      <c r="G235" t="s">
        <v>73</v>
      </c>
      <c r="H235" t="s">
        <v>74</v>
      </c>
      <c r="I235">
        <v>2026.98</v>
      </c>
      <c r="J235">
        <v>2</v>
      </c>
      <c r="K235">
        <v>0.25</v>
      </c>
      <c r="L235">
        <v>-373.99</v>
      </c>
      <c r="M235" t="s">
        <v>37</v>
      </c>
      <c r="N235" t="s">
        <v>38</v>
      </c>
      <c r="O235" t="str">
        <f t="shared" si="6"/>
        <v>Bad</v>
      </c>
      <c r="P235">
        <f t="shared" si="7"/>
        <v>1013.49</v>
      </c>
      <c r="Q235">
        <v>45724</v>
      </c>
      <c r="R235">
        <f>YEAR(Table1[[#This Row],[Order_Date_New]])</f>
        <v>2025</v>
      </c>
      <c r="S235">
        <f>MONTH(Table1[[#This Row],[Order_Date_New]])</f>
        <v>3</v>
      </c>
      <c r="T235" t="str">
        <f>TEXT(Table1[[#This Row],[Order_Date_New]],"mmmm")</f>
        <v>March</v>
      </c>
      <c r="U235">
        <f>Table1[[#This Row],[Profit]]/Table1[[#This Row],[Sales]]</f>
        <v>-0.18450601387285517</v>
      </c>
      <c r="V235" t="str">
        <f>IF(Table1[[#This Row],[Discount]]=0,"No Discount",IF(Table1[[#This Row],[Discount]]&lt;=0.1,"Low",IF(Table1[[#This Row],[Discount]]&lt;=0.2,"medium","high")))</f>
        <v>high</v>
      </c>
    </row>
    <row r="236" spans="1:22" x14ac:dyDescent="0.3">
      <c r="A236" t="s">
        <v>469</v>
      </c>
      <c r="B236" s="6">
        <v>45544</v>
      </c>
      <c r="C236" t="s">
        <v>470</v>
      </c>
      <c r="D236" t="s">
        <v>33</v>
      </c>
      <c r="E236" t="s">
        <v>118</v>
      </c>
      <c r="F236" t="s">
        <v>60</v>
      </c>
      <c r="G236" t="s">
        <v>78</v>
      </c>
      <c r="H236" t="s">
        <v>222</v>
      </c>
      <c r="I236">
        <v>314.60000000000002</v>
      </c>
      <c r="J236">
        <v>4</v>
      </c>
      <c r="K236">
        <v>0.2</v>
      </c>
      <c r="L236">
        <v>-6.47</v>
      </c>
      <c r="M236" t="s">
        <v>29</v>
      </c>
      <c r="N236" t="s">
        <v>30</v>
      </c>
      <c r="O236" t="str">
        <f t="shared" si="6"/>
        <v>Bad</v>
      </c>
      <c r="P236">
        <f t="shared" si="7"/>
        <v>78.650000000000006</v>
      </c>
      <c r="Q236">
        <v>45544</v>
      </c>
      <c r="R236">
        <f>YEAR(Table1[[#This Row],[Order_Date_New]])</f>
        <v>2024</v>
      </c>
      <c r="S236">
        <f>MONTH(Table1[[#This Row],[Order_Date_New]])</f>
        <v>9</v>
      </c>
      <c r="T236" t="str">
        <f>TEXT(Table1[[#This Row],[Order_Date_New]],"mmmm")</f>
        <v>September</v>
      </c>
      <c r="U236">
        <f>Table1[[#This Row],[Profit]]/Table1[[#This Row],[Sales]]</f>
        <v>-2.0565797838525111E-2</v>
      </c>
      <c r="V236" t="str">
        <f>IF(Table1[[#This Row],[Discount]]=0,"No Discount",IF(Table1[[#This Row],[Discount]]&lt;=0.1,"Low",IF(Table1[[#This Row],[Discount]]&lt;=0.2,"medium","high")))</f>
        <v>medium</v>
      </c>
    </row>
    <row r="237" spans="1:22" x14ac:dyDescent="0.3">
      <c r="A237" t="s">
        <v>471</v>
      </c>
      <c r="B237" s="6">
        <v>45787</v>
      </c>
      <c r="C237" t="s">
        <v>231</v>
      </c>
      <c r="D237" t="s">
        <v>53</v>
      </c>
      <c r="E237" t="s">
        <v>77</v>
      </c>
      <c r="F237" t="s">
        <v>60</v>
      </c>
      <c r="G237" t="s">
        <v>98</v>
      </c>
      <c r="H237" t="s">
        <v>141</v>
      </c>
      <c r="I237">
        <v>934.32</v>
      </c>
      <c r="J237">
        <v>3</v>
      </c>
      <c r="K237">
        <v>0.1</v>
      </c>
      <c r="L237">
        <v>266.76</v>
      </c>
      <c r="M237" t="s">
        <v>43</v>
      </c>
      <c r="N237" t="s">
        <v>30</v>
      </c>
      <c r="O237" t="str">
        <f t="shared" si="6"/>
        <v>Bad</v>
      </c>
      <c r="P237">
        <f t="shared" si="7"/>
        <v>311.44</v>
      </c>
      <c r="Q237">
        <v>45787</v>
      </c>
      <c r="R237">
        <f>YEAR(Table1[[#This Row],[Order_Date_New]])</f>
        <v>2025</v>
      </c>
      <c r="S237">
        <f>MONTH(Table1[[#This Row],[Order_Date_New]])</f>
        <v>5</v>
      </c>
      <c r="T237" t="str">
        <f>TEXT(Table1[[#This Row],[Order_Date_New]],"mmmm")</f>
        <v>May</v>
      </c>
      <c r="U237">
        <f>Table1[[#This Row],[Profit]]/Table1[[#This Row],[Sales]]</f>
        <v>0.28551245825841248</v>
      </c>
      <c r="V237" t="str">
        <f>IF(Table1[[#This Row],[Discount]]=0,"No Discount",IF(Table1[[#This Row],[Discount]]&lt;=0.1,"Low",IF(Table1[[#This Row],[Discount]]&lt;=0.2,"medium","high")))</f>
        <v>Low</v>
      </c>
    </row>
    <row r="238" spans="1:22" x14ac:dyDescent="0.3">
      <c r="A238" t="s">
        <v>472</v>
      </c>
      <c r="B238" s="6">
        <v>45930</v>
      </c>
      <c r="C238" t="s">
        <v>290</v>
      </c>
      <c r="D238" t="s">
        <v>53</v>
      </c>
      <c r="E238" t="s">
        <v>87</v>
      </c>
      <c r="F238" t="s">
        <v>60</v>
      </c>
      <c r="G238" t="s">
        <v>61</v>
      </c>
      <c r="H238" t="s">
        <v>67</v>
      </c>
      <c r="I238">
        <v>743.13</v>
      </c>
      <c r="J238">
        <v>9</v>
      </c>
      <c r="K238">
        <v>0.2</v>
      </c>
      <c r="L238">
        <v>-85.62</v>
      </c>
      <c r="M238" t="s">
        <v>37</v>
      </c>
      <c r="N238" t="s">
        <v>38</v>
      </c>
      <c r="O238" t="str">
        <f t="shared" si="6"/>
        <v>Bad</v>
      </c>
      <c r="P238">
        <f t="shared" si="7"/>
        <v>82.57</v>
      </c>
      <c r="Q238">
        <v>45930</v>
      </c>
      <c r="R238">
        <f>YEAR(Table1[[#This Row],[Order_Date_New]])</f>
        <v>2025</v>
      </c>
      <c r="S238">
        <f>MONTH(Table1[[#This Row],[Order_Date_New]])</f>
        <v>9</v>
      </c>
      <c r="T238" t="str">
        <f>TEXT(Table1[[#This Row],[Order_Date_New]],"mmmm")</f>
        <v>September</v>
      </c>
      <c r="U238">
        <f>Table1[[#This Row],[Profit]]/Table1[[#This Row],[Sales]]</f>
        <v>-0.11521537281498527</v>
      </c>
      <c r="V238" t="str">
        <f>IF(Table1[[#This Row],[Discount]]=0,"No Discount",IF(Table1[[#This Row],[Discount]]&lt;=0.1,"Low",IF(Table1[[#This Row],[Discount]]&lt;=0.2,"medium","high")))</f>
        <v>medium</v>
      </c>
    </row>
    <row r="239" spans="1:22" x14ac:dyDescent="0.3">
      <c r="A239" t="s">
        <v>473</v>
      </c>
      <c r="B239" s="6">
        <v>45591</v>
      </c>
      <c r="C239" t="s">
        <v>474</v>
      </c>
      <c r="D239" t="s">
        <v>33</v>
      </c>
      <c r="E239" t="s">
        <v>48</v>
      </c>
      <c r="F239" t="s">
        <v>72</v>
      </c>
      <c r="G239" t="s">
        <v>73</v>
      </c>
      <c r="H239" t="s">
        <v>293</v>
      </c>
      <c r="I239">
        <v>1885.6</v>
      </c>
      <c r="J239">
        <v>2</v>
      </c>
      <c r="K239">
        <v>0.2</v>
      </c>
      <c r="L239">
        <v>148.38</v>
      </c>
      <c r="M239" t="s">
        <v>37</v>
      </c>
      <c r="N239" t="s">
        <v>30</v>
      </c>
      <c r="O239" t="str">
        <f t="shared" si="6"/>
        <v>Bad</v>
      </c>
      <c r="P239">
        <f t="shared" si="7"/>
        <v>942.8</v>
      </c>
      <c r="Q239">
        <v>45591</v>
      </c>
      <c r="R239">
        <f>YEAR(Table1[[#This Row],[Order_Date_New]])</f>
        <v>2024</v>
      </c>
      <c r="S239">
        <f>MONTH(Table1[[#This Row],[Order_Date_New]])</f>
        <v>10</v>
      </c>
      <c r="T239" t="str">
        <f>TEXT(Table1[[#This Row],[Order_Date_New]],"mmmm")</f>
        <v>October</v>
      </c>
      <c r="U239">
        <f>Table1[[#This Row],[Profit]]/Table1[[#This Row],[Sales]]</f>
        <v>7.869113279592703E-2</v>
      </c>
      <c r="V239" t="str">
        <f>IF(Table1[[#This Row],[Discount]]=0,"No Discount",IF(Table1[[#This Row],[Discount]]&lt;=0.1,"Low",IF(Table1[[#This Row],[Discount]]&lt;=0.2,"medium","high")))</f>
        <v>medium</v>
      </c>
    </row>
    <row r="240" spans="1:22" x14ac:dyDescent="0.3">
      <c r="A240" t="s">
        <v>475</v>
      </c>
      <c r="B240" s="6">
        <v>45688</v>
      </c>
      <c r="C240" t="s">
        <v>393</v>
      </c>
      <c r="D240" t="s">
        <v>24</v>
      </c>
      <c r="E240" t="s">
        <v>84</v>
      </c>
      <c r="F240" t="s">
        <v>72</v>
      </c>
      <c r="G240" t="s">
        <v>111</v>
      </c>
      <c r="H240" t="s">
        <v>112</v>
      </c>
      <c r="I240">
        <v>7725.92</v>
      </c>
      <c r="J240">
        <v>8</v>
      </c>
      <c r="K240">
        <v>0.15</v>
      </c>
      <c r="L240">
        <v>1076.1199999999999</v>
      </c>
      <c r="M240" t="s">
        <v>43</v>
      </c>
      <c r="N240" t="s">
        <v>38</v>
      </c>
      <c r="O240" t="str">
        <f t="shared" si="6"/>
        <v>Good</v>
      </c>
      <c r="P240">
        <f t="shared" si="7"/>
        <v>965.74</v>
      </c>
      <c r="Q240">
        <v>45688</v>
      </c>
      <c r="R240">
        <f>YEAR(Table1[[#This Row],[Order_Date_New]])</f>
        <v>2025</v>
      </c>
      <c r="S240">
        <f>MONTH(Table1[[#This Row],[Order_Date_New]])</f>
        <v>1</v>
      </c>
      <c r="T240" t="str">
        <f>TEXT(Table1[[#This Row],[Order_Date_New]],"mmmm")</f>
        <v>January</v>
      </c>
      <c r="U240">
        <f>Table1[[#This Row],[Profit]]/Table1[[#This Row],[Sales]]</f>
        <v>0.13928697164868389</v>
      </c>
      <c r="V240" t="str">
        <f>IF(Table1[[#This Row],[Discount]]=0,"No Discount",IF(Table1[[#This Row],[Discount]]&lt;=0.1,"Low",IF(Table1[[#This Row],[Discount]]&lt;=0.2,"medium","high")))</f>
        <v>medium</v>
      </c>
    </row>
    <row r="241" spans="1:22" x14ac:dyDescent="0.3">
      <c r="A241" t="s">
        <v>476</v>
      </c>
      <c r="B241" s="6">
        <v>45333</v>
      </c>
      <c r="C241" t="s">
        <v>117</v>
      </c>
      <c r="D241" t="s">
        <v>53</v>
      </c>
      <c r="E241" t="s">
        <v>87</v>
      </c>
      <c r="F241" t="s">
        <v>26</v>
      </c>
      <c r="G241" t="s">
        <v>27</v>
      </c>
      <c r="H241" t="s">
        <v>200</v>
      </c>
      <c r="I241">
        <v>123</v>
      </c>
      <c r="J241">
        <v>1</v>
      </c>
      <c r="K241">
        <v>0</v>
      </c>
      <c r="L241">
        <v>15.55</v>
      </c>
      <c r="M241" t="s">
        <v>133</v>
      </c>
      <c r="N241" t="s">
        <v>80</v>
      </c>
      <c r="O241" t="str">
        <f t="shared" si="6"/>
        <v>Bad</v>
      </c>
      <c r="P241">
        <f t="shared" si="7"/>
        <v>123</v>
      </c>
      <c r="Q241">
        <v>45333</v>
      </c>
      <c r="R241">
        <f>YEAR(Table1[[#This Row],[Order_Date_New]])</f>
        <v>2024</v>
      </c>
      <c r="S241">
        <f>MONTH(Table1[[#This Row],[Order_Date_New]])</f>
        <v>2</v>
      </c>
      <c r="T241" t="str">
        <f>TEXT(Table1[[#This Row],[Order_Date_New]],"mmmm")</f>
        <v>February</v>
      </c>
      <c r="U241">
        <f>Table1[[#This Row],[Profit]]/Table1[[#This Row],[Sales]]</f>
        <v>0.12642276422764229</v>
      </c>
      <c r="V241" t="str">
        <f>IF(Table1[[#This Row],[Discount]]=0,"No Discount",IF(Table1[[#This Row],[Discount]]&lt;=0.1,"Low",IF(Table1[[#This Row],[Discount]]&lt;=0.2,"medium","high")))</f>
        <v>No Discount</v>
      </c>
    </row>
    <row r="242" spans="1:22" x14ac:dyDescent="0.3">
      <c r="A242" t="s">
        <v>477</v>
      </c>
      <c r="B242" s="6">
        <v>45876</v>
      </c>
      <c r="C242" t="s">
        <v>276</v>
      </c>
      <c r="D242" t="s">
        <v>53</v>
      </c>
      <c r="E242" t="s">
        <v>54</v>
      </c>
      <c r="F242" t="s">
        <v>26</v>
      </c>
      <c r="G242" t="s">
        <v>41</v>
      </c>
      <c r="H242" t="s">
        <v>108</v>
      </c>
      <c r="I242">
        <v>366.1</v>
      </c>
      <c r="J242">
        <v>7</v>
      </c>
      <c r="K242">
        <v>0.1</v>
      </c>
      <c r="L242">
        <v>107.63</v>
      </c>
      <c r="M242" t="s">
        <v>113</v>
      </c>
      <c r="N242" t="s">
        <v>38</v>
      </c>
      <c r="O242" t="str">
        <f t="shared" si="6"/>
        <v>Bad</v>
      </c>
      <c r="P242">
        <f t="shared" si="7"/>
        <v>52.300000000000004</v>
      </c>
      <c r="Q242">
        <v>45876</v>
      </c>
      <c r="R242">
        <f>YEAR(Table1[[#This Row],[Order_Date_New]])</f>
        <v>2025</v>
      </c>
      <c r="S242">
        <f>MONTH(Table1[[#This Row],[Order_Date_New]])</f>
        <v>8</v>
      </c>
      <c r="T242" t="str">
        <f>TEXT(Table1[[#This Row],[Order_Date_New]],"mmmm")</f>
        <v>August</v>
      </c>
      <c r="U242">
        <f>Table1[[#This Row],[Profit]]/Table1[[#This Row],[Sales]]</f>
        <v>0.2939907129199672</v>
      </c>
      <c r="V242" t="str">
        <f>IF(Table1[[#This Row],[Discount]]=0,"No Discount",IF(Table1[[#This Row],[Discount]]&lt;=0.1,"Low",IF(Table1[[#This Row],[Discount]]&lt;=0.2,"medium","high")))</f>
        <v>Low</v>
      </c>
    </row>
    <row r="243" spans="1:22" x14ac:dyDescent="0.3">
      <c r="A243" t="s">
        <v>478</v>
      </c>
      <c r="B243" s="6">
        <v>46015</v>
      </c>
      <c r="C243" t="s">
        <v>479</v>
      </c>
      <c r="D243" t="s">
        <v>24</v>
      </c>
      <c r="E243" t="s">
        <v>59</v>
      </c>
      <c r="F243" t="s">
        <v>26</v>
      </c>
      <c r="G243" t="s">
        <v>27</v>
      </c>
      <c r="H243" t="s">
        <v>271</v>
      </c>
      <c r="I243">
        <v>1039.4000000000001</v>
      </c>
      <c r="J243">
        <v>10</v>
      </c>
      <c r="K243">
        <v>0.1</v>
      </c>
      <c r="L243">
        <v>265.93</v>
      </c>
      <c r="M243" t="s">
        <v>68</v>
      </c>
      <c r="N243" t="s">
        <v>30</v>
      </c>
      <c r="O243" t="str">
        <f t="shared" si="6"/>
        <v>Bad</v>
      </c>
      <c r="P243">
        <f t="shared" si="7"/>
        <v>103.94000000000001</v>
      </c>
      <c r="Q243">
        <v>46015</v>
      </c>
      <c r="R243">
        <f>YEAR(Table1[[#This Row],[Order_Date_New]])</f>
        <v>2025</v>
      </c>
      <c r="S243">
        <f>MONTH(Table1[[#This Row],[Order_Date_New]])</f>
        <v>12</v>
      </c>
      <c r="T243" t="str">
        <f>TEXT(Table1[[#This Row],[Order_Date_New]],"mmmm")</f>
        <v>December</v>
      </c>
      <c r="U243">
        <f>Table1[[#This Row],[Profit]]/Table1[[#This Row],[Sales]]</f>
        <v>0.25584952857417742</v>
      </c>
      <c r="V243" t="str">
        <f>IF(Table1[[#This Row],[Discount]]=0,"No Discount",IF(Table1[[#This Row],[Discount]]&lt;=0.1,"Low",IF(Table1[[#This Row],[Discount]]&lt;=0.2,"medium","high")))</f>
        <v>Low</v>
      </c>
    </row>
    <row r="244" spans="1:22" x14ac:dyDescent="0.3">
      <c r="A244" t="s">
        <v>480</v>
      </c>
      <c r="B244" s="6">
        <v>45721</v>
      </c>
      <c r="C244" t="s">
        <v>481</v>
      </c>
      <c r="D244" t="s">
        <v>33</v>
      </c>
      <c r="E244" t="s">
        <v>48</v>
      </c>
      <c r="F244" t="s">
        <v>72</v>
      </c>
      <c r="G244" t="s">
        <v>111</v>
      </c>
      <c r="H244" t="s">
        <v>182</v>
      </c>
      <c r="I244">
        <v>4093.56</v>
      </c>
      <c r="J244">
        <v>9</v>
      </c>
      <c r="K244">
        <v>0.05</v>
      </c>
      <c r="L244">
        <v>872.03</v>
      </c>
      <c r="M244" t="s">
        <v>43</v>
      </c>
      <c r="N244" t="s">
        <v>30</v>
      </c>
      <c r="O244" t="str">
        <f t="shared" si="6"/>
        <v>Bad</v>
      </c>
      <c r="P244">
        <f t="shared" si="7"/>
        <v>454.84</v>
      </c>
      <c r="Q244">
        <v>45721</v>
      </c>
      <c r="R244">
        <f>YEAR(Table1[[#This Row],[Order_Date_New]])</f>
        <v>2025</v>
      </c>
      <c r="S244">
        <f>MONTH(Table1[[#This Row],[Order_Date_New]])</f>
        <v>3</v>
      </c>
      <c r="T244" t="str">
        <f>TEXT(Table1[[#This Row],[Order_Date_New]],"mmmm")</f>
        <v>March</v>
      </c>
      <c r="U244">
        <f>Table1[[#This Row],[Profit]]/Table1[[#This Row],[Sales]]</f>
        <v>0.213024848786875</v>
      </c>
      <c r="V244" t="str">
        <f>IF(Table1[[#This Row],[Discount]]=0,"No Discount",IF(Table1[[#This Row],[Discount]]&lt;=0.1,"Low",IF(Table1[[#This Row],[Discount]]&lt;=0.2,"medium","high")))</f>
        <v>Low</v>
      </c>
    </row>
    <row r="245" spans="1:22" x14ac:dyDescent="0.3">
      <c r="A245" t="s">
        <v>482</v>
      </c>
      <c r="B245" s="6">
        <v>45786</v>
      </c>
      <c r="C245" t="s">
        <v>483</v>
      </c>
      <c r="D245" t="s">
        <v>53</v>
      </c>
      <c r="E245" t="s">
        <v>87</v>
      </c>
      <c r="F245" t="s">
        <v>26</v>
      </c>
      <c r="G245" t="s">
        <v>35</v>
      </c>
      <c r="H245" t="s">
        <v>55</v>
      </c>
      <c r="I245">
        <v>5267.2</v>
      </c>
      <c r="J245">
        <v>5</v>
      </c>
      <c r="K245">
        <v>0.3</v>
      </c>
      <c r="L245">
        <v>289.19</v>
      </c>
      <c r="M245" t="s">
        <v>170</v>
      </c>
      <c r="N245" t="s">
        <v>38</v>
      </c>
      <c r="O245" t="str">
        <f t="shared" si="6"/>
        <v>Bad</v>
      </c>
      <c r="P245">
        <f t="shared" si="7"/>
        <v>1053.44</v>
      </c>
      <c r="Q245">
        <v>45786</v>
      </c>
      <c r="R245">
        <f>YEAR(Table1[[#This Row],[Order_Date_New]])</f>
        <v>2025</v>
      </c>
      <c r="S245">
        <f>MONTH(Table1[[#This Row],[Order_Date_New]])</f>
        <v>5</v>
      </c>
      <c r="T245" t="str">
        <f>TEXT(Table1[[#This Row],[Order_Date_New]],"mmmm")</f>
        <v>May</v>
      </c>
      <c r="U245">
        <f>Table1[[#This Row],[Profit]]/Table1[[#This Row],[Sales]]</f>
        <v>5.4903933778857841E-2</v>
      </c>
      <c r="V245" t="str">
        <f>IF(Table1[[#This Row],[Discount]]=0,"No Discount",IF(Table1[[#This Row],[Discount]]&lt;=0.1,"Low",IF(Table1[[#This Row],[Discount]]&lt;=0.2,"medium","high")))</f>
        <v>high</v>
      </c>
    </row>
    <row r="246" spans="1:22" x14ac:dyDescent="0.3">
      <c r="A246" t="s">
        <v>484</v>
      </c>
      <c r="B246" s="6">
        <v>45821</v>
      </c>
      <c r="C246" t="s">
        <v>485</v>
      </c>
      <c r="D246" t="s">
        <v>33</v>
      </c>
      <c r="E246" t="s">
        <v>66</v>
      </c>
      <c r="F246" t="s">
        <v>72</v>
      </c>
      <c r="G246" t="s">
        <v>73</v>
      </c>
      <c r="H246" t="s">
        <v>293</v>
      </c>
      <c r="I246">
        <v>1542.69</v>
      </c>
      <c r="J246">
        <v>9</v>
      </c>
      <c r="K246">
        <v>0.3</v>
      </c>
      <c r="L246">
        <v>38.020000000000003</v>
      </c>
      <c r="M246" t="s">
        <v>133</v>
      </c>
      <c r="N246" t="s">
        <v>44</v>
      </c>
      <c r="O246" t="str">
        <f t="shared" si="6"/>
        <v>Bad</v>
      </c>
      <c r="P246">
        <f t="shared" si="7"/>
        <v>171.41</v>
      </c>
      <c r="Q246">
        <v>45821</v>
      </c>
      <c r="R246">
        <f>YEAR(Table1[[#This Row],[Order_Date_New]])</f>
        <v>2025</v>
      </c>
      <c r="S246">
        <f>MONTH(Table1[[#This Row],[Order_Date_New]])</f>
        <v>6</v>
      </c>
      <c r="T246" t="str">
        <f>TEXT(Table1[[#This Row],[Order_Date_New]],"mmmm")</f>
        <v>June</v>
      </c>
      <c r="U246">
        <f>Table1[[#This Row],[Profit]]/Table1[[#This Row],[Sales]]</f>
        <v>2.4645262496029663E-2</v>
      </c>
      <c r="V246" t="str">
        <f>IF(Table1[[#This Row],[Discount]]=0,"No Discount",IF(Table1[[#This Row],[Discount]]&lt;=0.1,"Low",IF(Table1[[#This Row],[Discount]]&lt;=0.2,"medium","high")))</f>
        <v>high</v>
      </c>
    </row>
    <row r="247" spans="1:22" x14ac:dyDescent="0.3">
      <c r="A247" t="s">
        <v>486</v>
      </c>
      <c r="B247" s="6">
        <v>45851</v>
      </c>
      <c r="C247" t="s">
        <v>290</v>
      </c>
      <c r="D247" t="s">
        <v>53</v>
      </c>
      <c r="E247" t="s">
        <v>107</v>
      </c>
      <c r="F247" t="s">
        <v>72</v>
      </c>
      <c r="G247" t="s">
        <v>88</v>
      </c>
      <c r="H247" t="s">
        <v>119</v>
      </c>
      <c r="I247">
        <v>685.38</v>
      </c>
      <c r="J247">
        <v>6</v>
      </c>
      <c r="K247">
        <v>0.2</v>
      </c>
      <c r="L247">
        <v>109.82</v>
      </c>
      <c r="M247" t="s">
        <v>49</v>
      </c>
      <c r="N247" t="s">
        <v>80</v>
      </c>
      <c r="O247" t="str">
        <f t="shared" si="6"/>
        <v>Bad</v>
      </c>
      <c r="P247">
        <f t="shared" si="7"/>
        <v>114.23</v>
      </c>
      <c r="Q247">
        <v>45851</v>
      </c>
      <c r="R247">
        <f>YEAR(Table1[[#This Row],[Order_Date_New]])</f>
        <v>2025</v>
      </c>
      <c r="S247">
        <f>MONTH(Table1[[#This Row],[Order_Date_New]])</f>
        <v>7</v>
      </c>
      <c r="T247" t="str">
        <f>TEXT(Table1[[#This Row],[Order_Date_New]],"mmmm")</f>
        <v>July</v>
      </c>
      <c r="U247">
        <f>Table1[[#This Row],[Profit]]/Table1[[#This Row],[Sales]]</f>
        <v>0.16023227990311942</v>
      </c>
      <c r="V247" t="str">
        <f>IF(Table1[[#This Row],[Discount]]=0,"No Discount",IF(Table1[[#This Row],[Discount]]&lt;=0.1,"Low",IF(Table1[[#This Row],[Discount]]&lt;=0.2,"medium","high")))</f>
        <v>medium</v>
      </c>
    </row>
    <row r="248" spans="1:22" x14ac:dyDescent="0.3">
      <c r="A248" t="s">
        <v>487</v>
      </c>
      <c r="B248" s="6">
        <v>45854</v>
      </c>
      <c r="C248" t="s">
        <v>285</v>
      </c>
      <c r="D248" t="s">
        <v>53</v>
      </c>
      <c r="E248" t="s">
        <v>107</v>
      </c>
      <c r="F248" t="s">
        <v>26</v>
      </c>
      <c r="G248" t="s">
        <v>35</v>
      </c>
      <c r="H248" t="s">
        <v>36</v>
      </c>
      <c r="I248">
        <v>1548.19</v>
      </c>
      <c r="J248">
        <v>7</v>
      </c>
      <c r="K248">
        <v>0.25</v>
      </c>
      <c r="L248">
        <v>-103.91</v>
      </c>
      <c r="M248" t="s">
        <v>113</v>
      </c>
      <c r="N248" t="s">
        <v>44</v>
      </c>
      <c r="O248" t="str">
        <f t="shared" si="6"/>
        <v>Bad</v>
      </c>
      <c r="P248">
        <f t="shared" si="7"/>
        <v>221.17000000000002</v>
      </c>
      <c r="Q248">
        <v>45854</v>
      </c>
      <c r="R248">
        <f>YEAR(Table1[[#This Row],[Order_Date_New]])</f>
        <v>2025</v>
      </c>
      <c r="S248">
        <f>MONTH(Table1[[#This Row],[Order_Date_New]])</f>
        <v>7</v>
      </c>
      <c r="T248" t="str">
        <f>TEXT(Table1[[#This Row],[Order_Date_New]],"mmmm")</f>
        <v>July</v>
      </c>
      <c r="U248">
        <f>Table1[[#This Row],[Profit]]/Table1[[#This Row],[Sales]]</f>
        <v>-6.7117085112292418E-2</v>
      </c>
      <c r="V248" t="str">
        <f>IF(Table1[[#This Row],[Discount]]=0,"No Discount",IF(Table1[[#This Row],[Discount]]&lt;=0.1,"Low",IF(Table1[[#This Row],[Discount]]&lt;=0.2,"medium","high")))</f>
        <v>high</v>
      </c>
    </row>
    <row r="249" spans="1:22" x14ac:dyDescent="0.3">
      <c r="A249" t="s">
        <v>488</v>
      </c>
      <c r="B249" s="6">
        <v>45365</v>
      </c>
      <c r="C249" t="s">
        <v>110</v>
      </c>
      <c r="D249" t="s">
        <v>128</v>
      </c>
      <c r="E249" t="s">
        <v>202</v>
      </c>
      <c r="F249" t="s">
        <v>72</v>
      </c>
      <c r="G249" t="s">
        <v>111</v>
      </c>
      <c r="H249" t="s">
        <v>182</v>
      </c>
      <c r="I249">
        <v>5036.3999999999996</v>
      </c>
      <c r="J249">
        <v>6</v>
      </c>
      <c r="K249">
        <v>0</v>
      </c>
      <c r="L249">
        <v>2181.09</v>
      </c>
      <c r="M249" t="s">
        <v>49</v>
      </c>
      <c r="N249" t="s">
        <v>44</v>
      </c>
      <c r="O249" t="str">
        <f t="shared" si="6"/>
        <v>Bad</v>
      </c>
      <c r="P249">
        <f t="shared" si="7"/>
        <v>839.4</v>
      </c>
      <c r="Q249">
        <v>45365</v>
      </c>
      <c r="R249">
        <f>YEAR(Table1[[#This Row],[Order_Date_New]])</f>
        <v>2024</v>
      </c>
      <c r="S249">
        <f>MONTH(Table1[[#This Row],[Order_Date_New]])</f>
        <v>3</v>
      </c>
      <c r="T249" t="str">
        <f>TEXT(Table1[[#This Row],[Order_Date_New]],"mmmm")</f>
        <v>March</v>
      </c>
      <c r="U249">
        <f>Table1[[#This Row],[Profit]]/Table1[[#This Row],[Sales]]</f>
        <v>0.43306528472718614</v>
      </c>
      <c r="V249" t="str">
        <f>IF(Table1[[#This Row],[Discount]]=0,"No Discount",IF(Table1[[#This Row],[Discount]]&lt;=0.1,"Low",IF(Table1[[#This Row],[Discount]]&lt;=0.2,"medium","high")))</f>
        <v>No Discount</v>
      </c>
    </row>
    <row r="250" spans="1:22" x14ac:dyDescent="0.3">
      <c r="A250" t="s">
        <v>489</v>
      </c>
      <c r="B250" s="6">
        <v>45307</v>
      </c>
      <c r="C250" t="s">
        <v>490</v>
      </c>
      <c r="D250" t="s">
        <v>24</v>
      </c>
      <c r="E250" t="s">
        <v>84</v>
      </c>
      <c r="F250" t="s">
        <v>60</v>
      </c>
      <c r="G250" t="s">
        <v>98</v>
      </c>
      <c r="H250" t="s">
        <v>141</v>
      </c>
      <c r="I250">
        <v>3679.14</v>
      </c>
      <c r="J250">
        <v>6</v>
      </c>
      <c r="K250">
        <v>0.25</v>
      </c>
      <c r="L250">
        <v>-598.41999999999996</v>
      </c>
      <c r="M250" t="s">
        <v>113</v>
      </c>
      <c r="N250" t="s">
        <v>44</v>
      </c>
      <c r="O250" t="str">
        <f t="shared" si="6"/>
        <v>Bad</v>
      </c>
      <c r="P250">
        <f t="shared" si="7"/>
        <v>613.18999999999994</v>
      </c>
      <c r="Q250">
        <v>45307</v>
      </c>
      <c r="R250">
        <f>YEAR(Table1[[#This Row],[Order_Date_New]])</f>
        <v>2024</v>
      </c>
      <c r="S250">
        <f>MONTH(Table1[[#This Row],[Order_Date_New]])</f>
        <v>1</v>
      </c>
      <c r="T250" t="str">
        <f>TEXT(Table1[[#This Row],[Order_Date_New]],"mmmm")</f>
        <v>January</v>
      </c>
      <c r="U250">
        <f>Table1[[#This Row],[Profit]]/Table1[[#This Row],[Sales]]</f>
        <v>-0.16265214153307567</v>
      </c>
      <c r="V250" t="str">
        <f>IF(Table1[[#This Row],[Discount]]=0,"No Discount",IF(Table1[[#This Row],[Discount]]&lt;=0.1,"Low",IF(Table1[[#This Row],[Discount]]&lt;=0.2,"medium","high")))</f>
        <v>high</v>
      </c>
    </row>
    <row r="251" spans="1:22" x14ac:dyDescent="0.3">
      <c r="A251" t="s">
        <v>491</v>
      </c>
      <c r="B251" s="6">
        <v>45326</v>
      </c>
      <c r="C251" t="s">
        <v>156</v>
      </c>
      <c r="D251" t="s">
        <v>33</v>
      </c>
      <c r="E251" t="s">
        <v>118</v>
      </c>
      <c r="F251" t="s">
        <v>72</v>
      </c>
      <c r="G251" t="s">
        <v>88</v>
      </c>
      <c r="H251" t="s">
        <v>89</v>
      </c>
      <c r="I251">
        <v>3349.71</v>
      </c>
      <c r="J251">
        <v>7</v>
      </c>
      <c r="K251">
        <v>0.1</v>
      </c>
      <c r="L251">
        <v>696.57</v>
      </c>
      <c r="M251" t="s">
        <v>29</v>
      </c>
      <c r="N251" t="s">
        <v>80</v>
      </c>
      <c r="O251" t="str">
        <f t="shared" si="6"/>
        <v>Bad</v>
      </c>
      <c r="P251">
        <f t="shared" si="7"/>
        <v>478.53000000000003</v>
      </c>
      <c r="Q251">
        <v>45326</v>
      </c>
      <c r="R251">
        <f>YEAR(Table1[[#This Row],[Order_Date_New]])</f>
        <v>2024</v>
      </c>
      <c r="S251">
        <f>MONTH(Table1[[#This Row],[Order_Date_New]])</f>
        <v>2</v>
      </c>
      <c r="T251" t="str">
        <f>TEXT(Table1[[#This Row],[Order_Date_New]],"mmmm")</f>
        <v>February</v>
      </c>
      <c r="U251">
        <f>Table1[[#This Row],[Profit]]/Table1[[#This Row],[Sales]]</f>
        <v>0.20794934486866029</v>
      </c>
      <c r="V251" t="str">
        <f>IF(Table1[[#This Row],[Discount]]=0,"No Discount",IF(Table1[[#This Row],[Discount]]&lt;=0.1,"Low",IF(Table1[[#This Row],[Discount]]&lt;=0.2,"medium","high")))</f>
        <v>Low</v>
      </c>
    </row>
    <row r="252" spans="1:22" x14ac:dyDescent="0.3">
      <c r="A252" t="s">
        <v>492</v>
      </c>
      <c r="B252" s="6">
        <v>45668</v>
      </c>
      <c r="C252" t="s">
        <v>391</v>
      </c>
      <c r="D252" t="s">
        <v>128</v>
      </c>
      <c r="E252" t="s">
        <v>202</v>
      </c>
      <c r="F252" t="s">
        <v>26</v>
      </c>
      <c r="G252" t="s">
        <v>35</v>
      </c>
      <c r="H252" t="s">
        <v>55</v>
      </c>
      <c r="I252">
        <v>2559.88</v>
      </c>
      <c r="J252">
        <v>4</v>
      </c>
      <c r="K252">
        <v>0.1</v>
      </c>
      <c r="L252">
        <v>829.81</v>
      </c>
      <c r="M252" t="s">
        <v>113</v>
      </c>
      <c r="N252" t="s">
        <v>44</v>
      </c>
      <c r="O252" t="str">
        <f t="shared" si="6"/>
        <v>Bad</v>
      </c>
      <c r="P252">
        <f t="shared" si="7"/>
        <v>639.97</v>
      </c>
      <c r="Q252">
        <v>45668</v>
      </c>
      <c r="R252">
        <f>YEAR(Table1[[#This Row],[Order_Date_New]])</f>
        <v>2025</v>
      </c>
      <c r="S252">
        <f>MONTH(Table1[[#This Row],[Order_Date_New]])</f>
        <v>1</v>
      </c>
      <c r="T252" t="str">
        <f>TEXT(Table1[[#This Row],[Order_Date_New]],"mmmm")</f>
        <v>January</v>
      </c>
      <c r="U252">
        <f>Table1[[#This Row],[Profit]]/Table1[[#This Row],[Sales]]</f>
        <v>0.32415972623716732</v>
      </c>
      <c r="V252" t="str">
        <f>IF(Table1[[#This Row],[Discount]]=0,"No Discount",IF(Table1[[#This Row],[Discount]]&lt;=0.1,"Low",IF(Table1[[#This Row],[Discount]]&lt;=0.2,"medium","high")))</f>
        <v>Low</v>
      </c>
    </row>
    <row r="253" spans="1:22" x14ac:dyDescent="0.3">
      <c r="A253" t="s">
        <v>493</v>
      </c>
      <c r="B253" s="6">
        <v>45688</v>
      </c>
      <c r="C253" t="s">
        <v>292</v>
      </c>
      <c r="D253" t="s">
        <v>53</v>
      </c>
      <c r="E253" t="s">
        <v>54</v>
      </c>
      <c r="F253" t="s">
        <v>72</v>
      </c>
      <c r="G253" t="s">
        <v>73</v>
      </c>
      <c r="H253" t="s">
        <v>293</v>
      </c>
      <c r="I253">
        <v>6758.85</v>
      </c>
      <c r="J253">
        <v>7</v>
      </c>
      <c r="K253">
        <v>0</v>
      </c>
      <c r="L253">
        <v>1289.29</v>
      </c>
      <c r="M253" t="s">
        <v>133</v>
      </c>
      <c r="N253" t="s">
        <v>30</v>
      </c>
      <c r="O253" t="str">
        <f t="shared" si="6"/>
        <v>Bad</v>
      </c>
      <c r="P253">
        <f t="shared" si="7"/>
        <v>965.55000000000007</v>
      </c>
      <c r="Q253">
        <v>45688</v>
      </c>
      <c r="R253">
        <f>YEAR(Table1[[#This Row],[Order_Date_New]])</f>
        <v>2025</v>
      </c>
      <c r="S253">
        <f>MONTH(Table1[[#This Row],[Order_Date_New]])</f>
        <v>1</v>
      </c>
      <c r="T253" t="str">
        <f>TEXT(Table1[[#This Row],[Order_Date_New]],"mmmm")</f>
        <v>January</v>
      </c>
      <c r="U253">
        <f>Table1[[#This Row],[Profit]]/Table1[[#This Row],[Sales]]</f>
        <v>0.19075582384577255</v>
      </c>
      <c r="V253" t="str">
        <f>IF(Table1[[#This Row],[Discount]]=0,"No Discount",IF(Table1[[#This Row],[Discount]]&lt;=0.1,"Low",IF(Table1[[#This Row],[Discount]]&lt;=0.2,"medium","high")))</f>
        <v>No Discount</v>
      </c>
    </row>
    <row r="254" spans="1:22" x14ac:dyDescent="0.3">
      <c r="A254" t="s">
        <v>494</v>
      </c>
      <c r="B254" s="6">
        <v>45865</v>
      </c>
      <c r="C254" t="s">
        <v>276</v>
      </c>
      <c r="D254" t="s">
        <v>33</v>
      </c>
      <c r="E254" t="s">
        <v>66</v>
      </c>
      <c r="F254" t="s">
        <v>60</v>
      </c>
      <c r="G254" t="s">
        <v>61</v>
      </c>
      <c r="H254" t="s">
        <v>122</v>
      </c>
      <c r="I254">
        <v>2126.8000000000002</v>
      </c>
      <c r="J254">
        <v>4</v>
      </c>
      <c r="K254">
        <v>0</v>
      </c>
      <c r="L254">
        <v>440.77</v>
      </c>
      <c r="M254" t="s">
        <v>29</v>
      </c>
      <c r="N254" t="s">
        <v>80</v>
      </c>
      <c r="O254" t="str">
        <f t="shared" si="6"/>
        <v>Bad</v>
      </c>
      <c r="P254">
        <f t="shared" si="7"/>
        <v>531.70000000000005</v>
      </c>
      <c r="Q254">
        <v>45865</v>
      </c>
      <c r="R254">
        <f>YEAR(Table1[[#This Row],[Order_Date_New]])</f>
        <v>2025</v>
      </c>
      <c r="S254">
        <f>MONTH(Table1[[#This Row],[Order_Date_New]])</f>
        <v>7</v>
      </c>
      <c r="T254" t="str">
        <f>TEXT(Table1[[#This Row],[Order_Date_New]],"mmmm")</f>
        <v>July</v>
      </c>
      <c r="U254">
        <f>Table1[[#This Row],[Profit]]/Table1[[#This Row],[Sales]]</f>
        <v>0.20724562723340226</v>
      </c>
      <c r="V254" t="str">
        <f>IF(Table1[[#This Row],[Discount]]=0,"No Discount",IF(Table1[[#This Row],[Discount]]&lt;=0.1,"Low",IF(Table1[[#This Row],[Discount]]&lt;=0.2,"medium","high")))</f>
        <v>No Discount</v>
      </c>
    </row>
    <row r="255" spans="1:22" x14ac:dyDescent="0.3">
      <c r="A255" t="s">
        <v>495</v>
      </c>
      <c r="B255" s="6">
        <v>45294</v>
      </c>
      <c r="C255" t="s">
        <v>490</v>
      </c>
      <c r="D255" t="s">
        <v>33</v>
      </c>
      <c r="E255" t="s">
        <v>66</v>
      </c>
      <c r="F255" t="s">
        <v>72</v>
      </c>
      <c r="G255" t="s">
        <v>73</v>
      </c>
      <c r="H255" t="s">
        <v>293</v>
      </c>
      <c r="I255">
        <v>8304.48</v>
      </c>
      <c r="J255">
        <v>8</v>
      </c>
      <c r="K255">
        <v>0.05</v>
      </c>
      <c r="L255">
        <v>1783.91</v>
      </c>
      <c r="M255" t="s">
        <v>29</v>
      </c>
      <c r="N255" t="s">
        <v>30</v>
      </c>
      <c r="O255" t="str">
        <f t="shared" si="6"/>
        <v>Good</v>
      </c>
      <c r="P255">
        <f t="shared" si="7"/>
        <v>1038.06</v>
      </c>
      <c r="Q255">
        <v>45294</v>
      </c>
      <c r="R255">
        <f>YEAR(Table1[[#This Row],[Order_Date_New]])</f>
        <v>2024</v>
      </c>
      <c r="S255">
        <f>MONTH(Table1[[#This Row],[Order_Date_New]])</f>
        <v>1</v>
      </c>
      <c r="T255" t="str">
        <f>TEXT(Table1[[#This Row],[Order_Date_New]],"mmmm")</f>
        <v>January</v>
      </c>
      <c r="U255">
        <f>Table1[[#This Row],[Profit]]/Table1[[#This Row],[Sales]]</f>
        <v>0.21481296842186387</v>
      </c>
      <c r="V255" t="str">
        <f>IF(Table1[[#This Row],[Discount]]=0,"No Discount",IF(Table1[[#This Row],[Discount]]&lt;=0.1,"Low",IF(Table1[[#This Row],[Discount]]&lt;=0.2,"medium","high")))</f>
        <v>Low</v>
      </c>
    </row>
    <row r="256" spans="1:22" x14ac:dyDescent="0.3">
      <c r="A256" t="s">
        <v>496</v>
      </c>
      <c r="B256" s="6">
        <v>45578</v>
      </c>
      <c r="C256" t="s">
        <v>167</v>
      </c>
      <c r="D256" t="s">
        <v>24</v>
      </c>
      <c r="E256" t="s">
        <v>25</v>
      </c>
      <c r="F256" t="s">
        <v>72</v>
      </c>
      <c r="G256" t="s">
        <v>73</v>
      </c>
      <c r="H256" t="s">
        <v>74</v>
      </c>
      <c r="I256">
        <v>5749.02</v>
      </c>
      <c r="J256">
        <v>6</v>
      </c>
      <c r="K256">
        <v>0.1</v>
      </c>
      <c r="L256">
        <v>1213</v>
      </c>
      <c r="M256" t="s">
        <v>49</v>
      </c>
      <c r="N256" t="s">
        <v>30</v>
      </c>
      <c r="O256" t="str">
        <f t="shared" si="6"/>
        <v>Bad</v>
      </c>
      <c r="P256">
        <f t="shared" si="7"/>
        <v>958.17000000000007</v>
      </c>
      <c r="Q256">
        <v>45578</v>
      </c>
      <c r="R256">
        <f>YEAR(Table1[[#This Row],[Order_Date_New]])</f>
        <v>2024</v>
      </c>
      <c r="S256">
        <f>MONTH(Table1[[#This Row],[Order_Date_New]])</f>
        <v>10</v>
      </c>
      <c r="T256" t="str">
        <f>TEXT(Table1[[#This Row],[Order_Date_New]],"mmmm")</f>
        <v>October</v>
      </c>
      <c r="U256">
        <f>Table1[[#This Row],[Profit]]/Table1[[#This Row],[Sales]]</f>
        <v>0.21099248219696573</v>
      </c>
      <c r="V256" t="str">
        <f>IF(Table1[[#This Row],[Discount]]=0,"No Discount",IF(Table1[[#This Row],[Discount]]&lt;=0.1,"Low",IF(Table1[[#This Row],[Discount]]&lt;=0.2,"medium","high")))</f>
        <v>Low</v>
      </c>
    </row>
    <row r="257" spans="1:22" x14ac:dyDescent="0.3">
      <c r="A257" t="s">
        <v>497</v>
      </c>
      <c r="B257" s="6">
        <v>45581</v>
      </c>
      <c r="C257" t="s">
        <v>276</v>
      </c>
      <c r="D257" t="s">
        <v>33</v>
      </c>
      <c r="E257" t="s">
        <v>34</v>
      </c>
      <c r="F257" t="s">
        <v>72</v>
      </c>
      <c r="G257" t="s">
        <v>88</v>
      </c>
      <c r="H257" t="s">
        <v>89</v>
      </c>
      <c r="I257">
        <v>250.05</v>
      </c>
      <c r="J257">
        <v>3</v>
      </c>
      <c r="K257">
        <v>0</v>
      </c>
      <c r="L257">
        <v>31.85</v>
      </c>
      <c r="M257" t="s">
        <v>170</v>
      </c>
      <c r="N257" t="s">
        <v>80</v>
      </c>
      <c r="O257" t="str">
        <f t="shared" si="6"/>
        <v>Bad</v>
      </c>
      <c r="P257">
        <f t="shared" si="7"/>
        <v>83.350000000000009</v>
      </c>
      <c r="Q257">
        <v>45581</v>
      </c>
      <c r="R257">
        <f>YEAR(Table1[[#This Row],[Order_Date_New]])</f>
        <v>2024</v>
      </c>
      <c r="S257">
        <f>MONTH(Table1[[#This Row],[Order_Date_New]])</f>
        <v>10</v>
      </c>
      <c r="T257" t="str">
        <f>TEXT(Table1[[#This Row],[Order_Date_New]],"mmmm")</f>
        <v>October</v>
      </c>
      <c r="U257">
        <f>Table1[[#This Row],[Profit]]/Table1[[#This Row],[Sales]]</f>
        <v>0.12737452509498101</v>
      </c>
      <c r="V257" t="str">
        <f>IF(Table1[[#This Row],[Discount]]=0,"No Discount",IF(Table1[[#This Row],[Discount]]&lt;=0.1,"Low",IF(Table1[[#This Row],[Discount]]&lt;=0.2,"medium","high")))</f>
        <v>No Discount</v>
      </c>
    </row>
    <row r="258" spans="1:22" x14ac:dyDescent="0.3">
      <c r="A258" t="s">
        <v>498</v>
      </c>
      <c r="B258" s="6">
        <v>45467</v>
      </c>
      <c r="C258" t="s">
        <v>474</v>
      </c>
      <c r="D258" t="s">
        <v>24</v>
      </c>
      <c r="E258" t="s">
        <v>59</v>
      </c>
      <c r="F258" t="s">
        <v>72</v>
      </c>
      <c r="G258" t="s">
        <v>111</v>
      </c>
      <c r="H258" t="s">
        <v>158</v>
      </c>
      <c r="I258">
        <v>1999.84</v>
      </c>
      <c r="J258">
        <v>2</v>
      </c>
      <c r="K258">
        <v>0.05</v>
      </c>
      <c r="L258">
        <v>774.42</v>
      </c>
      <c r="M258" t="s">
        <v>90</v>
      </c>
      <c r="N258" t="s">
        <v>38</v>
      </c>
      <c r="O258" t="str">
        <f t="shared" ref="O258:O321" si="8">IF(AND(I258&gt;5000,J258&gt;7),"Good","Bad")</f>
        <v>Bad</v>
      </c>
      <c r="P258">
        <f t="shared" ref="P258:P321" si="9">I258/J258</f>
        <v>999.92</v>
      </c>
      <c r="Q258">
        <v>45467</v>
      </c>
      <c r="R258">
        <f>YEAR(Table1[[#This Row],[Order_Date_New]])</f>
        <v>2024</v>
      </c>
      <c r="S258">
        <f>MONTH(Table1[[#This Row],[Order_Date_New]])</f>
        <v>6</v>
      </c>
      <c r="T258" t="str">
        <f>TEXT(Table1[[#This Row],[Order_Date_New]],"mmmm")</f>
        <v>June</v>
      </c>
      <c r="U258">
        <f>Table1[[#This Row],[Profit]]/Table1[[#This Row],[Sales]]</f>
        <v>0.38724097927834228</v>
      </c>
      <c r="V258" t="str">
        <f>IF(Table1[[#This Row],[Discount]]=0,"No Discount",IF(Table1[[#This Row],[Discount]]&lt;=0.1,"Low",IF(Table1[[#This Row],[Discount]]&lt;=0.2,"medium","high")))</f>
        <v>Low</v>
      </c>
    </row>
    <row r="259" spans="1:22" x14ac:dyDescent="0.3">
      <c r="A259" t="s">
        <v>499</v>
      </c>
      <c r="B259" s="6">
        <v>45303</v>
      </c>
      <c r="C259" t="s">
        <v>145</v>
      </c>
      <c r="D259" t="s">
        <v>33</v>
      </c>
      <c r="E259" t="s">
        <v>118</v>
      </c>
      <c r="F259" t="s">
        <v>26</v>
      </c>
      <c r="G259" t="s">
        <v>41</v>
      </c>
      <c r="H259" t="s">
        <v>42</v>
      </c>
      <c r="I259">
        <v>274.24</v>
      </c>
      <c r="J259">
        <v>4</v>
      </c>
      <c r="K259">
        <v>0.1</v>
      </c>
      <c r="L259">
        <v>87.02</v>
      </c>
      <c r="M259" t="s">
        <v>68</v>
      </c>
      <c r="N259" t="s">
        <v>30</v>
      </c>
      <c r="O259" t="str">
        <f t="shared" si="8"/>
        <v>Bad</v>
      </c>
      <c r="P259">
        <f t="shared" si="9"/>
        <v>68.56</v>
      </c>
      <c r="Q259">
        <v>45303</v>
      </c>
      <c r="R259">
        <f>YEAR(Table1[[#This Row],[Order_Date_New]])</f>
        <v>2024</v>
      </c>
      <c r="S259">
        <f>MONTH(Table1[[#This Row],[Order_Date_New]])</f>
        <v>1</v>
      </c>
      <c r="T259" t="str">
        <f>TEXT(Table1[[#This Row],[Order_Date_New]],"mmmm")</f>
        <v>January</v>
      </c>
      <c r="U259">
        <f>Table1[[#This Row],[Profit]]/Table1[[#This Row],[Sales]]</f>
        <v>0.31731330221703613</v>
      </c>
      <c r="V259" t="str">
        <f>IF(Table1[[#This Row],[Discount]]=0,"No Discount",IF(Table1[[#This Row],[Discount]]&lt;=0.1,"Low",IF(Table1[[#This Row],[Discount]]&lt;=0.2,"medium","high")))</f>
        <v>Low</v>
      </c>
    </row>
    <row r="260" spans="1:22" x14ac:dyDescent="0.3">
      <c r="A260" t="s">
        <v>500</v>
      </c>
      <c r="B260" s="6">
        <v>45760</v>
      </c>
      <c r="C260" t="s">
        <v>52</v>
      </c>
      <c r="D260" t="s">
        <v>53</v>
      </c>
      <c r="E260" t="s">
        <v>107</v>
      </c>
      <c r="F260" t="s">
        <v>72</v>
      </c>
      <c r="G260" t="s">
        <v>73</v>
      </c>
      <c r="H260" t="s">
        <v>102</v>
      </c>
      <c r="I260">
        <v>3566.43</v>
      </c>
      <c r="J260">
        <v>9</v>
      </c>
      <c r="K260">
        <v>0.3</v>
      </c>
      <c r="L260">
        <v>530.70000000000005</v>
      </c>
      <c r="M260" t="s">
        <v>68</v>
      </c>
      <c r="N260" t="s">
        <v>80</v>
      </c>
      <c r="O260" t="str">
        <f t="shared" si="8"/>
        <v>Bad</v>
      </c>
      <c r="P260">
        <f t="shared" si="9"/>
        <v>396.27</v>
      </c>
      <c r="Q260">
        <v>45760</v>
      </c>
      <c r="R260">
        <f>YEAR(Table1[[#This Row],[Order_Date_New]])</f>
        <v>2025</v>
      </c>
      <c r="S260">
        <f>MONTH(Table1[[#This Row],[Order_Date_New]])</f>
        <v>4</v>
      </c>
      <c r="T260" t="str">
        <f>TEXT(Table1[[#This Row],[Order_Date_New]],"mmmm")</f>
        <v>April</v>
      </c>
      <c r="U260">
        <f>Table1[[#This Row],[Profit]]/Table1[[#This Row],[Sales]]</f>
        <v>0.1488042664513253</v>
      </c>
      <c r="V260" t="str">
        <f>IF(Table1[[#This Row],[Discount]]=0,"No Discount",IF(Table1[[#This Row],[Discount]]&lt;=0.1,"Low",IF(Table1[[#This Row],[Discount]]&lt;=0.2,"medium","high")))</f>
        <v>high</v>
      </c>
    </row>
    <row r="261" spans="1:22" x14ac:dyDescent="0.3">
      <c r="A261" t="s">
        <v>501</v>
      </c>
      <c r="B261" s="6">
        <v>45394</v>
      </c>
      <c r="C261" t="s">
        <v>305</v>
      </c>
      <c r="D261" t="s">
        <v>53</v>
      </c>
      <c r="E261" t="s">
        <v>87</v>
      </c>
      <c r="F261" t="s">
        <v>72</v>
      </c>
      <c r="G261" t="s">
        <v>88</v>
      </c>
      <c r="H261" t="s">
        <v>119</v>
      </c>
      <c r="I261">
        <v>555.78</v>
      </c>
      <c r="J261">
        <v>3</v>
      </c>
      <c r="K261">
        <v>0.1</v>
      </c>
      <c r="L261">
        <v>96.93</v>
      </c>
      <c r="M261" t="s">
        <v>113</v>
      </c>
      <c r="N261" t="s">
        <v>44</v>
      </c>
      <c r="O261" t="str">
        <f t="shared" si="8"/>
        <v>Bad</v>
      </c>
      <c r="P261">
        <f t="shared" si="9"/>
        <v>185.26</v>
      </c>
      <c r="Q261">
        <v>45394</v>
      </c>
      <c r="R261">
        <f>YEAR(Table1[[#This Row],[Order_Date_New]])</f>
        <v>2024</v>
      </c>
      <c r="S261">
        <f>MONTH(Table1[[#This Row],[Order_Date_New]])</f>
        <v>4</v>
      </c>
      <c r="T261" t="str">
        <f>TEXT(Table1[[#This Row],[Order_Date_New]],"mmmm")</f>
        <v>April</v>
      </c>
      <c r="U261">
        <f>Table1[[#This Row],[Profit]]/Table1[[#This Row],[Sales]]</f>
        <v>0.17440354096944835</v>
      </c>
      <c r="V261" t="str">
        <f>IF(Table1[[#This Row],[Discount]]=0,"No Discount",IF(Table1[[#This Row],[Discount]]&lt;=0.1,"Low",IF(Table1[[#This Row],[Discount]]&lt;=0.2,"medium","high")))</f>
        <v>Low</v>
      </c>
    </row>
    <row r="262" spans="1:22" x14ac:dyDescent="0.3">
      <c r="A262" t="s">
        <v>502</v>
      </c>
      <c r="B262" s="6">
        <v>45540</v>
      </c>
      <c r="C262" t="s">
        <v>448</v>
      </c>
      <c r="D262" t="s">
        <v>33</v>
      </c>
      <c r="E262" t="s">
        <v>66</v>
      </c>
      <c r="F262" t="s">
        <v>60</v>
      </c>
      <c r="G262" t="s">
        <v>98</v>
      </c>
      <c r="H262" t="s">
        <v>141</v>
      </c>
      <c r="I262">
        <v>6562.26</v>
      </c>
      <c r="J262">
        <v>9</v>
      </c>
      <c r="K262">
        <v>0.15</v>
      </c>
      <c r="L262">
        <v>638.41999999999996</v>
      </c>
      <c r="M262" t="s">
        <v>68</v>
      </c>
      <c r="N262" t="s">
        <v>80</v>
      </c>
      <c r="O262" t="str">
        <f t="shared" si="8"/>
        <v>Good</v>
      </c>
      <c r="P262">
        <f t="shared" si="9"/>
        <v>729.14</v>
      </c>
      <c r="Q262">
        <v>45540</v>
      </c>
      <c r="R262">
        <f>YEAR(Table1[[#This Row],[Order_Date_New]])</f>
        <v>2024</v>
      </c>
      <c r="S262">
        <f>MONTH(Table1[[#This Row],[Order_Date_New]])</f>
        <v>9</v>
      </c>
      <c r="T262" t="str">
        <f>TEXT(Table1[[#This Row],[Order_Date_New]],"mmmm")</f>
        <v>September</v>
      </c>
      <c r="U262">
        <f>Table1[[#This Row],[Profit]]/Table1[[#This Row],[Sales]]</f>
        <v>9.7286605529192674E-2</v>
      </c>
      <c r="V262" t="str">
        <f>IF(Table1[[#This Row],[Discount]]=0,"No Discount",IF(Table1[[#This Row],[Discount]]&lt;=0.1,"Low",IF(Table1[[#This Row],[Discount]]&lt;=0.2,"medium","high")))</f>
        <v>medium</v>
      </c>
    </row>
    <row r="263" spans="1:22" x14ac:dyDescent="0.3">
      <c r="A263" t="s">
        <v>503</v>
      </c>
      <c r="B263" s="6">
        <v>45534</v>
      </c>
      <c r="C263" t="s">
        <v>177</v>
      </c>
      <c r="D263" t="s">
        <v>24</v>
      </c>
      <c r="E263" t="s">
        <v>84</v>
      </c>
      <c r="F263" t="s">
        <v>72</v>
      </c>
      <c r="G263" t="s">
        <v>111</v>
      </c>
      <c r="H263" t="s">
        <v>112</v>
      </c>
      <c r="I263">
        <v>2862.05</v>
      </c>
      <c r="J263">
        <v>5</v>
      </c>
      <c r="K263">
        <v>0.25</v>
      </c>
      <c r="L263">
        <v>-123.84</v>
      </c>
      <c r="M263" t="s">
        <v>29</v>
      </c>
      <c r="N263" t="s">
        <v>80</v>
      </c>
      <c r="O263" t="str">
        <f t="shared" si="8"/>
        <v>Bad</v>
      </c>
      <c r="P263">
        <f t="shared" si="9"/>
        <v>572.41000000000008</v>
      </c>
      <c r="Q263">
        <v>45534</v>
      </c>
      <c r="R263">
        <f>YEAR(Table1[[#This Row],[Order_Date_New]])</f>
        <v>2024</v>
      </c>
      <c r="S263">
        <f>MONTH(Table1[[#This Row],[Order_Date_New]])</f>
        <v>8</v>
      </c>
      <c r="T263" t="str">
        <f>TEXT(Table1[[#This Row],[Order_Date_New]],"mmmm")</f>
        <v>August</v>
      </c>
      <c r="U263">
        <f>Table1[[#This Row],[Profit]]/Table1[[#This Row],[Sales]]</f>
        <v>-4.3269684317185232E-2</v>
      </c>
      <c r="V263" t="str">
        <f>IF(Table1[[#This Row],[Discount]]=0,"No Discount",IF(Table1[[#This Row],[Discount]]&lt;=0.1,"Low",IF(Table1[[#This Row],[Discount]]&lt;=0.2,"medium","high")))</f>
        <v>high</v>
      </c>
    </row>
    <row r="264" spans="1:22" x14ac:dyDescent="0.3">
      <c r="A264" t="s">
        <v>504</v>
      </c>
      <c r="B264" s="6">
        <v>45715</v>
      </c>
      <c r="C264" t="s">
        <v>145</v>
      </c>
      <c r="D264" t="s">
        <v>53</v>
      </c>
      <c r="E264" t="s">
        <v>77</v>
      </c>
      <c r="F264" t="s">
        <v>72</v>
      </c>
      <c r="G264" t="s">
        <v>73</v>
      </c>
      <c r="H264" t="s">
        <v>293</v>
      </c>
      <c r="I264">
        <v>1000.94</v>
      </c>
      <c r="J264">
        <v>2</v>
      </c>
      <c r="K264">
        <v>0.1</v>
      </c>
      <c r="L264">
        <v>176.34</v>
      </c>
      <c r="M264" t="s">
        <v>68</v>
      </c>
      <c r="N264" t="s">
        <v>44</v>
      </c>
      <c r="O264" t="str">
        <f t="shared" si="8"/>
        <v>Bad</v>
      </c>
      <c r="P264">
        <f t="shared" si="9"/>
        <v>500.47</v>
      </c>
      <c r="Q264">
        <v>45715</v>
      </c>
      <c r="R264">
        <f>YEAR(Table1[[#This Row],[Order_Date_New]])</f>
        <v>2025</v>
      </c>
      <c r="S264">
        <f>MONTH(Table1[[#This Row],[Order_Date_New]])</f>
        <v>2</v>
      </c>
      <c r="T264" t="str">
        <f>TEXT(Table1[[#This Row],[Order_Date_New]],"mmmm")</f>
        <v>February</v>
      </c>
      <c r="U264">
        <f>Table1[[#This Row],[Profit]]/Table1[[#This Row],[Sales]]</f>
        <v>0.17617439606769636</v>
      </c>
      <c r="V264" t="str">
        <f>IF(Table1[[#This Row],[Discount]]=0,"No Discount",IF(Table1[[#This Row],[Discount]]&lt;=0.1,"Low",IF(Table1[[#This Row],[Discount]]&lt;=0.2,"medium","high")))</f>
        <v>Low</v>
      </c>
    </row>
    <row r="265" spans="1:22" x14ac:dyDescent="0.3">
      <c r="A265" t="s">
        <v>505</v>
      </c>
      <c r="B265" s="6">
        <v>45686</v>
      </c>
      <c r="C265" t="s">
        <v>506</v>
      </c>
      <c r="D265" t="s">
        <v>53</v>
      </c>
      <c r="E265" t="s">
        <v>77</v>
      </c>
      <c r="F265" t="s">
        <v>60</v>
      </c>
      <c r="G265" t="s">
        <v>78</v>
      </c>
      <c r="H265" t="s">
        <v>125</v>
      </c>
      <c r="I265">
        <v>2710.4</v>
      </c>
      <c r="J265">
        <v>8</v>
      </c>
      <c r="K265">
        <v>0.15</v>
      </c>
      <c r="L265">
        <v>534.28</v>
      </c>
      <c r="M265" t="s">
        <v>170</v>
      </c>
      <c r="N265" t="s">
        <v>44</v>
      </c>
      <c r="O265" t="str">
        <f t="shared" si="8"/>
        <v>Bad</v>
      </c>
      <c r="P265">
        <f t="shared" si="9"/>
        <v>338.8</v>
      </c>
      <c r="Q265">
        <v>45686</v>
      </c>
      <c r="R265">
        <f>YEAR(Table1[[#This Row],[Order_Date_New]])</f>
        <v>2025</v>
      </c>
      <c r="S265">
        <f>MONTH(Table1[[#This Row],[Order_Date_New]])</f>
        <v>1</v>
      </c>
      <c r="T265" t="str">
        <f>TEXT(Table1[[#This Row],[Order_Date_New]],"mmmm")</f>
        <v>January</v>
      </c>
      <c r="U265">
        <f>Table1[[#This Row],[Profit]]/Table1[[#This Row],[Sales]]</f>
        <v>0.19712219598583233</v>
      </c>
      <c r="V265" t="str">
        <f>IF(Table1[[#This Row],[Discount]]=0,"No Discount",IF(Table1[[#This Row],[Discount]]&lt;=0.1,"Low",IF(Table1[[#This Row],[Discount]]&lt;=0.2,"medium","high")))</f>
        <v>medium</v>
      </c>
    </row>
    <row r="266" spans="1:22" x14ac:dyDescent="0.3">
      <c r="A266" t="s">
        <v>507</v>
      </c>
      <c r="B266" s="6">
        <v>45677</v>
      </c>
      <c r="C266" t="s">
        <v>40</v>
      </c>
      <c r="D266" t="s">
        <v>24</v>
      </c>
      <c r="E266" t="s">
        <v>97</v>
      </c>
      <c r="F266" t="s">
        <v>72</v>
      </c>
      <c r="G266" t="s">
        <v>88</v>
      </c>
      <c r="H266" t="s">
        <v>89</v>
      </c>
      <c r="I266">
        <v>2606.6999999999998</v>
      </c>
      <c r="J266">
        <v>5</v>
      </c>
      <c r="K266">
        <v>0.3</v>
      </c>
      <c r="L266">
        <v>-27.72</v>
      </c>
      <c r="M266" t="s">
        <v>43</v>
      </c>
      <c r="N266" t="s">
        <v>30</v>
      </c>
      <c r="O266" t="str">
        <f t="shared" si="8"/>
        <v>Bad</v>
      </c>
      <c r="P266">
        <f t="shared" si="9"/>
        <v>521.33999999999992</v>
      </c>
      <c r="Q266">
        <v>45677</v>
      </c>
      <c r="R266">
        <f>YEAR(Table1[[#This Row],[Order_Date_New]])</f>
        <v>2025</v>
      </c>
      <c r="S266">
        <f>MONTH(Table1[[#This Row],[Order_Date_New]])</f>
        <v>1</v>
      </c>
      <c r="T266" t="str">
        <f>TEXT(Table1[[#This Row],[Order_Date_New]],"mmmm")</f>
        <v>January</v>
      </c>
      <c r="U266">
        <f>Table1[[#This Row],[Profit]]/Table1[[#This Row],[Sales]]</f>
        <v>-1.0634135113361722E-2</v>
      </c>
      <c r="V266" t="str">
        <f>IF(Table1[[#This Row],[Discount]]=0,"No Discount",IF(Table1[[#This Row],[Discount]]&lt;=0.1,"Low",IF(Table1[[#This Row],[Discount]]&lt;=0.2,"medium","high")))</f>
        <v>high</v>
      </c>
    </row>
    <row r="267" spans="1:22" x14ac:dyDescent="0.3">
      <c r="A267" t="s">
        <v>508</v>
      </c>
      <c r="B267" s="6">
        <v>45769</v>
      </c>
      <c r="C267" t="s">
        <v>251</v>
      </c>
      <c r="D267" t="s">
        <v>53</v>
      </c>
      <c r="E267" t="s">
        <v>87</v>
      </c>
      <c r="F267" t="s">
        <v>26</v>
      </c>
      <c r="G267" t="s">
        <v>41</v>
      </c>
      <c r="H267" t="s">
        <v>189</v>
      </c>
      <c r="I267">
        <v>316.25</v>
      </c>
      <c r="J267">
        <v>5</v>
      </c>
      <c r="K267">
        <v>0</v>
      </c>
      <c r="L267">
        <v>30.03</v>
      </c>
      <c r="M267" t="s">
        <v>113</v>
      </c>
      <c r="N267" t="s">
        <v>30</v>
      </c>
      <c r="O267" t="str">
        <f t="shared" si="8"/>
        <v>Bad</v>
      </c>
      <c r="P267">
        <f t="shared" si="9"/>
        <v>63.25</v>
      </c>
      <c r="Q267">
        <v>45769</v>
      </c>
      <c r="R267">
        <f>YEAR(Table1[[#This Row],[Order_Date_New]])</f>
        <v>2025</v>
      </c>
      <c r="S267">
        <f>MONTH(Table1[[#This Row],[Order_Date_New]])</f>
        <v>4</v>
      </c>
      <c r="T267" t="str">
        <f>TEXT(Table1[[#This Row],[Order_Date_New]],"mmmm")</f>
        <v>April</v>
      </c>
      <c r="U267">
        <f>Table1[[#This Row],[Profit]]/Table1[[#This Row],[Sales]]</f>
        <v>9.4956521739130439E-2</v>
      </c>
      <c r="V267" t="str">
        <f>IF(Table1[[#This Row],[Discount]]=0,"No Discount",IF(Table1[[#This Row],[Discount]]&lt;=0.1,"Low",IF(Table1[[#This Row],[Discount]]&lt;=0.2,"medium","high")))</f>
        <v>No Discount</v>
      </c>
    </row>
    <row r="268" spans="1:22" x14ac:dyDescent="0.3">
      <c r="A268" t="s">
        <v>509</v>
      </c>
      <c r="B268" s="6">
        <v>45632</v>
      </c>
      <c r="C268" t="s">
        <v>510</v>
      </c>
      <c r="D268" t="s">
        <v>128</v>
      </c>
      <c r="E268" t="s">
        <v>202</v>
      </c>
      <c r="F268" t="s">
        <v>72</v>
      </c>
      <c r="G268" t="s">
        <v>73</v>
      </c>
      <c r="H268" t="s">
        <v>74</v>
      </c>
      <c r="I268">
        <v>1954.28</v>
      </c>
      <c r="J268">
        <v>4</v>
      </c>
      <c r="K268">
        <v>0.1</v>
      </c>
      <c r="L268">
        <v>330.33</v>
      </c>
      <c r="M268" t="s">
        <v>90</v>
      </c>
      <c r="N268" t="s">
        <v>80</v>
      </c>
      <c r="O268" t="str">
        <f t="shared" si="8"/>
        <v>Bad</v>
      </c>
      <c r="P268">
        <f t="shared" si="9"/>
        <v>488.57</v>
      </c>
      <c r="Q268">
        <v>45632</v>
      </c>
      <c r="R268">
        <f>YEAR(Table1[[#This Row],[Order_Date_New]])</f>
        <v>2024</v>
      </c>
      <c r="S268">
        <f>MONTH(Table1[[#This Row],[Order_Date_New]])</f>
        <v>12</v>
      </c>
      <c r="T268" t="str">
        <f>TEXT(Table1[[#This Row],[Order_Date_New]],"mmmm")</f>
        <v>December</v>
      </c>
      <c r="U268">
        <f>Table1[[#This Row],[Profit]]/Table1[[#This Row],[Sales]]</f>
        <v>0.16902900300878071</v>
      </c>
      <c r="V268" t="str">
        <f>IF(Table1[[#This Row],[Discount]]=0,"No Discount",IF(Table1[[#This Row],[Discount]]&lt;=0.1,"Low",IF(Table1[[#This Row],[Discount]]&lt;=0.2,"medium","high")))</f>
        <v>Low</v>
      </c>
    </row>
    <row r="269" spans="1:22" x14ac:dyDescent="0.3">
      <c r="A269" t="s">
        <v>511</v>
      </c>
      <c r="B269" s="6">
        <v>45791</v>
      </c>
      <c r="C269" t="s">
        <v>186</v>
      </c>
      <c r="D269" t="s">
        <v>53</v>
      </c>
      <c r="E269" t="s">
        <v>54</v>
      </c>
      <c r="F269" t="s">
        <v>60</v>
      </c>
      <c r="G269" t="s">
        <v>98</v>
      </c>
      <c r="H269" t="s">
        <v>99</v>
      </c>
      <c r="I269">
        <v>9531.9</v>
      </c>
      <c r="J269">
        <v>10</v>
      </c>
      <c r="K269">
        <v>0.05</v>
      </c>
      <c r="L269">
        <v>1975.88</v>
      </c>
      <c r="M269" t="s">
        <v>49</v>
      </c>
      <c r="N269" t="s">
        <v>38</v>
      </c>
      <c r="O269" t="str">
        <f t="shared" si="8"/>
        <v>Good</v>
      </c>
      <c r="P269">
        <f t="shared" si="9"/>
        <v>953.18999999999994</v>
      </c>
      <c r="Q269">
        <v>45791</v>
      </c>
      <c r="R269">
        <f>YEAR(Table1[[#This Row],[Order_Date_New]])</f>
        <v>2025</v>
      </c>
      <c r="S269">
        <f>MONTH(Table1[[#This Row],[Order_Date_New]])</f>
        <v>5</v>
      </c>
      <c r="T269" t="str">
        <f>TEXT(Table1[[#This Row],[Order_Date_New]],"mmmm")</f>
        <v>May</v>
      </c>
      <c r="U269">
        <f>Table1[[#This Row],[Profit]]/Table1[[#This Row],[Sales]]</f>
        <v>0.20729130603552284</v>
      </c>
      <c r="V269" t="str">
        <f>IF(Table1[[#This Row],[Discount]]=0,"No Discount",IF(Table1[[#This Row],[Discount]]&lt;=0.1,"Low",IF(Table1[[#This Row],[Discount]]&lt;=0.2,"medium","high")))</f>
        <v>Low</v>
      </c>
    </row>
    <row r="270" spans="1:22" x14ac:dyDescent="0.3">
      <c r="A270" t="s">
        <v>512</v>
      </c>
      <c r="B270" s="6">
        <v>45497</v>
      </c>
      <c r="C270" t="s">
        <v>156</v>
      </c>
      <c r="D270" t="s">
        <v>33</v>
      </c>
      <c r="E270" t="s">
        <v>118</v>
      </c>
      <c r="F270" t="s">
        <v>26</v>
      </c>
      <c r="G270" t="s">
        <v>41</v>
      </c>
      <c r="H270" t="s">
        <v>42</v>
      </c>
      <c r="I270">
        <v>4440.7</v>
      </c>
      <c r="J270">
        <v>5</v>
      </c>
      <c r="K270">
        <v>0.3</v>
      </c>
      <c r="L270">
        <v>614.54</v>
      </c>
      <c r="M270" t="s">
        <v>49</v>
      </c>
      <c r="N270" t="s">
        <v>80</v>
      </c>
      <c r="O270" t="str">
        <f t="shared" si="8"/>
        <v>Bad</v>
      </c>
      <c r="P270">
        <f t="shared" si="9"/>
        <v>888.14</v>
      </c>
      <c r="Q270">
        <v>45497</v>
      </c>
      <c r="R270">
        <f>YEAR(Table1[[#This Row],[Order_Date_New]])</f>
        <v>2024</v>
      </c>
      <c r="S270">
        <f>MONTH(Table1[[#This Row],[Order_Date_New]])</f>
        <v>7</v>
      </c>
      <c r="T270" t="str">
        <f>TEXT(Table1[[#This Row],[Order_Date_New]],"mmmm")</f>
        <v>July</v>
      </c>
      <c r="U270">
        <f>Table1[[#This Row],[Profit]]/Table1[[#This Row],[Sales]]</f>
        <v>0.13838809196748261</v>
      </c>
      <c r="V270" t="str">
        <f>IF(Table1[[#This Row],[Discount]]=0,"No Discount",IF(Table1[[#This Row],[Discount]]&lt;=0.1,"Low",IF(Table1[[#This Row],[Discount]]&lt;=0.2,"medium","high")))</f>
        <v>high</v>
      </c>
    </row>
    <row r="271" spans="1:22" x14ac:dyDescent="0.3">
      <c r="A271" t="s">
        <v>513</v>
      </c>
      <c r="B271" s="6">
        <v>45358</v>
      </c>
      <c r="C271" t="s">
        <v>32</v>
      </c>
      <c r="D271" t="s">
        <v>33</v>
      </c>
      <c r="E271" t="s">
        <v>48</v>
      </c>
      <c r="F271" t="s">
        <v>72</v>
      </c>
      <c r="G271" t="s">
        <v>111</v>
      </c>
      <c r="H271" t="s">
        <v>158</v>
      </c>
      <c r="I271">
        <v>3007.44</v>
      </c>
      <c r="J271">
        <v>6</v>
      </c>
      <c r="K271">
        <v>0.2</v>
      </c>
      <c r="L271">
        <v>-115.81</v>
      </c>
      <c r="M271" t="s">
        <v>113</v>
      </c>
      <c r="N271" t="s">
        <v>80</v>
      </c>
      <c r="O271" t="str">
        <f t="shared" si="8"/>
        <v>Bad</v>
      </c>
      <c r="P271">
        <f t="shared" si="9"/>
        <v>501.24</v>
      </c>
      <c r="Q271">
        <v>45358</v>
      </c>
      <c r="R271">
        <f>YEAR(Table1[[#This Row],[Order_Date_New]])</f>
        <v>2024</v>
      </c>
      <c r="S271">
        <f>MONTH(Table1[[#This Row],[Order_Date_New]])</f>
        <v>3</v>
      </c>
      <c r="T271" t="str">
        <f>TEXT(Table1[[#This Row],[Order_Date_New]],"mmmm")</f>
        <v>March</v>
      </c>
      <c r="U271">
        <f>Table1[[#This Row],[Profit]]/Table1[[#This Row],[Sales]]</f>
        <v>-3.8507833905248319E-2</v>
      </c>
      <c r="V271" t="str">
        <f>IF(Table1[[#This Row],[Discount]]=0,"No Discount",IF(Table1[[#This Row],[Discount]]&lt;=0.1,"Low",IF(Table1[[#This Row],[Discount]]&lt;=0.2,"medium","high")))</f>
        <v>medium</v>
      </c>
    </row>
    <row r="272" spans="1:22" x14ac:dyDescent="0.3">
      <c r="A272" t="s">
        <v>514</v>
      </c>
      <c r="B272" s="6">
        <v>45403</v>
      </c>
      <c r="C272" t="s">
        <v>417</v>
      </c>
      <c r="D272" t="s">
        <v>33</v>
      </c>
      <c r="E272" t="s">
        <v>66</v>
      </c>
      <c r="F272" t="s">
        <v>72</v>
      </c>
      <c r="G272" t="s">
        <v>111</v>
      </c>
      <c r="H272" t="s">
        <v>158</v>
      </c>
      <c r="I272">
        <v>6130.08</v>
      </c>
      <c r="J272">
        <v>6</v>
      </c>
      <c r="K272">
        <v>0.1</v>
      </c>
      <c r="L272">
        <v>384.87</v>
      </c>
      <c r="M272" t="s">
        <v>170</v>
      </c>
      <c r="N272" t="s">
        <v>38</v>
      </c>
      <c r="O272" t="str">
        <f t="shared" si="8"/>
        <v>Bad</v>
      </c>
      <c r="P272">
        <f t="shared" si="9"/>
        <v>1021.68</v>
      </c>
      <c r="Q272">
        <v>45403</v>
      </c>
      <c r="R272">
        <f>YEAR(Table1[[#This Row],[Order_Date_New]])</f>
        <v>2024</v>
      </c>
      <c r="S272">
        <f>MONTH(Table1[[#This Row],[Order_Date_New]])</f>
        <v>4</v>
      </c>
      <c r="T272" t="str">
        <f>TEXT(Table1[[#This Row],[Order_Date_New]],"mmmm")</f>
        <v>April</v>
      </c>
      <c r="U272">
        <f>Table1[[#This Row],[Profit]]/Table1[[#This Row],[Sales]]</f>
        <v>6.2783846214078773E-2</v>
      </c>
      <c r="V272" t="str">
        <f>IF(Table1[[#This Row],[Discount]]=0,"No Discount",IF(Table1[[#This Row],[Discount]]&lt;=0.1,"Low",IF(Table1[[#This Row],[Discount]]&lt;=0.2,"medium","high")))</f>
        <v>Low</v>
      </c>
    </row>
    <row r="273" spans="1:22" x14ac:dyDescent="0.3">
      <c r="A273" t="s">
        <v>515</v>
      </c>
      <c r="B273" s="6">
        <v>45323</v>
      </c>
      <c r="C273" t="s">
        <v>417</v>
      </c>
      <c r="D273" t="s">
        <v>53</v>
      </c>
      <c r="E273" t="s">
        <v>107</v>
      </c>
      <c r="F273" t="s">
        <v>26</v>
      </c>
      <c r="G273" t="s">
        <v>41</v>
      </c>
      <c r="H273" t="s">
        <v>108</v>
      </c>
      <c r="I273">
        <v>325.98</v>
      </c>
      <c r="J273">
        <v>1</v>
      </c>
      <c r="K273">
        <v>0.15</v>
      </c>
      <c r="L273">
        <v>4.68</v>
      </c>
      <c r="M273" t="s">
        <v>37</v>
      </c>
      <c r="N273" t="s">
        <v>80</v>
      </c>
      <c r="O273" t="str">
        <f t="shared" si="8"/>
        <v>Bad</v>
      </c>
      <c r="P273">
        <f t="shared" si="9"/>
        <v>325.98</v>
      </c>
      <c r="Q273">
        <v>45323</v>
      </c>
      <c r="R273">
        <f>YEAR(Table1[[#This Row],[Order_Date_New]])</f>
        <v>2024</v>
      </c>
      <c r="S273">
        <f>MONTH(Table1[[#This Row],[Order_Date_New]])</f>
        <v>2</v>
      </c>
      <c r="T273" t="str">
        <f>TEXT(Table1[[#This Row],[Order_Date_New]],"mmmm")</f>
        <v>February</v>
      </c>
      <c r="U273">
        <f>Table1[[#This Row],[Profit]]/Table1[[#This Row],[Sales]]</f>
        <v>1.4356709000552179E-2</v>
      </c>
      <c r="V273" t="str">
        <f>IF(Table1[[#This Row],[Discount]]=0,"No Discount",IF(Table1[[#This Row],[Discount]]&lt;=0.1,"Low",IF(Table1[[#This Row],[Discount]]&lt;=0.2,"medium","high")))</f>
        <v>medium</v>
      </c>
    </row>
    <row r="274" spans="1:22" x14ac:dyDescent="0.3">
      <c r="A274" t="s">
        <v>516</v>
      </c>
      <c r="B274" s="6">
        <v>46010</v>
      </c>
      <c r="C274" t="s">
        <v>163</v>
      </c>
      <c r="D274" t="s">
        <v>53</v>
      </c>
      <c r="E274" t="s">
        <v>87</v>
      </c>
      <c r="F274" t="s">
        <v>72</v>
      </c>
      <c r="G274" t="s">
        <v>111</v>
      </c>
      <c r="H274" t="s">
        <v>112</v>
      </c>
      <c r="I274">
        <v>78.540000000000006</v>
      </c>
      <c r="J274">
        <v>2</v>
      </c>
      <c r="K274">
        <v>0.15</v>
      </c>
      <c r="L274">
        <v>9.51</v>
      </c>
      <c r="M274" t="s">
        <v>105</v>
      </c>
      <c r="N274" t="s">
        <v>30</v>
      </c>
      <c r="O274" t="str">
        <f t="shared" si="8"/>
        <v>Bad</v>
      </c>
      <c r="P274">
        <f t="shared" si="9"/>
        <v>39.270000000000003</v>
      </c>
      <c r="Q274">
        <v>46010</v>
      </c>
      <c r="R274">
        <f>YEAR(Table1[[#This Row],[Order_Date_New]])</f>
        <v>2025</v>
      </c>
      <c r="S274">
        <f>MONTH(Table1[[#This Row],[Order_Date_New]])</f>
        <v>12</v>
      </c>
      <c r="T274" t="str">
        <f>TEXT(Table1[[#This Row],[Order_Date_New]],"mmmm")</f>
        <v>December</v>
      </c>
      <c r="U274">
        <f>Table1[[#This Row],[Profit]]/Table1[[#This Row],[Sales]]</f>
        <v>0.12108479755538577</v>
      </c>
      <c r="V274" t="str">
        <f>IF(Table1[[#This Row],[Discount]]=0,"No Discount",IF(Table1[[#This Row],[Discount]]&lt;=0.1,"Low",IF(Table1[[#This Row],[Discount]]&lt;=0.2,"medium","high")))</f>
        <v>medium</v>
      </c>
    </row>
    <row r="275" spans="1:22" x14ac:dyDescent="0.3">
      <c r="A275" t="s">
        <v>517</v>
      </c>
      <c r="B275" s="6">
        <v>45457</v>
      </c>
      <c r="C275" t="s">
        <v>518</v>
      </c>
      <c r="D275" t="s">
        <v>24</v>
      </c>
      <c r="E275" t="s">
        <v>59</v>
      </c>
      <c r="F275" t="s">
        <v>26</v>
      </c>
      <c r="G275" t="s">
        <v>27</v>
      </c>
      <c r="H275" t="s">
        <v>200</v>
      </c>
      <c r="I275">
        <v>2913.24</v>
      </c>
      <c r="J275">
        <v>3</v>
      </c>
      <c r="K275">
        <v>0.3</v>
      </c>
      <c r="L275">
        <v>-141.18</v>
      </c>
      <c r="M275" t="s">
        <v>170</v>
      </c>
      <c r="N275" t="s">
        <v>44</v>
      </c>
      <c r="O275" t="str">
        <f t="shared" si="8"/>
        <v>Bad</v>
      </c>
      <c r="P275">
        <f t="shared" si="9"/>
        <v>971.07999999999993</v>
      </c>
      <c r="Q275">
        <v>45457</v>
      </c>
      <c r="R275">
        <f>YEAR(Table1[[#This Row],[Order_Date_New]])</f>
        <v>2024</v>
      </c>
      <c r="S275">
        <f>MONTH(Table1[[#This Row],[Order_Date_New]])</f>
        <v>6</v>
      </c>
      <c r="T275" t="str">
        <f>TEXT(Table1[[#This Row],[Order_Date_New]],"mmmm")</f>
        <v>June</v>
      </c>
      <c r="U275">
        <f>Table1[[#This Row],[Profit]]/Table1[[#This Row],[Sales]]</f>
        <v>-4.846150677596079E-2</v>
      </c>
      <c r="V275" t="str">
        <f>IF(Table1[[#This Row],[Discount]]=0,"No Discount",IF(Table1[[#This Row],[Discount]]&lt;=0.1,"Low",IF(Table1[[#This Row],[Discount]]&lt;=0.2,"medium","high")))</f>
        <v>high</v>
      </c>
    </row>
    <row r="276" spans="1:22" x14ac:dyDescent="0.3">
      <c r="A276" t="s">
        <v>519</v>
      </c>
      <c r="B276" s="6">
        <v>45625</v>
      </c>
      <c r="C276" t="s">
        <v>283</v>
      </c>
      <c r="D276" t="s">
        <v>33</v>
      </c>
      <c r="E276" t="s">
        <v>48</v>
      </c>
      <c r="F276" t="s">
        <v>60</v>
      </c>
      <c r="G276" t="s">
        <v>98</v>
      </c>
      <c r="H276" t="s">
        <v>99</v>
      </c>
      <c r="I276">
        <v>9035.2800000000007</v>
      </c>
      <c r="J276">
        <v>8</v>
      </c>
      <c r="K276">
        <v>0.1</v>
      </c>
      <c r="L276">
        <v>293</v>
      </c>
      <c r="M276" t="s">
        <v>68</v>
      </c>
      <c r="N276" t="s">
        <v>38</v>
      </c>
      <c r="O276" t="str">
        <f t="shared" si="8"/>
        <v>Good</v>
      </c>
      <c r="P276">
        <f t="shared" si="9"/>
        <v>1129.4100000000001</v>
      </c>
      <c r="Q276">
        <v>45625</v>
      </c>
      <c r="R276">
        <f>YEAR(Table1[[#This Row],[Order_Date_New]])</f>
        <v>2024</v>
      </c>
      <c r="S276">
        <f>MONTH(Table1[[#This Row],[Order_Date_New]])</f>
        <v>11</v>
      </c>
      <c r="T276" t="str">
        <f>TEXT(Table1[[#This Row],[Order_Date_New]],"mmmm")</f>
        <v>November</v>
      </c>
      <c r="U276">
        <f>Table1[[#This Row],[Profit]]/Table1[[#This Row],[Sales]]</f>
        <v>3.242843608609805E-2</v>
      </c>
      <c r="V276" t="str">
        <f>IF(Table1[[#This Row],[Discount]]=0,"No Discount",IF(Table1[[#This Row],[Discount]]&lt;=0.1,"Low",IF(Table1[[#This Row],[Discount]]&lt;=0.2,"medium","high")))</f>
        <v>Low</v>
      </c>
    </row>
    <row r="277" spans="1:22" x14ac:dyDescent="0.3">
      <c r="A277" t="s">
        <v>520</v>
      </c>
      <c r="B277" s="6">
        <v>45925</v>
      </c>
      <c r="C277" t="s">
        <v>521</v>
      </c>
      <c r="D277" t="s">
        <v>128</v>
      </c>
      <c r="E277" t="s">
        <v>132</v>
      </c>
      <c r="F277" t="s">
        <v>60</v>
      </c>
      <c r="G277" t="s">
        <v>98</v>
      </c>
      <c r="H277" t="s">
        <v>141</v>
      </c>
      <c r="I277">
        <v>8986.24</v>
      </c>
      <c r="J277">
        <v>8</v>
      </c>
      <c r="K277">
        <v>0.2</v>
      </c>
      <c r="L277">
        <v>103.91</v>
      </c>
      <c r="M277" t="s">
        <v>68</v>
      </c>
      <c r="N277" t="s">
        <v>44</v>
      </c>
      <c r="O277" t="str">
        <f t="shared" si="8"/>
        <v>Good</v>
      </c>
      <c r="P277">
        <f t="shared" si="9"/>
        <v>1123.28</v>
      </c>
      <c r="Q277">
        <v>45925</v>
      </c>
      <c r="R277">
        <f>YEAR(Table1[[#This Row],[Order_Date_New]])</f>
        <v>2025</v>
      </c>
      <c r="S277">
        <f>MONTH(Table1[[#This Row],[Order_Date_New]])</f>
        <v>9</v>
      </c>
      <c r="T277" t="str">
        <f>TEXT(Table1[[#This Row],[Order_Date_New]],"mmmm")</f>
        <v>September</v>
      </c>
      <c r="U277">
        <f>Table1[[#This Row],[Profit]]/Table1[[#This Row],[Sales]]</f>
        <v>1.156323445623531E-2</v>
      </c>
      <c r="V277" t="str">
        <f>IF(Table1[[#This Row],[Discount]]=0,"No Discount",IF(Table1[[#This Row],[Discount]]&lt;=0.1,"Low",IF(Table1[[#This Row],[Discount]]&lt;=0.2,"medium","high")))</f>
        <v>medium</v>
      </c>
    </row>
    <row r="278" spans="1:22" x14ac:dyDescent="0.3">
      <c r="A278" t="s">
        <v>522</v>
      </c>
      <c r="B278" s="6">
        <v>45666</v>
      </c>
      <c r="C278" t="s">
        <v>398</v>
      </c>
      <c r="D278" t="s">
        <v>24</v>
      </c>
      <c r="E278" t="s">
        <v>59</v>
      </c>
      <c r="F278" t="s">
        <v>72</v>
      </c>
      <c r="G278" t="s">
        <v>111</v>
      </c>
      <c r="H278" t="s">
        <v>158</v>
      </c>
      <c r="I278">
        <v>9611.82</v>
      </c>
      <c r="J278">
        <v>9</v>
      </c>
      <c r="K278">
        <v>0</v>
      </c>
      <c r="L278">
        <v>3432.98</v>
      </c>
      <c r="M278" t="s">
        <v>105</v>
      </c>
      <c r="N278" t="s">
        <v>80</v>
      </c>
      <c r="O278" t="str">
        <f t="shared" si="8"/>
        <v>Good</v>
      </c>
      <c r="P278">
        <f t="shared" si="9"/>
        <v>1067.98</v>
      </c>
      <c r="Q278">
        <v>45666</v>
      </c>
      <c r="R278">
        <f>YEAR(Table1[[#This Row],[Order_Date_New]])</f>
        <v>2025</v>
      </c>
      <c r="S278">
        <f>MONTH(Table1[[#This Row],[Order_Date_New]])</f>
        <v>1</v>
      </c>
      <c r="T278" t="str">
        <f>TEXT(Table1[[#This Row],[Order_Date_New]],"mmmm")</f>
        <v>January</v>
      </c>
      <c r="U278">
        <f>Table1[[#This Row],[Profit]]/Table1[[#This Row],[Sales]]</f>
        <v>0.35716232721794627</v>
      </c>
      <c r="V278" t="str">
        <f>IF(Table1[[#This Row],[Discount]]=0,"No Discount",IF(Table1[[#This Row],[Discount]]&lt;=0.1,"Low",IF(Table1[[#This Row],[Discount]]&lt;=0.2,"medium","high")))</f>
        <v>No Discount</v>
      </c>
    </row>
    <row r="279" spans="1:22" x14ac:dyDescent="0.3">
      <c r="A279" t="s">
        <v>523</v>
      </c>
      <c r="B279" s="6">
        <v>45549</v>
      </c>
      <c r="C279" t="s">
        <v>268</v>
      </c>
      <c r="D279" t="s">
        <v>33</v>
      </c>
      <c r="E279" t="s">
        <v>34</v>
      </c>
      <c r="F279" t="s">
        <v>60</v>
      </c>
      <c r="G279" t="s">
        <v>98</v>
      </c>
      <c r="H279" t="s">
        <v>141</v>
      </c>
      <c r="I279">
        <v>6228.12</v>
      </c>
      <c r="J279">
        <v>6</v>
      </c>
      <c r="K279">
        <v>0</v>
      </c>
      <c r="L279">
        <v>1660.22</v>
      </c>
      <c r="M279" t="s">
        <v>68</v>
      </c>
      <c r="N279" t="s">
        <v>38</v>
      </c>
      <c r="O279" t="str">
        <f t="shared" si="8"/>
        <v>Bad</v>
      </c>
      <c r="P279">
        <f t="shared" si="9"/>
        <v>1038.02</v>
      </c>
      <c r="Q279">
        <v>45549</v>
      </c>
      <c r="R279">
        <f>YEAR(Table1[[#This Row],[Order_Date_New]])</f>
        <v>2024</v>
      </c>
      <c r="S279">
        <f>MONTH(Table1[[#This Row],[Order_Date_New]])</f>
        <v>9</v>
      </c>
      <c r="T279" t="str">
        <f>TEXT(Table1[[#This Row],[Order_Date_New]],"mmmm")</f>
        <v>September</v>
      </c>
      <c r="U279">
        <f>Table1[[#This Row],[Profit]]/Table1[[#This Row],[Sales]]</f>
        <v>0.2665684026640463</v>
      </c>
      <c r="V279" t="str">
        <f>IF(Table1[[#This Row],[Discount]]=0,"No Discount",IF(Table1[[#This Row],[Discount]]&lt;=0.1,"Low",IF(Table1[[#This Row],[Discount]]&lt;=0.2,"medium","high")))</f>
        <v>No Discount</v>
      </c>
    </row>
    <row r="280" spans="1:22" x14ac:dyDescent="0.3">
      <c r="A280" t="s">
        <v>524</v>
      </c>
      <c r="B280" s="6">
        <v>45407</v>
      </c>
      <c r="C280" t="s">
        <v>115</v>
      </c>
      <c r="D280" t="s">
        <v>53</v>
      </c>
      <c r="E280" t="s">
        <v>54</v>
      </c>
      <c r="F280" t="s">
        <v>26</v>
      </c>
      <c r="G280" t="s">
        <v>27</v>
      </c>
      <c r="H280" t="s">
        <v>28</v>
      </c>
      <c r="I280">
        <v>3499.32</v>
      </c>
      <c r="J280">
        <v>6</v>
      </c>
      <c r="K280">
        <v>0</v>
      </c>
      <c r="L280">
        <v>507.36</v>
      </c>
      <c r="M280" t="s">
        <v>43</v>
      </c>
      <c r="N280" t="s">
        <v>80</v>
      </c>
      <c r="O280" t="str">
        <f t="shared" si="8"/>
        <v>Bad</v>
      </c>
      <c r="P280">
        <f t="shared" si="9"/>
        <v>583.22</v>
      </c>
      <c r="Q280">
        <v>45407</v>
      </c>
      <c r="R280">
        <f>YEAR(Table1[[#This Row],[Order_Date_New]])</f>
        <v>2024</v>
      </c>
      <c r="S280">
        <f>MONTH(Table1[[#This Row],[Order_Date_New]])</f>
        <v>4</v>
      </c>
      <c r="T280" t="str">
        <f>TEXT(Table1[[#This Row],[Order_Date_New]],"mmmm")</f>
        <v>April</v>
      </c>
      <c r="U280">
        <f>Table1[[#This Row],[Profit]]/Table1[[#This Row],[Sales]]</f>
        <v>0.1449881691300024</v>
      </c>
      <c r="V280" t="str">
        <f>IF(Table1[[#This Row],[Discount]]=0,"No Discount",IF(Table1[[#This Row],[Discount]]&lt;=0.1,"Low",IF(Table1[[#This Row],[Discount]]&lt;=0.2,"medium","high")))</f>
        <v>No Discount</v>
      </c>
    </row>
    <row r="281" spans="1:22" x14ac:dyDescent="0.3">
      <c r="A281" t="s">
        <v>525</v>
      </c>
      <c r="B281" s="6">
        <v>45779</v>
      </c>
      <c r="C281" t="s">
        <v>268</v>
      </c>
      <c r="D281" t="s">
        <v>24</v>
      </c>
      <c r="E281" t="s">
        <v>59</v>
      </c>
      <c r="F281" t="s">
        <v>26</v>
      </c>
      <c r="G281" t="s">
        <v>35</v>
      </c>
      <c r="H281" t="s">
        <v>55</v>
      </c>
      <c r="I281">
        <v>7594.02</v>
      </c>
      <c r="J281">
        <v>7</v>
      </c>
      <c r="K281">
        <v>0.15</v>
      </c>
      <c r="L281">
        <v>516.94000000000005</v>
      </c>
      <c r="M281" t="s">
        <v>133</v>
      </c>
      <c r="N281" t="s">
        <v>80</v>
      </c>
      <c r="O281" t="str">
        <f t="shared" si="8"/>
        <v>Bad</v>
      </c>
      <c r="P281">
        <f t="shared" si="9"/>
        <v>1084.8600000000001</v>
      </c>
      <c r="Q281">
        <v>45779</v>
      </c>
      <c r="R281">
        <f>YEAR(Table1[[#This Row],[Order_Date_New]])</f>
        <v>2025</v>
      </c>
      <c r="S281">
        <f>MONTH(Table1[[#This Row],[Order_Date_New]])</f>
        <v>5</v>
      </c>
      <c r="T281" t="str">
        <f>TEXT(Table1[[#This Row],[Order_Date_New]],"mmmm")</f>
        <v>May</v>
      </c>
      <c r="U281">
        <f>Table1[[#This Row],[Profit]]/Table1[[#This Row],[Sales]]</f>
        <v>6.8071982955009339E-2</v>
      </c>
      <c r="V281" t="str">
        <f>IF(Table1[[#This Row],[Discount]]=0,"No Discount",IF(Table1[[#This Row],[Discount]]&lt;=0.1,"Low",IF(Table1[[#This Row],[Discount]]&lt;=0.2,"medium","high")))</f>
        <v>medium</v>
      </c>
    </row>
    <row r="282" spans="1:22" x14ac:dyDescent="0.3">
      <c r="A282" t="s">
        <v>526</v>
      </c>
      <c r="B282" s="6">
        <v>45813</v>
      </c>
      <c r="C282" t="s">
        <v>172</v>
      </c>
      <c r="D282" t="s">
        <v>33</v>
      </c>
      <c r="E282" t="s">
        <v>66</v>
      </c>
      <c r="F282" t="s">
        <v>60</v>
      </c>
      <c r="G282" t="s">
        <v>78</v>
      </c>
      <c r="H282" t="s">
        <v>79</v>
      </c>
      <c r="I282">
        <v>6642.08</v>
      </c>
      <c r="J282">
        <v>8</v>
      </c>
      <c r="K282">
        <v>0.2</v>
      </c>
      <c r="L282">
        <v>790.12</v>
      </c>
      <c r="M282" t="s">
        <v>133</v>
      </c>
      <c r="N282" t="s">
        <v>30</v>
      </c>
      <c r="O282" t="str">
        <f t="shared" si="8"/>
        <v>Good</v>
      </c>
      <c r="P282">
        <f t="shared" si="9"/>
        <v>830.26</v>
      </c>
      <c r="Q282">
        <v>45813</v>
      </c>
      <c r="R282">
        <f>YEAR(Table1[[#This Row],[Order_Date_New]])</f>
        <v>2025</v>
      </c>
      <c r="S282">
        <f>MONTH(Table1[[#This Row],[Order_Date_New]])</f>
        <v>6</v>
      </c>
      <c r="T282" t="str">
        <f>TEXT(Table1[[#This Row],[Order_Date_New]],"mmmm")</f>
        <v>June</v>
      </c>
      <c r="U282">
        <f>Table1[[#This Row],[Profit]]/Table1[[#This Row],[Sales]]</f>
        <v>0.11895671235516585</v>
      </c>
      <c r="V282" t="str">
        <f>IF(Table1[[#This Row],[Discount]]=0,"No Discount",IF(Table1[[#This Row],[Discount]]&lt;=0.1,"Low",IF(Table1[[#This Row],[Discount]]&lt;=0.2,"medium","high")))</f>
        <v>medium</v>
      </c>
    </row>
    <row r="283" spans="1:22" x14ac:dyDescent="0.3">
      <c r="A283" t="s">
        <v>527</v>
      </c>
      <c r="B283" s="6">
        <v>45648</v>
      </c>
      <c r="C283" t="s">
        <v>213</v>
      </c>
      <c r="D283" t="s">
        <v>128</v>
      </c>
      <c r="E283" t="s">
        <v>132</v>
      </c>
      <c r="F283" t="s">
        <v>60</v>
      </c>
      <c r="G283" t="s">
        <v>78</v>
      </c>
      <c r="H283" t="s">
        <v>125</v>
      </c>
      <c r="I283">
        <v>3514.35</v>
      </c>
      <c r="J283">
        <v>5</v>
      </c>
      <c r="K283">
        <v>0.25</v>
      </c>
      <c r="L283">
        <v>-171.13</v>
      </c>
      <c r="M283" t="s">
        <v>90</v>
      </c>
      <c r="N283" t="s">
        <v>80</v>
      </c>
      <c r="O283" t="str">
        <f t="shared" si="8"/>
        <v>Bad</v>
      </c>
      <c r="P283">
        <f t="shared" si="9"/>
        <v>702.87</v>
      </c>
      <c r="Q283">
        <v>45648</v>
      </c>
      <c r="R283">
        <f>YEAR(Table1[[#This Row],[Order_Date_New]])</f>
        <v>2024</v>
      </c>
      <c r="S283">
        <f>MONTH(Table1[[#This Row],[Order_Date_New]])</f>
        <v>12</v>
      </c>
      <c r="T283" t="str">
        <f>TEXT(Table1[[#This Row],[Order_Date_New]],"mmmm")</f>
        <v>December</v>
      </c>
      <c r="U283">
        <f>Table1[[#This Row],[Profit]]/Table1[[#This Row],[Sales]]</f>
        <v>-4.8694637699716874E-2</v>
      </c>
      <c r="V283" t="str">
        <f>IF(Table1[[#This Row],[Discount]]=0,"No Discount",IF(Table1[[#This Row],[Discount]]&lt;=0.1,"Low",IF(Table1[[#This Row],[Discount]]&lt;=0.2,"medium","high")))</f>
        <v>high</v>
      </c>
    </row>
    <row r="284" spans="1:22" x14ac:dyDescent="0.3">
      <c r="A284" t="s">
        <v>528</v>
      </c>
      <c r="B284" s="6">
        <v>45412</v>
      </c>
      <c r="C284" t="s">
        <v>490</v>
      </c>
      <c r="D284" t="s">
        <v>53</v>
      </c>
      <c r="E284" t="s">
        <v>87</v>
      </c>
      <c r="F284" t="s">
        <v>60</v>
      </c>
      <c r="G284" t="s">
        <v>78</v>
      </c>
      <c r="H284" t="s">
        <v>125</v>
      </c>
      <c r="I284">
        <v>5785.38</v>
      </c>
      <c r="J284">
        <v>9</v>
      </c>
      <c r="K284">
        <v>0.25</v>
      </c>
      <c r="L284">
        <v>-984.2</v>
      </c>
      <c r="M284" t="s">
        <v>105</v>
      </c>
      <c r="N284" t="s">
        <v>30</v>
      </c>
      <c r="O284" t="str">
        <f t="shared" si="8"/>
        <v>Good</v>
      </c>
      <c r="P284">
        <f t="shared" si="9"/>
        <v>642.82000000000005</v>
      </c>
      <c r="Q284">
        <v>45412</v>
      </c>
      <c r="R284">
        <f>YEAR(Table1[[#This Row],[Order_Date_New]])</f>
        <v>2024</v>
      </c>
      <c r="S284">
        <f>MONTH(Table1[[#This Row],[Order_Date_New]])</f>
        <v>4</v>
      </c>
      <c r="T284" t="str">
        <f>TEXT(Table1[[#This Row],[Order_Date_New]],"mmmm")</f>
        <v>April</v>
      </c>
      <c r="U284">
        <f>Table1[[#This Row],[Profit]]/Table1[[#This Row],[Sales]]</f>
        <v>-0.17011847104252445</v>
      </c>
      <c r="V284" t="str">
        <f>IF(Table1[[#This Row],[Discount]]=0,"No Discount",IF(Table1[[#This Row],[Discount]]&lt;=0.1,"Low",IF(Table1[[#This Row],[Discount]]&lt;=0.2,"medium","high")))</f>
        <v>high</v>
      </c>
    </row>
    <row r="285" spans="1:22" x14ac:dyDescent="0.3">
      <c r="A285" t="s">
        <v>529</v>
      </c>
      <c r="B285" s="6">
        <v>45352</v>
      </c>
      <c r="C285" t="s">
        <v>273</v>
      </c>
      <c r="D285" t="s">
        <v>53</v>
      </c>
      <c r="E285" t="s">
        <v>107</v>
      </c>
      <c r="F285" t="s">
        <v>26</v>
      </c>
      <c r="G285" t="s">
        <v>41</v>
      </c>
      <c r="H285" t="s">
        <v>189</v>
      </c>
      <c r="I285">
        <v>1766.61</v>
      </c>
      <c r="J285">
        <v>9</v>
      </c>
      <c r="K285">
        <v>0.25</v>
      </c>
      <c r="L285">
        <v>-227.11</v>
      </c>
      <c r="M285" t="s">
        <v>29</v>
      </c>
      <c r="N285" t="s">
        <v>30</v>
      </c>
      <c r="O285" t="str">
        <f t="shared" si="8"/>
        <v>Bad</v>
      </c>
      <c r="P285">
        <f t="shared" si="9"/>
        <v>196.29</v>
      </c>
      <c r="Q285">
        <v>45352</v>
      </c>
      <c r="R285">
        <f>YEAR(Table1[[#This Row],[Order_Date_New]])</f>
        <v>2024</v>
      </c>
      <c r="S285">
        <f>MONTH(Table1[[#This Row],[Order_Date_New]])</f>
        <v>3</v>
      </c>
      <c r="T285" t="str">
        <f>TEXT(Table1[[#This Row],[Order_Date_New]],"mmmm")</f>
        <v>March</v>
      </c>
      <c r="U285">
        <f>Table1[[#This Row],[Profit]]/Table1[[#This Row],[Sales]]</f>
        <v>-0.1285569537136097</v>
      </c>
      <c r="V285" t="str">
        <f>IF(Table1[[#This Row],[Discount]]=0,"No Discount",IF(Table1[[#This Row],[Discount]]&lt;=0.1,"Low",IF(Table1[[#This Row],[Discount]]&lt;=0.2,"medium","high")))</f>
        <v>high</v>
      </c>
    </row>
    <row r="286" spans="1:22" x14ac:dyDescent="0.3">
      <c r="A286" t="s">
        <v>530</v>
      </c>
      <c r="B286" s="6">
        <v>45706</v>
      </c>
      <c r="C286" t="s">
        <v>65</v>
      </c>
      <c r="D286" t="s">
        <v>53</v>
      </c>
      <c r="E286" t="s">
        <v>77</v>
      </c>
      <c r="F286" t="s">
        <v>72</v>
      </c>
      <c r="G286" t="s">
        <v>111</v>
      </c>
      <c r="H286" t="s">
        <v>112</v>
      </c>
      <c r="I286">
        <v>150.61000000000001</v>
      </c>
      <c r="J286">
        <v>1</v>
      </c>
      <c r="K286">
        <v>0.3</v>
      </c>
      <c r="L286">
        <v>-37.54</v>
      </c>
      <c r="M286" t="s">
        <v>68</v>
      </c>
      <c r="N286" t="s">
        <v>38</v>
      </c>
      <c r="O286" t="str">
        <f t="shared" si="8"/>
        <v>Bad</v>
      </c>
      <c r="P286">
        <f t="shared" si="9"/>
        <v>150.61000000000001</v>
      </c>
      <c r="Q286">
        <v>45706</v>
      </c>
      <c r="R286">
        <f>YEAR(Table1[[#This Row],[Order_Date_New]])</f>
        <v>2025</v>
      </c>
      <c r="S286">
        <f>MONTH(Table1[[#This Row],[Order_Date_New]])</f>
        <v>2</v>
      </c>
      <c r="T286" t="str">
        <f>TEXT(Table1[[#This Row],[Order_Date_New]],"mmmm")</f>
        <v>February</v>
      </c>
      <c r="U286">
        <f>Table1[[#This Row],[Profit]]/Table1[[#This Row],[Sales]]</f>
        <v>-0.24925303764690257</v>
      </c>
      <c r="V286" t="str">
        <f>IF(Table1[[#This Row],[Discount]]=0,"No Discount",IF(Table1[[#This Row],[Discount]]&lt;=0.1,"Low",IF(Table1[[#This Row],[Discount]]&lt;=0.2,"medium","high")))</f>
        <v>high</v>
      </c>
    </row>
    <row r="287" spans="1:22" x14ac:dyDescent="0.3">
      <c r="A287" t="s">
        <v>531</v>
      </c>
      <c r="B287" s="6">
        <v>45603</v>
      </c>
      <c r="C287" t="s">
        <v>208</v>
      </c>
      <c r="D287" t="s">
        <v>53</v>
      </c>
      <c r="E287" t="s">
        <v>107</v>
      </c>
      <c r="F287" t="s">
        <v>26</v>
      </c>
      <c r="G287" t="s">
        <v>41</v>
      </c>
      <c r="H287" t="s">
        <v>189</v>
      </c>
      <c r="I287">
        <v>4844.22</v>
      </c>
      <c r="J287">
        <v>6</v>
      </c>
      <c r="K287">
        <v>0.2</v>
      </c>
      <c r="L287">
        <v>-314.5</v>
      </c>
      <c r="M287" t="s">
        <v>68</v>
      </c>
      <c r="N287" t="s">
        <v>44</v>
      </c>
      <c r="O287" t="str">
        <f t="shared" si="8"/>
        <v>Bad</v>
      </c>
      <c r="P287">
        <f t="shared" si="9"/>
        <v>807.37</v>
      </c>
      <c r="Q287">
        <v>45603</v>
      </c>
      <c r="R287">
        <f>YEAR(Table1[[#This Row],[Order_Date_New]])</f>
        <v>2024</v>
      </c>
      <c r="S287">
        <f>MONTH(Table1[[#This Row],[Order_Date_New]])</f>
        <v>11</v>
      </c>
      <c r="T287" t="str">
        <f>TEXT(Table1[[#This Row],[Order_Date_New]],"mmmm")</f>
        <v>November</v>
      </c>
      <c r="U287">
        <f>Table1[[#This Row],[Profit]]/Table1[[#This Row],[Sales]]</f>
        <v>-6.4922732658714913E-2</v>
      </c>
      <c r="V287" t="str">
        <f>IF(Table1[[#This Row],[Discount]]=0,"No Discount",IF(Table1[[#This Row],[Discount]]&lt;=0.1,"Low",IF(Table1[[#This Row],[Discount]]&lt;=0.2,"medium","high")))</f>
        <v>medium</v>
      </c>
    </row>
    <row r="288" spans="1:22" x14ac:dyDescent="0.3">
      <c r="A288" t="s">
        <v>532</v>
      </c>
      <c r="B288" s="6">
        <v>45391</v>
      </c>
      <c r="C288" t="s">
        <v>533</v>
      </c>
      <c r="D288" t="s">
        <v>128</v>
      </c>
      <c r="E288" t="s">
        <v>129</v>
      </c>
      <c r="F288" t="s">
        <v>60</v>
      </c>
      <c r="G288" t="s">
        <v>98</v>
      </c>
      <c r="H288" t="s">
        <v>141</v>
      </c>
      <c r="I288">
        <v>1203.3599999999999</v>
      </c>
      <c r="J288">
        <v>2</v>
      </c>
      <c r="K288">
        <v>0.2</v>
      </c>
      <c r="L288">
        <v>191.63</v>
      </c>
      <c r="M288" t="s">
        <v>105</v>
      </c>
      <c r="N288" t="s">
        <v>80</v>
      </c>
      <c r="O288" t="str">
        <f t="shared" si="8"/>
        <v>Bad</v>
      </c>
      <c r="P288">
        <f t="shared" si="9"/>
        <v>601.67999999999995</v>
      </c>
      <c r="Q288">
        <v>45391</v>
      </c>
      <c r="R288">
        <f>YEAR(Table1[[#This Row],[Order_Date_New]])</f>
        <v>2024</v>
      </c>
      <c r="S288">
        <f>MONTH(Table1[[#This Row],[Order_Date_New]])</f>
        <v>4</v>
      </c>
      <c r="T288" t="str">
        <f>TEXT(Table1[[#This Row],[Order_Date_New]],"mmmm")</f>
        <v>April</v>
      </c>
      <c r="U288">
        <f>Table1[[#This Row],[Profit]]/Table1[[#This Row],[Sales]]</f>
        <v>0.15924577848690336</v>
      </c>
      <c r="V288" t="str">
        <f>IF(Table1[[#This Row],[Discount]]=0,"No Discount",IF(Table1[[#This Row],[Discount]]&lt;=0.1,"Low",IF(Table1[[#This Row],[Discount]]&lt;=0.2,"medium","high")))</f>
        <v>medium</v>
      </c>
    </row>
    <row r="289" spans="1:22" x14ac:dyDescent="0.3">
      <c r="A289" t="s">
        <v>534</v>
      </c>
      <c r="B289" s="6">
        <v>45996</v>
      </c>
      <c r="C289" t="s">
        <v>535</v>
      </c>
      <c r="D289" t="s">
        <v>53</v>
      </c>
      <c r="E289" t="s">
        <v>54</v>
      </c>
      <c r="F289" t="s">
        <v>72</v>
      </c>
      <c r="G289" t="s">
        <v>111</v>
      </c>
      <c r="H289" t="s">
        <v>158</v>
      </c>
      <c r="I289">
        <v>4331.32</v>
      </c>
      <c r="J289">
        <v>7</v>
      </c>
      <c r="K289">
        <v>0.3</v>
      </c>
      <c r="L289">
        <v>-774.81</v>
      </c>
      <c r="M289" t="s">
        <v>68</v>
      </c>
      <c r="N289" t="s">
        <v>80</v>
      </c>
      <c r="O289" t="str">
        <f t="shared" si="8"/>
        <v>Bad</v>
      </c>
      <c r="P289">
        <f t="shared" si="9"/>
        <v>618.76</v>
      </c>
      <c r="Q289">
        <v>45996</v>
      </c>
      <c r="R289">
        <f>YEAR(Table1[[#This Row],[Order_Date_New]])</f>
        <v>2025</v>
      </c>
      <c r="S289">
        <f>MONTH(Table1[[#This Row],[Order_Date_New]])</f>
        <v>12</v>
      </c>
      <c r="T289" t="str">
        <f>TEXT(Table1[[#This Row],[Order_Date_New]],"mmmm")</f>
        <v>December</v>
      </c>
      <c r="U289">
        <f>Table1[[#This Row],[Profit]]/Table1[[#This Row],[Sales]]</f>
        <v>-0.17888542061080687</v>
      </c>
      <c r="V289" t="str">
        <f>IF(Table1[[#This Row],[Discount]]=0,"No Discount",IF(Table1[[#This Row],[Discount]]&lt;=0.1,"Low",IF(Table1[[#This Row],[Discount]]&lt;=0.2,"medium","high")))</f>
        <v>high</v>
      </c>
    </row>
    <row r="290" spans="1:22" x14ac:dyDescent="0.3">
      <c r="A290" t="s">
        <v>536</v>
      </c>
      <c r="B290" s="6">
        <v>45786</v>
      </c>
      <c r="C290" t="s">
        <v>427</v>
      </c>
      <c r="D290" t="s">
        <v>24</v>
      </c>
      <c r="E290" t="s">
        <v>25</v>
      </c>
      <c r="F290" t="s">
        <v>60</v>
      </c>
      <c r="G290" t="s">
        <v>78</v>
      </c>
      <c r="H290" t="s">
        <v>125</v>
      </c>
      <c r="I290">
        <v>5096.5200000000004</v>
      </c>
      <c r="J290">
        <v>9</v>
      </c>
      <c r="K290">
        <v>0.3</v>
      </c>
      <c r="L290">
        <v>610.91</v>
      </c>
      <c r="M290" t="s">
        <v>105</v>
      </c>
      <c r="N290" t="s">
        <v>44</v>
      </c>
      <c r="O290" t="str">
        <f t="shared" si="8"/>
        <v>Good</v>
      </c>
      <c r="P290">
        <f t="shared" si="9"/>
        <v>566.28000000000009</v>
      </c>
      <c r="Q290">
        <v>45786</v>
      </c>
      <c r="R290">
        <f>YEAR(Table1[[#This Row],[Order_Date_New]])</f>
        <v>2025</v>
      </c>
      <c r="S290">
        <f>MONTH(Table1[[#This Row],[Order_Date_New]])</f>
        <v>5</v>
      </c>
      <c r="T290" t="str">
        <f>TEXT(Table1[[#This Row],[Order_Date_New]],"mmmm")</f>
        <v>May</v>
      </c>
      <c r="U290">
        <f>Table1[[#This Row],[Profit]]/Table1[[#This Row],[Sales]]</f>
        <v>0.11986806683776378</v>
      </c>
      <c r="V290" t="str">
        <f>IF(Table1[[#This Row],[Discount]]=0,"No Discount",IF(Table1[[#This Row],[Discount]]&lt;=0.1,"Low",IF(Table1[[#This Row],[Discount]]&lt;=0.2,"medium","high")))</f>
        <v>high</v>
      </c>
    </row>
    <row r="291" spans="1:22" x14ac:dyDescent="0.3">
      <c r="A291" t="s">
        <v>537</v>
      </c>
      <c r="B291" s="6">
        <v>45617</v>
      </c>
      <c r="C291" t="s">
        <v>538</v>
      </c>
      <c r="D291" t="s">
        <v>53</v>
      </c>
      <c r="E291" t="s">
        <v>77</v>
      </c>
      <c r="F291" t="s">
        <v>72</v>
      </c>
      <c r="G291" t="s">
        <v>73</v>
      </c>
      <c r="H291" t="s">
        <v>74</v>
      </c>
      <c r="I291">
        <v>4739.1000000000004</v>
      </c>
      <c r="J291">
        <v>6</v>
      </c>
      <c r="K291">
        <v>0.3</v>
      </c>
      <c r="L291">
        <v>73.430000000000007</v>
      </c>
      <c r="M291" t="s">
        <v>68</v>
      </c>
      <c r="N291" t="s">
        <v>44</v>
      </c>
      <c r="O291" t="str">
        <f t="shared" si="8"/>
        <v>Bad</v>
      </c>
      <c r="P291">
        <f t="shared" si="9"/>
        <v>789.85</v>
      </c>
      <c r="Q291">
        <v>45617</v>
      </c>
      <c r="R291">
        <f>YEAR(Table1[[#This Row],[Order_Date_New]])</f>
        <v>2024</v>
      </c>
      <c r="S291">
        <f>MONTH(Table1[[#This Row],[Order_Date_New]])</f>
        <v>11</v>
      </c>
      <c r="T291" t="str">
        <f>TEXT(Table1[[#This Row],[Order_Date_New]],"mmmm")</f>
        <v>November</v>
      </c>
      <c r="U291">
        <f>Table1[[#This Row],[Profit]]/Table1[[#This Row],[Sales]]</f>
        <v>1.5494503175708468E-2</v>
      </c>
      <c r="V291" t="str">
        <f>IF(Table1[[#This Row],[Discount]]=0,"No Discount",IF(Table1[[#This Row],[Discount]]&lt;=0.1,"Low",IF(Table1[[#This Row],[Discount]]&lt;=0.2,"medium","high")))</f>
        <v>high</v>
      </c>
    </row>
    <row r="292" spans="1:22" x14ac:dyDescent="0.3">
      <c r="A292" t="s">
        <v>539</v>
      </c>
      <c r="B292" s="6">
        <v>46015</v>
      </c>
      <c r="C292" t="s">
        <v>384</v>
      </c>
      <c r="D292" t="s">
        <v>24</v>
      </c>
      <c r="E292" t="s">
        <v>84</v>
      </c>
      <c r="F292" t="s">
        <v>72</v>
      </c>
      <c r="G292" t="s">
        <v>88</v>
      </c>
      <c r="H292" t="s">
        <v>89</v>
      </c>
      <c r="I292">
        <v>188.91</v>
      </c>
      <c r="J292">
        <v>1</v>
      </c>
      <c r="K292">
        <v>0.1</v>
      </c>
      <c r="L292">
        <v>-1.83</v>
      </c>
      <c r="M292" t="s">
        <v>49</v>
      </c>
      <c r="N292" t="s">
        <v>44</v>
      </c>
      <c r="O292" t="str">
        <f t="shared" si="8"/>
        <v>Bad</v>
      </c>
      <c r="P292">
        <f t="shared" si="9"/>
        <v>188.91</v>
      </c>
      <c r="Q292">
        <v>46015</v>
      </c>
      <c r="R292">
        <f>YEAR(Table1[[#This Row],[Order_Date_New]])</f>
        <v>2025</v>
      </c>
      <c r="S292">
        <f>MONTH(Table1[[#This Row],[Order_Date_New]])</f>
        <v>12</v>
      </c>
      <c r="T292" t="str">
        <f>TEXT(Table1[[#This Row],[Order_Date_New]],"mmmm")</f>
        <v>December</v>
      </c>
      <c r="U292">
        <f>Table1[[#This Row],[Profit]]/Table1[[#This Row],[Sales]]</f>
        <v>-9.6871526123550895E-3</v>
      </c>
      <c r="V292" t="str">
        <f>IF(Table1[[#This Row],[Discount]]=0,"No Discount",IF(Table1[[#This Row],[Discount]]&lt;=0.1,"Low",IF(Table1[[#This Row],[Discount]]&lt;=0.2,"medium","high")))</f>
        <v>Low</v>
      </c>
    </row>
    <row r="293" spans="1:22" x14ac:dyDescent="0.3">
      <c r="A293" t="s">
        <v>540</v>
      </c>
      <c r="B293" s="6">
        <v>45575</v>
      </c>
      <c r="C293" t="s">
        <v>427</v>
      </c>
      <c r="D293" t="s">
        <v>33</v>
      </c>
      <c r="E293" t="s">
        <v>118</v>
      </c>
      <c r="F293" t="s">
        <v>60</v>
      </c>
      <c r="G293" t="s">
        <v>78</v>
      </c>
      <c r="H293" t="s">
        <v>222</v>
      </c>
      <c r="I293">
        <v>1066.8699999999999</v>
      </c>
      <c r="J293">
        <v>7</v>
      </c>
      <c r="K293">
        <v>0.2</v>
      </c>
      <c r="L293">
        <v>-157.91999999999999</v>
      </c>
      <c r="M293" t="s">
        <v>49</v>
      </c>
      <c r="N293" t="s">
        <v>38</v>
      </c>
      <c r="O293" t="str">
        <f t="shared" si="8"/>
        <v>Bad</v>
      </c>
      <c r="P293">
        <f t="shared" si="9"/>
        <v>152.41</v>
      </c>
      <c r="Q293">
        <v>45575</v>
      </c>
      <c r="R293">
        <f>YEAR(Table1[[#This Row],[Order_Date_New]])</f>
        <v>2024</v>
      </c>
      <c r="S293">
        <f>MONTH(Table1[[#This Row],[Order_Date_New]])</f>
        <v>10</v>
      </c>
      <c r="T293" t="str">
        <f>TEXT(Table1[[#This Row],[Order_Date_New]],"mmmm")</f>
        <v>October</v>
      </c>
      <c r="U293">
        <f>Table1[[#This Row],[Profit]]/Table1[[#This Row],[Sales]]</f>
        <v>-0.14802178334754937</v>
      </c>
      <c r="V293" t="str">
        <f>IF(Table1[[#This Row],[Discount]]=0,"No Discount",IF(Table1[[#This Row],[Discount]]&lt;=0.1,"Low",IF(Table1[[#This Row],[Discount]]&lt;=0.2,"medium","high")))</f>
        <v>medium</v>
      </c>
    </row>
    <row r="294" spans="1:22" x14ac:dyDescent="0.3">
      <c r="A294" t="s">
        <v>541</v>
      </c>
      <c r="B294" s="6">
        <v>45993</v>
      </c>
      <c r="C294" t="s">
        <v>65</v>
      </c>
      <c r="D294" t="s">
        <v>33</v>
      </c>
      <c r="E294" t="s">
        <v>34</v>
      </c>
      <c r="F294" t="s">
        <v>72</v>
      </c>
      <c r="G294" t="s">
        <v>88</v>
      </c>
      <c r="H294" t="s">
        <v>119</v>
      </c>
      <c r="I294">
        <v>1545.87</v>
      </c>
      <c r="J294">
        <v>3</v>
      </c>
      <c r="K294">
        <v>0.25</v>
      </c>
      <c r="L294">
        <v>-148.79</v>
      </c>
      <c r="M294" t="s">
        <v>43</v>
      </c>
      <c r="N294" t="s">
        <v>44</v>
      </c>
      <c r="O294" t="str">
        <f t="shared" si="8"/>
        <v>Bad</v>
      </c>
      <c r="P294">
        <f t="shared" si="9"/>
        <v>515.29</v>
      </c>
      <c r="Q294">
        <v>45993</v>
      </c>
      <c r="R294">
        <f>YEAR(Table1[[#This Row],[Order_Date_New]])</f>
        <v>2025</v>
      </c>
      <c r="S294">
        <f>MONTH(Table1[[#This Row],[Order_Date_New]])</f>
        <v>12</v>
      </c>
      <c r="T294" t="str">
        <f>TEXT(Table1[[#This Row],[Order_Date_New]],"mmmm")</f>
        <v>December</v>
      </c>
      <c r="U294">
        <f>Table1[[#This Row],[Profit]]/Table1[[#This Row],[Sales]]</f>
        <v>-9.6250008086061573E-2</v>
      </c>
      <c r="V294" t="str">
        <f>IF(Table1[[#This Row],[Discount]]=0,"No Discount",IF(Table1[[#This Row],[Discount]]&lt;=0.1,"Low",IF(Table1[[#This Row],[Discount]]&lt;=0.2,"medium","high")))</f>
        <v>high</v>
      </c>
    </row>
    <row r="295" spans="1:22" x14ac:dyDescent="0.3">
      <c r="A295" t="s">
        <v>542</v>
      </c>
      <c r="B295" s="6">
        <v>45467</v>
      </c>
      <c r="C295" t="s">
        <v>261</v>
      </c>
      <c r="D295" t="s">
        <v>33</v>
      </c>
      <c r="E295" t="s">
        <v>66</v>
      </c>
      <c r="F295" t="s">
        <v>26</v>
      </c>
      <c r="G295" t="s">
        <v>41</v>
      </c>
      <c r="H295" t="s">
        <v>42</v>
      </c>
      <c r="I295">
        <v>6220.89</v>
      </c>
      <c r="J295">
        <v>9</v>
      </c>
      <c r="K295">
        <v>0.15</v>
      </c>
      <c r="L295">
        <v>1603.6</v>
      </c>
      <c r="M295" t="s">
        <v>133</v>
      </c>
      <c r="N295" t="s">
        <v>38</v>
      </c>
      <c r="O295" t="str">
        <f t="shared" si="8"/>
        <v>Good</v>
      </c>
      <c r="P295">
        <f t="shared" si="9"/>
        <v>691.21</v>
      </c>
      <c r="Q295">
        <v>45467</v>
      </c>
      <c r="R295">
        <f>YEAR(Table1[[#This Row],[Order_Date_New]])</f>
        <v>2024</v>
      </c>
      <c r="S295">
        <f>MONTH(Table1[[#This Row],[Order_Date_New]])</f>
        <v>6</v>
      </c>
      <c r="T295" t="str">
        <f>TEXT(Table1[[#This Row],[Order_Date_New]],"mmmm")</f>
        <v>June</v>
      </c>
      <c r="U295">
        <f>Table1[[#This Row],[Profit]]/Table1[[#This Row],[Sales]]</f>
        <v>0.25777662038711502</v>
      </c>
      <c r="V295" t="str">
        <f>IF(Table1[[#This Row],[Discount]]=0,"No Discount",IF(Table1[[#This Row],[Discount]]&lt;=0.1,"Low",IF(Table1[[#This Row],[Discount]]&lt;=0.2,"medium","high")))</f>
        <v>medium</v>
      </c>
    </row>
    <row r="296" spans="1:22" x14ac:dyDescent="0.3">
      <c r="A296" t="s">
        <v>543</v>
      </c>
      <c r="B296" s="6">
        <v>45308</v>
      </c>
      <c r="C296" t="s">
        <v>213</v>
      </c>
      <c r="D296" t="s">
        <v>24</v>
      </c>
      <c r="E296" t="s">
        <v>25</v>
      </c>
      <c r="F296" t="s">
        <v>60</v>
      </c>
      <c r="G296" t="s">
        <v>61</v>
      </c>
      <c r="H296" t="s">
        <v>67</v>
      </c>
      <c r="I296">
        <v>1767.54</v>
      </c>
      <c r="J296">
        <v>3</v>
      </c>
      <c r="K296">
        <v>0.25</v>
      </c>
      <c r="L296">
        <v>-41.73</v>
      </c>
      <c r="M296" t="s">
        <v>113</v>
      </c>
      <c r="N296" t="s">
        <v>38</v>
      </c>
      <c r="O296" t="str">
        <f t="shared" si="8"/>
        <v>Bad</v>
      </c>
      <c r="P296">
        <f t="shared" si="9"/>
        <v>589.17999999999995</v>
      </c>
      <c r="Q296">
        <v>45308</v>
      </c>
      <c r="R296">
        <f>YEAR(Table1[[#This Row],[Order_Date_New]])</f>
        <v>2024</v>
      </c>
      <c r="S296">
        <f>MONTH(Table1[[#This Row],[Order_Date_New]])</f>
        <v>1</v>
      </c>
      <c r="T296" t="str">
        <f>TEXT(Table1[[#This Row],[Order_Date_New]],"mmmm")</f>
        <v>January</v>
      </c>
      <c r="U296">
        <f>Table1[[#This Row],[Profit]]/Table1[[#This Row],[Sales]]</f>
        <v>-2.3609083811398892E-2</v>
      </c>
      <c r="V296" t="str">
        <f>IF(Table1[[#This Row],[Discount]]=0,"No Discount",IF(Table1[[#This Row],[Discount]]&lt;=0.1,"Low",IF(Table1[[#This Row],[Discount]]&lt;=0.2,"medium","high")))</f>
        <v>high</v>
      </c>
    </row>
    <row r="297" spans="1:22" x14ac:dyDescent="0.3">
      <c r="A297" t="s">
        <v>544</v>
      </c>
      <c r="B297" s="6">
        <v>45639</v>
      </c>
      <c r="C297" t="s">
        <v>92</v>
      </c>
      <c r="D297" t="s">
        <v>33</v>
      </c>
      <c r="E297" t="s">
        <v>118</v>
      </c>
      <c r="F297" t="s">
        <v>72</v>
      </c>
      <c r="G297" t="s">
        <v>88</v>
      </c>
      <c r="H297" t="s">
        <v>89</v>
      </c>
      <c r="I297">
        <v>360.34</v>
      </c>
      <c r="J297">
        <v>2</v>
      </c>
      <c r="K297">
        <v>0.2</v>
      </c>
      <c r="L297">
        <v>58.46</v>
      </c>
      <c r="M297" t="s">
        <v>49</v>
      </c>
      <c r="N297" t="s">
        <v>44</v>
      </c>
      <c r="O297" t="str">
        <f t="shared" si="8"/>
        <v>Bad</v>
      </c>
      <c r="P297">
        <f t="shared" si="9"/>
        <v>180.17</v>
      </c>
      <c r="Q297">
        <v>45639</v>
      </c>
      <c r="R297">
        <f>YEAR(Table1[[#This Row],[Order_Date_New]])</f>
        <v>2024</v>
      </c>
      <c r="S297">
        <f>MONTH(Table1[[#This Row],[Order_Date_New]])</f>
        <v>12</v>
      </c>
      <c r="T297" t="str">
        <f>TEXT(Table1[[#This Row],[Order_Date_New]],"mmmm")</f>
        <v>December</v>
      </c>
      <c r="U297">
        <f>Table1[[#This Row],[Profit]]/Table1[[#This Row],[Sales]]</f>
        <v>0.16223566631514683</v>
      </c>
      <c r="V297" t="str">
        <f>IF(Table1[[#This Row],[Discount]]=0,"No Discount",IF(Table1[[#This Row],[Discount]]&lt;=0.1,"Low",IF(Table1[[#This Row],[Discount]]&lt;=0.2,"medium","high")))</f>
        <v>medium</v>
      </c>
    </row>
    <row r="298" spans="1:22" x14ac:dyDescent="0.3">
      <c r="A298" t="s">
        <v>545</v>
      </c>
      <c r="B298" s="6">
        <v>45383</v>
      </c>
      <c r="C298" t="s">
        <v>143</v>
      </c>
      <c r="D298" t="s">
        <v>53</v>
      </c>
      <c r="E298" t="s">
        <v>87</v>
      </c>
      <c r="F298" t="s">
        <v>72</v>
      </c>
      <c r="G298" t="s">
        <v>111</v>
      </c>
      <c r="H298" t="s">
        <v>112</v>
      </c>
      <c r="I298">
        <v>66.62</v>
      </c>
      <c r="J298">
        <v>1</v>
      </c>
      <c r="K298">
        <v>0.3</v>
      </c>
      <c r="L298">
        <v>-14.15</v>
      </c>
      <c r="M298" t="s">
        <v>133</v>
      </c>
      <c r="N298" t="s">
        <v>44</v>
      </c>
      <c r="O298" t="str">
        <f t="shared" si="8"/>
        <v>Bad</v>
      </c>
      <c r="P298">
        <f t="shared" si="9"/>
        <v>66.62</v>
      </c>
      <c r="Q298">
        <v>45383</v>
      </c>
      <c r="R298">
        <f>YEAR(Table1[[#This Row],[Order_Date_New]])</f>
        <v>2024</v>
      </c>
      <c r="S298">
        <f>MONTH(Table1[[#This Row],[Order_Date_New]])</f>
        <v>4</v>
      </c>
      <c r="T298" t="str">
        <f>TEXT(Table1[[#This Row],[Order_Date_New]],"mmmm")</f>
        <v>April</v>
      </c>
      <c r="U298">
        <f>Table1[[#This Row],[Profit]]/Table1[[#This Row],[Sales]]</f>
        <v>-0.21239867907535273</v>
      </c>
      <c r="V298" t="str">
        <f>IF(Table1[[#This Row],[Discount]]=0,"No Discount",IF(Table1[[#This Row],[Discount]]&lt;=0.1,"Low",IF(Table1[[#This Row],[Discount]]&lt;=0.2,"medium","high")))</f>
        <v>high</v>
      </c>
    </row>
    <row r="299" spans="1:22" x14ac:dyDescent="0.3">
      <c r="A299" t="s">
        <v>546</v>
      </c>
      <c r="B299" s="6">
        <v>45649</v>
      </c>
      <c r="C299" t="s">
        <v>470</v>
      </c>
      <c r="D299" t="s">
        <v>53</v>
      </c>
      <c r="E299" t="s">
        <v>107</v>
      </c>
      <c r="F299" t="s">
        <v>72</v>
      </c>
      <c r="G299" t="s">
        <v>111</v>
      </c>
      <c r="H299" t="s">
        <v>112</v>
      </c>
      <c r="I299">
        <v>2104.5300000000002</v>
      </c>
      <c r="J299">
        <v>3</v>
      </c>
      <c r="K299">
        <v>0.3</v>
      </c>
      <c r="L299">
        <v>56.54</v>
      </c>
      <c r="M299" t="s">
        <v>68</v>
      </c>
      <c r="N299" t="s">
        <v>44</v>
      </c>
      <c r="O299" t="str">
        <f t="shared" si="8"/>
        <v>Bad</v>
      </c>
      <c r="P299">
        <f t="shared" si="9"/>
        <v>701.5100000000001</v>
      </c>
      <c r="Q299">
        <v>45649</v>
      </c>
      <c r="R299">
        <f>YEAR(Table1[[#This Row],[Order_Date_New]])</f>
        <v>2024</v>
      </c>
      <c r="S299">
        <f>MONTH(Table1[[#This Row],[Order_Date_New]])</f>
        <v>12</v>
      </c>
      <c r="T299" t="str">
        <f>TEXT(Table1[[#This Row],[Order_Date_New]],"mmmm")</f>
        <v>December</v>
      </c>
      <c r="U299">
        <f>Table1[[#This Row],[Profit]]/Table1[[#This Row],[Sales]]</f>
        <v>2.6865856034363964E-2</v>
      </c>
      <c r="V299" t="str">
        <f>IF(Table1[[#This Row],[Discount]]=0,"No Discount",IF(Table1[[#This Row],[Discount]]&lt;=0.1,"Low",IF(Table1[[#This Row],[Discount]]&lt;=0.2,"medium","high")))</f>
        <v>high</v>
      </c>
    </row>
    <row r="300" spans="1:22" x14ac:dyDescent="0.3">
      <c r="A300" t="s">
        <v>547</v>
      </c>
      <c r="B300" s="6">
        <v>45436</v>
      </c>
      <c r="C300" t="s">
        <v>396</v>
      </c>
      <c r="D300" t="s">
        <v>128</v>
      </c>
      <c r="E300" t="s">
        <v>146</v>
      </c>
      <c r="F300" t="s">
        <v>72</v>
      </c>
      <c r="G300" t="s">
        <v>73</v>
      </c>
      <c r="H300" t="s">
        <v>293</v>
      </c>
      <c r="I300">
        <v>4220.6499999999996</v>
      </c>
      <c r="J300">
        <v>7</v>
      </c>
      <c r="K300">
        <v>0.15</v>
      </c>
      <c r="L300">
        <v>734.31</v>
      </c>
      <c r="M300" t="s">
        <v>90</v>
      </c>
      <c r="N300" t="s">
        <v>80</v>
      </c>
      <c r="O300" t="str">
        <f t="shared" si="8"/>
        <v>Bad</v>
      </c>
      <c r="P300">
        <f t="shared" si="9"/>
        <v>602.94999999999993</v>
      </c>
      <c r="Q300">
        <v>45436</v>
      </c>
      <c r="R300">
        <f>YEAR(Table1[[#This Row],[Order_Date_New]])</f>
        <v>2024</v>
      </c>
      <c r="S300">
        <f>MONTH(Table1[[#This Row],[Order_Date_New]])</f>
        <v>5</v>
      </c>
      <c r="T300" t="str">
        <f>TEXT(Table1[[#This Row],[Order_Date_New]],"mmmm")</f>
        <v>May</v>
      </c>
      <c r="U300">
        <f>Table1[[#This Row],[Profit]]/Table1[[#This Row],[Sales]]</f>
        <v>0.17398031108952414</v>
      </c>
      <c r="V300" t="str">
        <f>IF(Table1[[#This Row],[Discount]]=0,"No Discount",IF(Table1[[#This Row],[Discount]]&lt;=0.1,"Low",IF(Table1[[#This Row],[Discount]]&lt;=0.2,"medium","high")))</f>
        <v>medium</v>
      </c>
    </row>
    <row r="301" spans="1:22" x14ac:dyDescent="0.3">
      <c r="A301" t="s">
        <v>548</v>
      </c>
      <c r="B301" s="6">
        <v>45409</v>
      </c>
      <c r="C301" t="s">
        <v>199</v>
      </c>
      <c r="D301" t="s">
        <v>24</v>
      </c>
      <c r="E301" t="s">
        <v>97</v>
      </c>
      <c r="F301" t="s">
        <v>26</v>
      </c>
      <c r="G301" t="s">
        <v>41</v>
      </c>
      <c r="H301" t="s">
        <v>189</v>
      </c>
      <c r="I301">
        <v>3936.48</v>
      </c>
      <c r="J301">
        <v>8</v>
      </c>
      <c r="K301">
        <v>0</v>
      </c>
      <c r="L301">
        <v>821.47</v>
      </c>
      <c r="M301" t="s">
        <v>37</v>
      </c>
      <c r="N301" t="s">
        <v>38</v>
      </c>
      <c r="O301" t="str">
        <f t="shared" si="8"/>
        <v>Bad</v>
      </c>
      <c r="P301">
        <f t="shared" si="9"/>
        <v>492.06</v>
      </c>
      <c r="Q301">
        <v>45409</v>
      </c>
      <c r="R301">
        <f>YEAR(Table1[[#This Row],[Order_Date_New]])</f>
        <v>2024</v>
      </c>
      <c r="S301">
        <f>MONTH(Table1[[#This Row],[Order_Date_New]])</f>
        <v>4</v>
      </c>
      <c r="T301" t="str">
        <f>TEXT(Table1[[#This Row],[Order_Date_New]],"mmmm")</f>
        <v>April</v>
      </c>
      <c r="U301">
        <f>Table1[[#This Row],[Profit]]/Table1[[#This Row],[Sales]]</f>
        <v>0.20868135999674836</v>
      </c>
      <c r="V301" t="str">
        <f>IF(Table1[[#This Row],[Discount]]=0,"No Discount",IF(Table1[[#This Row],[Discount]]&lt;=0.1,"Low",IF(Table1[[#This Row],[Discount]]&lt;=0.2,"medium","high")))</f>
        <v>No Discount</v>
      </c>
    </row>
    <row r="302" spans="1:22" x14ac:dyDescent="0.3">
      <c r="A302" t="s">
        <v>549</v>
      </c>
      <c r="B302" s="6">
        <v>45307</v>
      </c>
      <c r="C302" t="s">
        <v>479</v>
      </c>
      <c r="D302" t="s">
        <v>33</v>
      </c>
      <c r="E302" t="s">
        <v>66</v>
      </c>
      <c r="F302" t="s">
        <v>60</v>
      </c>
      <c r="G302" t="s">
        <v>78</v>
      </c>
      <c r="H302" t="s">
        <v>125</v>
      </c>
      <c r="I302">
        <v>913</v>
      </c>
      <c r="J302">
        <v>4</v>
      </c>
      <c r="K302">
        <v>0.3</v>
      </c>
      <c r="L302">
        <v>-17.29</v>
      </c>
      <c r="M302" t="s">
        <v>49</v>
      </c>
      <c r="N302" t="s">
        <v>80</v>
      </c>
      <c r="O302" t="str">
        <f t="shared" si="8"/>
        <v>Bad</v>
      </c>
      <c r="P302">
        <f t="shared" si="9"/>
        <v>228.25</v>
      </c>
      <c r="Q302">
        <v>45307</v>
      </c>
      <c r="R302">
        <f>YEAR(Table1[[#This Row],[Order_Date_New]])</f>
        <v>2024</v>
      </c>
      <c r="S302">
        <f>MONTH(Table1[[#This Row],[Order_Date_New]])</f>
        <v>1</v>
      </c>
      <c r="T302" t="str">
        <f>TEXT(Table1[[#This Row],[Order_Date_New]],"mmmm")</f>
        <v>January</v>
      </c>
      <c r="U302">
        <f>Table1[[#This Row],[Profit]]/Table1[[#This Row],[Sales]]</f>
        <v>-1.8937568455640742E-2</v>
      </c>
      <c r="V302" t="str">
        <f>IF(Table1[[#This Row],[Discount]]=0,"No Discount",IF(Table1[[#This Row],[Discount]]&lt;=0.1,"Low",IF(Table1[[#This Row],[Discount]]&lt;=0.2,"medium","high")))</f>
        <v>high</v>
      </c>
    </row>
    <row r="303" spans="1:22" x14ac:dyDescent="0.3">
      <c r="A303" t="s">
        <v>550</v>
      </c>
      <c r="B303" s="6">
        <v>45703</v>
      </c>
      <c r="C303" t="s">
        <v>458</v>
      </c>
      <c r="D303" t="s">
        <v>33</v>
      </c>
      <c r="E303" t="s">
        <v>118</v>
      </c>
      <c r="F303" t="s">
        <v>60</v>
      </c>
      <c r="G303" t="s">
        <v>61</v>
      </c>
      <c r="H303" t="s">
        <v>62</v>
      </c>
      <c r="I303">
        <v>1344.54</v>
      </c>
      <c r="J303">
        <v>3</v>
      </c>
      <c r="K303">
        <v>0.3</v>
      </c>
      <c r="L303">
        <v>44.87</v>
      </c>
      <c r="M303" t="s">
        <v>43</v>
      </c>
      <c r="N303" t="s">
        <v>38</v>
      </c>
      <c r="O303" t="str">
        <f t="shared" si="8"/>
        <v>Bad</v>
      </c>
      <c r="P303">
        <f t="shared" si="9"/>
        <v>448.18</v>
      </c>
      <c r="Q303">
        <v>45703</v>
      </c>
      <c r="R303">
        <f>YEAR(Table1[[#This Row],[Order_Date_New]])</f>
        <v>2025</v>
      </c>
      <c r="S303">
        <f>MONTH(Table1[[#This Row],[Order_Date_New]])</f>
        <v>2</v>
      </c>
      <c r="T303" t="str">
        <f>TEXT(Table1[[#This Row],[Order_Date_New]],"mmmm")</f>
        <v>February</v>
      </c>
      <c r="U303">
        <f>Table1[[#This Row],[Profit]]/Table1[[#This Row],[Sales]]</f>
        <v>3.3372008270486558E-2</v>
      </c>
      <c r="V303" t="str">
        <f>IF(Table1[[#This Row],[Discount]]=0,"No Discount",IF(Table1[[#This Row],[Discount]]&lt;=0.1,"Low",IF(Table1[[#This Row],[Discount]]&lt;=0.2,"medium","high")))</f>
        <v>high</v>
      </c>
    </row>
    <row r="304" spans="1:22" x14ac:dyDescent="0.3">
      <c r="A304" t="s">
        <v>551</v>
      </c>
      <c r="B304" s="6">
        <v>45693</v>
      </c>
      <c r="C304" t="s">
        <v>237</v>
      </c>
      <c r="D304" t="s">
        <v>24</v>
      </c>
      <c r="E304" t="s">
        <v>97</v>
      </c>
      <c r="F304" t="s">
        <v>72</v>
      </c>
      <c r="G304" t="s">
        <v>73</v>
      </c>
      <c r="H304" t="s">
        <v>293</v>
      </c>
      <c r="I304">
        <v>48.06</v>
      </c>
      <c r="J304">
        <v>3</v>
      </c>
      <c r="K304">
        <v>0.3</v>
      </c>
      <c r="L304">
        <v>-8.16</v>
      </c>
      <c r="M304" t="s">
        <v>37</v>
      </c>
      <c r="N304" t="s">
        <v>44</v>
      </c>
      <c r="O304" t="str">
        <f t="shared" si="8"/>
        <v>Bad</v>
      </c>
      <c r="P304">
        <f t="shared" si="9"/>
        <v>16.02</v>
      </c>
      <c r="Q304">
        <v>45693</v>
      </c>
      <c r="R304">
        <f>YEAR(Table1[[#This Row],[Order_Date_New]])</f>
        <v>2025</v>
      </c>
      <c r="S304">
        <f>MONTH(Table1[[#This Row],[Order_Date_New]])</f>
        <v>2</v>
      </c>
      <c r="T304" t="str">
        <f>TEXT(Table1[[#This Row],[Order_Date_New]],"mmmm")</f>
        <v>February</v>
      </c>
      <c r="U304">
        <f>Table1[[#This Row],[Profit]]/Table1[[#This Row],[Sales]]</f>
        <v>-0.16978776529338327</v>
      </c>
      <c r="V304" t="str">
        <f>IF(Table1[[#This Row],[Discount]]=0,"No Discount",IF(Table1[[#This Row],[Discount]]&lt;=0.1,"Low",IF(Table1[[#This Row],[Discount]]&lt;=0.2,"medium","high")))</f>
        <v>high</v>
      </c>
    </row>
    <row r="305" spans="1:22" x14ac:dyDescent="0.3">
      <c r="A305" t="s">
        <v>552</v>
      </c>
      <c r="B305" s="6">
        <v>45617</v>
      </c>
      <c r="C305" t="s">
        <v>553</v>
      </c>
      <c r="D305" t="s">
        <v>24</v>
      </c>
      <c r="E305" t="s">
        <v>59</v>
      </c>
      <c r="F305" t="s">
        <v>72</v>
      </c>
      <c r="G305" t="s">
        <v>111</v>
      </c>
      <c r="H305" t="s">
        <v>182</v>
      </c>
      <c r="I305">
        <v>2545.56</v>
      </c>
      <c r="J305">
        <v>3</v>
      </c>
      <c r="K305">
        <v>0.3</v>
      </c>
      <c r="L305">
        <v>-138.38</v>
      </c>
      <c r="M305" t="s">
        <v>68</v>
      </c>
      <c r="N305" t="s">
        <v>30</v>
      </c>
      <c r="O305" t="str">
        <f t="shared" si="8"/>
        <v>Bad</v>
      </c>
      <c r="P305">
        <f t="shared" si="9"/>
        <v>848.52</v>
      </c>
      <c r="Q305">
        <v>45617</v>
      </c>
      <c r="R305">
        <f>YEAR(Table1[[#This Row],[Order_Date_New]])</f>
        <v>2024</v>
      </c>
      <c r="S305">
        <f>MONTH(Table1[[#This Row],[Order_Date_New]])</f>
        <v>11</v>
      </c>
      <c r="T305" t="str">
        <f>TEXT(Table1[[#This Row],[Order_Date_New]],"mmmm")</f>
        <v>November</v>
      </c>
      <c r="U305">
        <f>Table1[[#This Row],[Profit]]/Table1[[#This Row],[Sales]]</f>
        <v>-5.4361319316771163E-2</v>
      </c>
      <c r="V305" t="str">
        <f>IF(Table1[[#This Row],[Discount]]=0,"No Discount",IF(Table1[[#This Row],[Discount]]&lt;=0.1,"Low",IF(Table1[[#This Row],[Discount]]&lt;=0.2,"medium","high")))</f>
        <v>high</v>
      </c>
    </row>
    <row r="306" spans="1:22" x14ac:dyDescent="0.3">
      <c r="A306" t="s">
        <v>554</v>
      </c>
      <c r="B306" s="6">
        <v>45922</v>
      </c>
      <c r="C306" t="s">
        <v>143</v>
      </c>
      <c r="D306" t="s">
        <v>128</v>
      </c>
      <c r="E306" t="s">
        <v>146</v>
      </c>
      <c r="F306" t="s">
        <v>72</v>
      </c>
      <c r="G306" t="s">
        <v>111</v>
      </c>
      <c r="H306" t="s">
        <v>158</v>
      </c>
      <c r="I306">
        <v>3423.44</v>
      </c>
      <c r="J306">
        <v>8</v>
      </c>
      <c r="K306">
        <v>0.25</v>
      </c>
      <c r="L306">
        <v>-100.09</v>
      </c>
      <c r="M306" t="s">
        <v>29</v>
      </c>
      <c r="N306" t="s">
        <v>38</v>
      </c>
      <c r="O306" t="str">
        <f t="shared" si="8"/>
        <v>Bad</v>
      </c>
      <c r="P306">
        <f t="shared" si="9"/>
        <v>427.93</v>
      </c>
      <c r="Q306">
        <v>45922</v>
      </c>
      <c r="R306">
        <f>YEAR(Table1[[#This Row],[Order_Date_New]])</f>
        <v>2025</v>
      </c>
      <c r="S306">
        <f>MONTH(Table1[[#This Row],[Order_Date_New]])</f>
        <v>9</v>
      </c>
      <c r="T306" t="str">
        <f>TEXT(Table1[[#This Row],[Order_Date_New]],"mmmm")</f>
        <v>September</v>
      </c>
      <c r="U306">
        <f>Table1[[#This Row],[Profit]]/Table1[[#This Row],[Sales]]</f>
        <v>-2.9236674222419556E-2</v>
      </c>
      <c r="V306" t="str">
        <f>IF(Table1[[#This Row],[Discount]]=0,"No Discount",IF(Table1[[#This Row],[Discount]]&lt;=0.1,"Low",IF(Table1[[#This Row],[Discount]]&lt;=0.2,"medium","high")))</f>
        <v>high</v>
      </c>
    </row>
    <row r="307" spans="1:22" x14ac:dyDescent="0.3">
      <c r="A307" t="s">
        <v>555</v>
      </c>
      <c r="B307" s="6">
        <v>45385</v>
      </c>
      <c r="C307" t="s">
        <v>556</v>
      </c>
      <c r="D307" t="s">
        <v>53</v>
      </c>
      <c r="E307" t="s">
        <v>77</v>
      </c>
      <c r="F307" t="s">
        <v>72</v>
      </c>
      <c r="G307" t="s">
        <v>111</v>
      </c>
      <c r="H307" t="s">
        <v>112</v>
      </c>
      <c r="I307">
        <v>5921.3</v>
      </c>
      <c r="J307">
        <v>7</v>
      </c>
      <c r="K307">
        <v>0</v>
      </c>
      <c r="L307">
        <v>1155.19</v>
      </c>
      <c r="M307" t="s">
        <v>49</v>
      </c>
      <c r="N307" t="s">
        <v>38</v>
      </c>
      <c r="O307" t="str">
        <f t="shared" si="8"/>
        <v>Bad</v>
      </c>
      <c r="P307">
        <f t="shared" si="9"/>
        <v>845.9</v>
      </c>
      <c r="Q307">
        <v>45385</v>
      </c>
      <c r="R307">
        <f>YEAR(Table1[[#This Row],[Order_Date_New]])</f>
        <v>2024</v>
      </c>
      <c r="S307">
        <f>MONTH(Table1[[#This Row],[Order_Date_New]])</f>
        <v>4</v>
      </c>
      <c r="T307" t="str">
        <f>TEXT(Table1[[#This Row],[Order_Date_New]],"mmmm")</f>
        <v>April</v>
      </c>
      <c r="U307">
        <f>Table1[[#This Row],[Profit]]/Table1[[#This Row],[Sales]]</f>
        <v>0.19509060510360901</v>
      </c>
      <c r="V307" t="str">
        <f>IF(Table1[[#This Row],[Discount]]=0,"No Discount",IF(Table1[[#This Row],[Discount]]&lt;=0.1,"Low",IF(Table1[[#This Row],[Discount]]&lt;=0.2,"medium","high")))</f>
        <v>No Discount</v>
      </c>
    </row>
    <row r="308" spans="1:22" x14ac:dyDescent="0.3">
      <c r="A308" t="s">
        <v>557</v>
      </c>
      <c r="B308" s="6">
        <v>45888</v>
      </c>
      <c r="C308" t="s">
        <v>558</v>
      </c>
      <c r="D308" t="s">
        <v>53</v>
      </c>
      <c r="E308" t="s">
        <v>77</v>
      </c>
      <c r="F308" t="s">
        <v>26</v>
      </c>
      <c r="G308" t="s">
        <v>27</v>
      </c>
      <c r="H308" t="s">
        <v>271</v>
      </c>
      <c r="I308">
        <v>420.16</v>
      </c>
      <c r="J308">
        <v>4</v>
      </c>
      <c r="K308">
        <v>0.1</v>
      </c>
      <c r="L308">
        <v>53.7</v>
      </c>
      <c r="M308" t="s">
        <v>29</v>
      </c>
      <c r="N308" t="s">
        <v>44</v>
      </c>
      <c r="O308" t="str">
        <f t="shared" si="8"/>
        <v>Bad</v>
      </c>
      <c r="P308">
        <f t="shared" si="9"/>
        <v>105.04</v>
      </c>
      <c r="Q308">
        <v>45888</v>
      </c>
      <c r="R308">
        <f>YEAR(Table1[[#This Row],[Order_Date_New]])</f>
        <v>2025</v>
      </c>
      <c r="S308">
        <f>MONTH(Table1[[#This Row],[Order_Date_New]])</f>
        <v>8</v>
      </c>
      <c r="T308" t="str">
        <f>TEXT(Table1[[#This Row],[Order_Date_New]],"mmmm")</f>
        <v>August</v>
      </c>
      <c r="U308">
        <f>Table1[[#This Row],[Profit]]/Table1[[#This Row],[Sales]]</f>
        <v>0.1278084539223153</v>
      </c>
      <c r="V308" t="str">
        <f>IF(Table1[[#This Row],[Discount]]=0,"No Discount",IF(Table1[[#This Row],[Discount]]&lt;=0.1,"Low",IF(Table1[[#This Row],[Discount]]&lt;=0.2,"medium","high")))</f>
        <v>Low</v>
      </c>
    </row>
    <row r="309" spans="1:22" x14ac:dyDescent="0.3">
      <c r="A309" t="s">
        <v>559</v>
      </c>
      <c r="B309" s="6">
        <v>45511</v>
      </c>
      <c r="C309" t="s">
        <v>244</v>
      </c>
      <c r="D309" t="s">
        <v>33</v>
      </c>
      <c r="E309" t="s">
        <v>48</v>
      </c>
      <c r="F309" t="s">
        <v>26</v>
      </c>
      <c r="G309" t="s">
        <v>35</v>
      </c>
      <c r="H309" t="s">
        <v>36</v>
      </c>
      <c r="I309">
        <v>5047.3500000000004</v>
      </c>
      <c r="J309">
        <v>7</v>
      </c>
      <c r="K309">
        <v>0</v>
      </c>
      <c r="L309">
        <v>2028.38</v>
      </c>
      <c r="M309" t="s">
        <v>37</v>
      </c>
      <c r="N309" t="s">
        <v>30</v>
      </c>
      <c r="O309" t="str">
        <f t="shared" si="8"/>
        <v>Bad</v>
      </c>
      <c r="P309">
        <f t="shared" si="9"/>
        <v>721.05000000000007</v>
      </c>
      <c r="Q309">
        <v>45511</v>
      </c>
      <c r="R309">
        <f>YEAR(Table1[[#This Row],[Order_Date_New]])</f>
        <v>2024</v>
      </c>
      <c r="S309">
        <f>MONTH(Table1[[#This Row],[Order_Date_New]])</f>
        <v>8</v>
      </c>
      <c r="T309" t="str">
        <f>TEXT(Table1[[#This Row],[Order_Date_New]],"mmmm")</f>
        <v>August</v>
      </c>
      <c r="U309">
        <f>Table1[[#This Row],[Profit]]/Table1[[#This Row],[Sales]]</f>
        <v>0.40187028836914418</v>
      </c>
      <c r="V309" t="str">
        <f>IF(Table1[[#This Row],[Discount]]=0,"No Discount",IF(Table1[[#This Row],[Discount]]&lt;=0.1,"Low",IF(Table1[[#This Row],[Discount]]&lt;=0.2,"medium","high")))</f>
        <v>No Discount</v>
      </c>
    </row>
    <row r="310" spans="1:22" x14ac:dyDescent="0.3">
      <c r="A310" t="s">
        <v>560</v>
      </c>
      <c r="B310" s="6">
        <v>45938</v>
      </c>
      <c r="C310" t="s">
        <v>561</v>
      </c>
      <c r="D310" t="s">
        <v>53</v>
      </c>
      <c r="E310" t="s">
        <v>107</v>
      </c>
      <c r="F310" t="s">
        <v>60</v>
      </c>
      <c r="G310" t="s">
        <v>61</v>
      </c>
      <c r="H310" t="s">
        <v>67</v>
      </c>
      <c r="I310">
        <v>997.61</v>
      </c>
      <c r="J310">
        <v>1</v>
      </c>
      <c r="K310">
        <v>0.25</v>
      </c>
      <c r="L310">
        <v>167.48</v>
      </c>
      <c r="M310" t="s">
        <v>49</v>
      </c>
      <c r="N310" t="s">
        <v>80</v>
      </c>
      <c r="O310" t="str">
        <f t="shared" si="8"/>
        <v>Bad</v>
      </c>
      <c r="P310">
        <f t="shared" si="9"/>
        <v>997.61</v>
      </c>
      <c r="Q310">
        <v>45938</v>
      </c>
      <c r="R310">
        <f>YEAR(Table1[[#This Row],[Order_Date_New]])</f>
        <v>2025</v>
      </c>
      <c r="S310">
        <f>MONTH(Table1[[#This Row],[Order_Date_New]])</f>
        <v>10</v>
      </c>
      <c r="T310" t="str">
        <f>TEXT(Table1[[#This Row],[Order_Date_New]],"mmmm")</f>
        <v>October</v>
      </c>
      <c r="U310">
        <f>Table1[[#This Row],[Profit]]/Table1[[#This Row],[Sales]]</f>
        <v>0.16788123615440903</v>
      </c>
      <c r="V310" t="str">
        <f>IF(Table1[[#This Row],[Discount]]=0,"No Discount",IF(Table1[[#This Row],[Discount]]&lt;=0.1,"Low",IF(Table1[[#This Row],[Discount]]&lt;=0.2,"medium","high")))</f>
        <v>high</v>
      </c>
    </row>
    <row r="311" spans="1:22" x14ac:dyDescent="0.3">
      <c r="A311" t="s">
        <v>562</v>
      </c>
      <c r="B311" s="6">
        <v>45417</v>
      </c>
      <c r="C311" t="s">
        <v>563</v>
      </c>
      <c r="D311" t="s">
        <v>53</v>
      </c>
      <c r="E311" t="s">
        <v>54</v>
      </c>
      <c r="F311" t="s">
        <v>26</v>
      </c>
      <c r="G311" t="s">
        <v>41</v>
      </c>
      <c r="H311" t="s">
        <v>42</v>
      </c>
      <c r="I311">
        <v>1324.5</v>
      </c>
      <c r="J311">
        <v>10</v>
      </c>
      <c r="K311">
        <v>0.1</v>
      </c>
      <c r="L311">
        <v>178.59</v>
      </c>
      <c r="M311" t="s">
        <v>29</v>
      </c>
      <c r="N311" t="s">
        <v>80</v>
      </c>
      <c r="O311" t="str">
        <f t="shared" si="8"/>
        <v>Bad</v>
      </c>
      <c r="P311">
        <f t="shared" si="9"/>
        <v>132.44999999999999</v>
      </c>
      <c r="Q311">
        <v>45417</v>
      </c>
      <c r="R311">
        <f>YEAR(Table1[[#This Row],[Order_Date_New]])</f>
        <v>2024</v>
      </c>
      <c r="S311">
        <f>MONTH(Table1[[#This Row],[Order_Date_New]])</f>
        <v>5</v>
      </c>
      <c r="T311" t="str">
        <f>TEXT(Table1[[#This Row],[Order_Date_New]],"mmmm")</f>
        <v>May</v>
      </c>
      <c r="U311">
        <f>Table1[[#This Row],[Profit]]/Table1[[#This Row],[Sales]]</f>
        <v>0.13483578708946772</v>
      </c>
      <c r="V311" t="str">
        <f>IF(Table1[[#This Row],[Discount]]=0,"No Discount",IF(Table1[[#This Row],[Discount]]&lt;=0.1,"Low",IF(Table1[[#This Row],[Discount]]&lt;=0.2,"medium","high")))</f>
        <v>Low</v>
      </c>
    </row>
    <row r="312" spans="1:22" x14ac:dyDescent="0.3">
      <c r="A312" t="s">
        <v>564</v>
      </c>
      <c r="B312" s="6">
        <v>45977</v>
      </c>
      <c r="C312" t="s">
        <v>431</v>
      </c>
      <c r="D312" t="s">
        <v>128</v>
      </c>
      <c r="E312" t="s">
        <v>132</v>
      </c>
      <c r="F312" t="s">
        <v>72</v>
      </c>
      <c r="G312" t="s">
        <v>73</v>
      </c>
      <c r="H312" t="s">
        <v>74</v>
      </c>
      <c r="I312">
        <v>1904.13</v>
      </c>
      <c r="J312">
        <v>9</v>
      </c>
      <c r="K312">
        <v>0.1</v>
      </c>
      <c r="L312">
        <v>430.54</v>
      </c>
      <c r="M312" t="s">
        <v>105</v>
      </c>
      <c r="N312" t="s">
        <v>44</v>
      </c>
      <c r="O312" t="str">
        <f t="shared" si="8"/>
        <v>Bad</v>
      </c>
      <c r="P312">
        <f t="shared" si="9"/>
        <v>211.57000000000002</v>
      </c>
      <c r="Q312">
        <v>45977</v>
      </c>
      <c r="R312">
        <f>YEAR(Table1[[#This Row],[Order_Date_New]])</f>
        <v>2025</v>
      </c>
      <c r="S312">
        <f>MONTH(Table1[[#This Row],[Order_Date_New]])</f>
        <v>11</v>
      </c>
      <c r="T312" t="str">
        <f>TEXT(Table1[[#This Row],[Order_Date_New]],"mmmm")</f>
        <v>November</v>
      </c>
      <c r="U312">
        <f>Table1[[#This Row],[Profit]]/Table1[[#This Row],[Sales]]</f>
        <v>0.22610851149868968</v>
      </c>
      <c r="V312" t="str">
        <f>IF(Table1[[#This Row],[Discount]]=0,"No Discount",IF(Table1[[#This Row],[Discount]]&lt;=0.1,"Low",IF(Table1[[#This Row],[Discount]]&lt;=0.2,"medium","high")))</f>
        <v>Low</v>
      </c>
    </row>
    <row r="313" spans="1:22" x14ac:dyDescent="0.3">
      <c r="A313" t="s">
        <v>565</v>
      </c>
      <c r="B313" s="6">
        <v>45484</v>
      </c>
      <c r="C313" t="s">
        <v>156</v>
      </c>
      <c r="D313" t="s">
        <v>24</v>
      </c>
      <c r="E313" t="s">
        <v>25</v>
      </c>
      <c r="F313" t="s">
        <v>60</v>
      </c>
      <c r="G313" t="s">
        <v>98</v>
      </c>
      <c r="H313" t="s">
        <v>99</v>
      </c>
      <c r="I313">
        <v>6568.47</v>
      </c>
      <c r="J313">
        <v>9</v>
      </c>
      <c r="K313">
        <v>0.3</v>
      </c>
      <c r="L313">
        <v>-221.21</v>
      </c>
      <c r="M313" t="s">
        <v>29</v>
      </c>
      <c r="N313" t="s">
        <v>38</v>
      </c>
      <c r="O313" t="str">
        <f t="shared" si="8"/>
        <v>Good</v>
      </c>
      <c r="P313">
        <f t="shared" si="9"/>
        <v>729.83</v>
      </c>
      <c r="Q313">
        <v>45484</v>
      </c>
      <c r="R313">
        <f>YEAR(Table1[[#This Row],[Order_Date_New]])</f>
        <v>2024</v>
      </c>
      <c r="S313">
        <f>MONTH(Table1[[#This Row],[Order_Date_New]])</f>
        <v>7</v>
      </c>
      <c r="T313" t="str">
        <f>TEXT(Table1[[#This Row],[Order_Date_New]],"mmmm")</f>
        <v>July</v>
      </c>
      <c r="U313">
        <f>Table1[[#This Row],[Profit]]/Table1[[#This Row],[Sales]]</f>
        <v>-3.3677553524641204E-2</v>
      </c>
      <c r="V313" t="str">
        <f>IF(Table1[[#This Row],[Discount]]=0,"No Discount",IF(Table1[[#This Row],[Discount]]&lt;=0.1,"Low",IF(Table1[[#This Row],[Discount]]&lt;=0.2,"medium","high")))</f>
        <v>high</v>
      </c>
    </row>
    <row r="314" spans="1:22" x14ac:dyDescent="0.3">
      <c r="A314" t="s">
        <v>566</v>
      </c>
      <c r="B314" s="6">
        <v>45723</v>
      </c>
      <c r="C314" t="s">
        <v>378</v>
      </c>
      <c r="D314" t="s">
        <v>33</v>
      </c>
      <c r="E314" t="s">
        <v>118</v>
      </c>
      <c r="F314" t="s">
        <v>26</v>
      </c>
      <c r="G314" t="s">
        <v>35</v>
      </c>
      <c r="H314" t="s">
        <v>36</v>
      </c>
      <c r="I314">
        <v>2341.0500000000002</v>
      </c>
      <c r="J314">
        <v>5</v>
      </c>
      <c r="K314">
        <v>0.1</v>
      </c>
      <c r="L314">
        <v>159.77000000000001</v>
      </c>
      <c r="M314" t="s">
        <v>170</v>
      </c>
      <c r="N314" t="s">
        <v>80</v>
      </c>
      <c r="O314" t="str">
        <f t="shared" si="8"/>
        <v>Bad</v>
      </c>
      <c r="P314">
        <f t="shared" si="9"/>
        <v>468.21000000000004</v>
      </c>
      <c r="Q314">
        <v>45723</v>
      </c>
      <c r="R314">
        <f>YEAR(Table1[[#This Row],[Order_Date_New]])</f>
        <v>2025</v>
      </c>
      <c r="S314">
        <f>MONTH(Table1[[#This Row],[Order_Date_New]])</f>
        <v>3</v>
      </c>
      <c r="T314" t="str">
        <f>TEXT(Table1[[#This Row],[Order_Date_New]],"mmmm")</f>
        <v>March</v>
      </c>
      <c r="U314">
        <f>Table1[[#This Row],[Profit]]/Table1[[#This Row],[Sales]]</f>
        <v>6.8247154054804471E-2</v>
      </c>
      <c r="V314" t="str">
        <f>IF(Table1[[#This Row],[Discount]]=0,"No Discount",IF(Table1[[#This Row],[Discount]]&lt;=0.1,"Low",IF(Table1[[#This Row],[Discount]]&lt;=0.2,"medium","high")))</f>
        <v>Low</v>
      </c>
    </row>
    <row r="315" spans="1:22" x14ac:dyDescent="0.3">
      <c r="A315" t="s">
        <v>567</v>
      </c>
      <c r="B315" s="6">
        <v>45629</v>
      </c>
      <c r="C315" t="s">
        <v>568</v>
      </c>
      <c r="D315" t="s">
        <v>24</v>
      </c>
      <c r="E315" t="s">
        <v>25</v>
      </c>
      <c r="F315" t="s">
        <v>26</v>
      </c>
      <c r="G315" t="s">
        <v>35</v>
      </c>
      <c r="H315" t="s">
        <v>36</v>
      </c>
      <c r="I315">
        <v>4523.76</v>
      </c>
      <c r="J315">
        <v>4</v>
      </c>
      <c r="K315">
        <v>0.05</v>
      </c>
      <c r="L315">
        <v>563.44000000000005</v>
      </c>
      <c r="M315" t="s">
        <v>113</v>
      </c>
      <c r="N315" t="s">
        <v>38</v>
      </c>
      <c r="O315" t="str">
        <f t="shared" si="8"/>
        <v>Bad</v>
      </c>
      <c r="P315">
        <f t="shared" si="9"/>
        <v>1130.94</v>
      </c>
      <c r="Q315">
        <v>45629</v>
      </c>
      <c r="R315">
        <f>YEAR(Table1[[#This Row],[Order_Date_New]])</f>
        <v>2024</v>
      </c>
      <c r="S315">
        <f>MONTH(Table1[[#This Row],[Order_Date_New]])</f>
        <v>12</v>
      </c>
      <c r="T315" t="str">
        <f>TEXT(Table1[[#This Row],[Order_Date_New]],"mmmm")</f>
        <v>December</v>
      </c>
      <c r="U315">
        <f>Table1[[#This Row],[Profit]]/Table1[[#This Row],[Sales]]</f>
        <v>0.12455125824535343</v>
      </c>
      <c r="V315" t="str">
        <f>IF(Table1[[#This Row],[Discount]]=0,"No Discount",IF(Table1[[#This Row],[Discount]]&lt;=0.1,"Low",IF(Table1[[#This Row],[Discount]]&lt;=0.2,"medium","high")))</f>
        <v>Low</v>
      </c>
    </row>
    <row r="316" spans="1:22" x14ac:dyDescent="0.3">
      <c r="A316" t="s">
        <v>569</v>
      </c>
      <c r="B316" s="6">
        <v>45884</v>
      </c>
      <c r="C316" t="s">
        <v>553</v>
      </c>
      <c r="D316" t="s">
        <v>24</v>
      </c>
      <c r="E316" t="s">
        <v>84</v>
      </c>
      <c r="F316" t="s">
        <v>26</v>
      </c>
      <c r="G316" t="s">
        <v>27</v>
      </c>
      <c r="H316" t="s">
        <v>271</v>
      </c>
      <c r="I316">
        <v>1814.5</v>
      </c>
      <c r="J316">
        <v>10</v>
      </c>
      <c r="K316">
        <v>0.05</v>
      </c>
      <c r="L316">
        <v>294.66000000000003</v>
      </c>
      <c r="M316" t="s">
        <v>170</v>
      </c>
      <c r="N316" t="s">
        <v>38</v>
      </c>
      <c r="O316" t="str">
        <f t="shared" si="8"/>
        <v>Bad</v>
      </c>
      <c r="P316">
        <f t="shared" si="9"/>
        <v>181.45</v>
      </c>
      <c r="Q316">
        <v>45884</v>
      </c>
      <c r="R316">
        <f>YEAR(Table1[[#This Row],[Order_Date_New]])</f>
        <v>2025</v>
      </c>
      <c r="S316">
        <f>MONTH(Table1[[#This Row],[Order_Date_New]])</f>
        <v>8</v>
      </c>
      <c r="T316" t="str">
        <f>TEXT(Table1[[#This Row],[Order_Date_New]],"mmmm")</f>
        <v>August</v>
      </c>
      <c r="U316">
        <f>Table1[[#This Row],[Profit]]/Table1[[#This Row],[Sales]]</f>
        <v>0.16239184348305319</v>
      </c>
      <c r="V316" t="str">
        <f>IF(Table1[[#This Row],[Discount]]=0,"No Discount",IF(Table1[[#This Row],[Discount]]&lt;=0.1,"Low",IF(Table1[[#This Row],[Discount]]&lt;=0.2,"medium","high")))</f>
        <v>Low</v>
      </c>
    </row>
    <row r="317" spans="1:22" x14ac:dyDescent="0.3">
      <c r="A317" t="s">
        <v>570</v>
      </c>
      <c r="B317" s="6">
        <v>45535</v>
      </c>
      <c r="C317" t="s">
        <v>388</v>
      </c>
      <c r="D317" t="s">
        <v>128</v>
      </c>
      <c r="E317" t="s">
        <v>146</v>
      </c>
      <c r="F317" t="s">
        <v>60</v>
      </c>
      <c r="G317" t="s">
        <v>61</v>
      </c>
      <c r="H317" t="s">
        <v>122</v>
      </c>
      <c r="I317">
        <v>1793.56</v>
      </c>
      <c r="J317">
        <v>4</v>
      </c>
      <c r="K317">
        <v>0.25</v>
      </c>
      <c r="L317">
        <v>247.56</v>
      </c>
      <c r="M317" t="s">
        <v>49</v>
      </c>
      <c r="N317" t="s">
        <v>80</v>
      </c>
      <c r="O317" t="str">
        <f t="shared" si="8"/>
        <v>Bad</v>
      </c>
      <c r="P317">
        <f t="shared" si="9"/>
        <v>448.39</v>
      </c>
      <c r="Q317">
        <v>45535</v>
      </c>
      <c r="R317">
        <f>YEAR(Table1[[#This Row],[Order_Date_New]])</f>
        <v>2024</v>
      </c>
      <c r="S317">
        <f>MONTH(Table1[[#This Row],[Order_Date_New]])</f>
        <v>8</v>
      </c>
      <c r="T317" t="str">
        <f>TEXT(Table1[[#This Row],[Order_Date_New]],"mmmm")</f>
        <v>August</v>
      </c>
      <c r="U317">
        <f>Table1[[#This Row],[Profit]]/Table1[[#This Row],[Sales]]</f>
        <v>0.13802716385289593</v>
      </c>
      <c r="V317" t="str">
        <f>IF(Table1[[#This Row],[Discount]]=0,"No Discount",IF(Table1[[#This Row],[Discount]]&lt;=0.1,"Low",IF(Table1[[#This Row],[Discount]]&lt;=0.2,"medium","high")))</f>
        <v>high</v>
      </c>
    </row>
    <row r="318" spans="1:22" x14ac:dyDescent="0.3">
      <c r="A318" t="s">
        <v>571</v>
      </c>
      <c r="B318" s="6">
        <v>46022</v>
      </c>
      <c r="C318" t="s">
        <v>572</v>
      </c>
      <c r="D318" t="s">
        <v>53</v>
      </c>
      <c r="E318" t="s">
        <v>54</v>
      </c>
      <c r="F318" t="s">
        <v>26</v>
      </c>
      <c r="G318" t="s">
        <v>41</v>
      </c>
      <c r="H318" t="s">
        <v>42</v>
      </c>
      <c r="I318">
        <v>9809</v>
      </c>
      <c r="J318">
        <v>10</v>
      </c>
      <c r="K318">
        <v>0.05</v>
      </c>
      <c r="L318">
        <v>261.02999999999997</v>
      </c>
      <c r="M318" t="s">
        <v>68</v>
      </c>
      <c r="N318" t="s">
        <v>38</v>
      </c>
      <c r="O318" t="str">
        <f t="shared" si="8"/>
        <v>Good</v>
      </c>
      <c r="P318">
        <f t="shared" si="9"/>
        <v>980.9</v>
      </c>
      <c r="Q318">
        <v>46022</v>
      </c>
      <c r="R318">
        <f>YEAR(Table1[[#This Row],[Order_Date_New]])</f>
        <v>2025</v>
      </c>
      <c r="S318">
        <f>MONTH(Table1[[#This Row],[Order_Date_New]])</f>
        <v>12</v>
      </c>
      <c r="T318" t="str">
        <f>TEXT(Table1[[#This Row],[Order_Date_New]],"mmmm")</f>
        <v>December</v>
      </c>
      <c r="U318">
        <f>Table1[[#This Row],[Profit]]/Table1[[#This Row],[Sales]]</f>
        <v>2.6611275359363848E-2</v>
      </c>
      <c r="V318" t="str">
        <f>IF(Table1[[#This Row],[Discount]]=0,"No Discount",IF(Table1[[#This Row],[Discount]]&lt;=0.1,"Low",IF(Table1[[#This Row],[Discount]]&lt;=0.2,"medium","high")))</f>
        <v>Low</v>
      </c>
    </row>
    <row r="319" spans="1:22" x14ac:dyDescent="0.3">
      <c r="A319" t="s">
        <v>573</v>
      </c>
      <c r="B319" s="6">
        <v>45789</v>
      </c>
      <c r="C319" t="s">
        <v>466</v>
      </c>
      <c r="D319" t="s">
        <v>24</v>
      </c>
      <c r="E319" t="s">
        <v>25</v>
      </c>
      <c r="F319" t="s">
        <v>60</v>
      </c>
      <c r="G319" t="s">
        <v>78</v>
      </c>
      <c r="H319" t="s">
        <v>222</v>
      </c>
      <c r="I319">
        <v>6971.58</v>
      </c>
      <c r="J319">
        <v>6</v>
      </c>
      <c r="K319">
        <v>0.1</v>
      </c>
      <c r="L319">
        <v>2152.0700000000002</v>
      </c>
      <c r="M319" t="s">
        <v>105</v>
      </c>
      <c r="N319" t="s">
        <v>80</v>
      </c>
      <c r="O319" t="str">
        <f t="shared" si="8"/>
        <v>Bad</v>
      </c>
      <c r="P319">
        <f t="shared" si="9"/>
        <v>1161.93</v>
      </c>
      <c r="Q319">
        <v>45789</v>
      </c>
      <c r="R319">
        <f>YEAR(Table1[[#This Row],[Order_Date_New]])</f>
        <v>2025</v>
      </c>
      <c r="S319">
        <f>MONTH(Table1[[#This Row],[Order_Date_New]])</f>
        <v>5</v>
      </c>
      <c r="T319" t="str">
        <f>TEXT(Table1[[#This Row],[Order_Date_New]],"mmmm")</f>
        <v>May</v>
      </c>
      <c r="U319">
        <f>Table1[[#This Row],[Profit]]/Table1[[#This Row],[Sales]]</f>
        <v>0.30869186038172125</v>
      </c>
      <c r="V319" t="str">
        <f>IF(Table1[[#This Row],[Discount]]=0,"No Discount",IF(Table1[[#This Row],[Discount]]&lt;=0.1,"Low",IF(Table1[[#This Row],[Discount]]&lt;=0.2,"medium","high")))</f>
        <v>Low</v>
      </c>
    </row>
    <row r="320" spans="1:22" x14ac:dyDescent="0.3">
      <c r="A320" t="s">
        <v>574</v>
      </c>
      <c r="B320" s="6">
        <v>45537</v>
      </c>
      <c r="C320" t="s">
        <v>367</v>
      </c>
      <c r="D320" t="s">
        <v>33</v>
      </c>
      <c r="E320" t="s">
        <v>48</v>
      </c>
      <c r="F320" t="s">
        <v>60</v>
      </c>
      <c r="G320" t="s">
        <v>98</v>
      </c>
      <c r="H320" t="s">
        <v>138</v>
      </c>
      <c r="I320">
        <v>7682.58</v>
      </c>
      <c r="J320">
        <v>9</v>
      </c>
      <c r="K320">
        <v>0.3</v>
      </c>
      <c r="L320">
        <v>122.63</v>
      </c>
      <c r="M320" t="s">
        <v>49</v>
      </c>
      <c r="N320" t="s">
        <v>44</v>
      </c>
      <c r="O320" t="str">
        <f t="shared" si="8"/>
        <v>Good</v>
      </c>
      <c r="P320">
        <f t="shared" si="9"/>
        <v>853.62</v>
      </c>
      <c r="Q320">
        <v>45537</v>
      </c>
      <c r="R320">
        <f>YEAR(Table1[[#This Row],[Order_Date_New]])</f>
        <v>2024</v>
      </c>
      <c r="S320">
        <f>MONTH(Table1[[#This Row],[Order_Date_New]])</f>
        <v>9</v>
      </c>
      <c r="T320" t="str">
        <f>TEXT(Table1[[#This Row],[Order_Date_New]],"mmmm")</f>
        <v>September</v>
      </c>
      <c r="U320">
        <f>Table1[[#This Row],[Profit]]/Table1[[#This Row],[Sales]]</f>
        <v>1.5962085653517439E-2</v>
      </c>
      <c r="V320" t="str">
        <f>IF(Table1[[#This Row],[Discount]]=0,"No Discount",IF(Table1[[#This Row],[Discount]]&lt;=0.1,"Low",IF(Table1[[#This Row],[Discount]]&lt;=0.2,"medium","high")))</f>
        <v>high</v>
      </c>
    </row>
    <row r="321" spans="1:22" x14ac:dyDescent="0.3">
      <c r="A321" t="s">
        <v>575</v>
      </c>
      <c r="B321" s="6">
        <v>45418</v>
      </c>
      <c r="C321" t="s">
        <v>576</v>
      </c>
      <c r="D321" t="s">
        <v>128</v>
      </c>
      <c r="E321" t="s">
        <v>202</v>
      </c>
      <c r="F321" t="s">
        <v>26</v>
      </c>
      <c r="G321" t="s">
        <v>27</v>
      </c>
      <c r="H321" t="s">
        <v>28</v>
      </c>
      <c r="I321">
        <v>7173.18</v>
      </c>
      <c r="J321">
        <v>7</v>
      </c>
      <c r="K321">
        <v>0.15</v>
      </c>
      <c r="L321">
        <v>581.89</v>
      </c>
      <c r="M321" t="s">
        <v>90</v>
      </c>
      <c r="N321" t="s">
        <v>38</v>
      </c>
      <c r="O321" t="str">
        <f t="shared" si="8"/>
        <v>Bad</v>
      </c>
      <c r="P321">
        <f t="shared" si="9"/>
        <v>1024.74</v>
      </c>
      <c r="Q321">
        <v>45418</v>
      </c>
      <c r="R321">
        <f>YEAR(Table1[[#This Row],[Order_Date_New]])</f>
        <v>2024</v>
      </c>
      <c r="S321">
        <f>MONTH(Table1[[#This Row],[Order_Date_New]])</f>
        <v>5</v>
      </c>
      <c r="T321" t="str">
        <f>TEXT(Table1[[#This Row],[Order_Date_New]],"mmmm")</f>
        <v>May</v>
      </c>
      <c r="U321">
        <f>Table1[[#This Row],[Profit]]/Table1[[#This Row],[Sales]]</f>
        <v>8.1120228406369274E-2</v>
      </c>
      <c r="V321" t="str">
        <f>IF(Table1[[#This Row],[Discount]]=0,"No Discount",IF(Table1[[#This Row],[Discount]]&lt;=0.1,"Low",IF(Table1[[#This Row],[Discount]]&lt;=0.2,"medium","high")))</f>
        <v>medium</v>
      </c>
    </row>
    <row r="322" spans="1:22" x14ac:dyDescent="0.3">
      <c r="A322" t="s">
        <v>577</v>
      </c>
      <c r="B322" s="6">
        <v>45963</v>
      </c>
      <c r="C322" t="s">
        <v>177</v>
      </c>
      <c r="D322" t="s">
        <v>53</v>
      </c>
      <c r="E322" t="s">
        <v>107</v>
      </c>
      <c r="F322" t="s">
        <v>72</v>
      </c>
      <c r="G322" t="s">
        <v>73</v>
      </c>
      <c r="H322" t="s">
        <v>293</v>
      </c>
      <c r="I322">
        <v>1282.68</v>
      </c>
      <c r="J322">
        <v>9</v>
      </c>
      <c r="K322">
        <v>0.25</v>
      </c>
      <c r="L322">
        <v>20.190000000000001</v>
      </c>
      <c r="M322" t="s">
        <v>68</v>
      </c>
      <c r="N322" t="s">
        <v>80</v>
      </c>
      <c r="O322" t="str">
        <f t="shared" ref="O322:O385" si="10">IF(AND(I322&gt;5000,J322&gt;7),"Good","Bad")</f>
        <v>Bad</v>
      </c>
      <c r="P322">
        <f t="shared" ref="P322:P385" si="11">I322/J322</f>
        <v>142.52000000000001</v>
      </c>
      <c r="Q322">
        <v>45963</v>
      </c>
      <c r="R322">
        <f>YEAR(Table1[[#This Row],[Order_Date_New]])</f>
        <v>2025</v>
      </c>
      <c r="S322">
        <f>MONTH(Table1[[#This Row],[Order_Date_New]])</f>
        <v>11</v>
      </c>
      <c r="T322" t="str">
        <f>TEXT(Table1[[#This Row],[Order_Date_New]],"mmmm")</f>
        <v>November</v>
      </c>
      <c r="U322">
        <f>Table1[[#This Row],[Profit]]/Table1[[#This Row],[Sales]]</f>
        <v>1.5740480868182243E-2</v>
      </c>
      <c r="V322" t="str">
        <f>IF(Table1[[#This Row],[Discount]]=0,"No Discount",IF(Table1[[#This Row],[Discount]]&lt;=0.1,"Low",IF(Table1[[#This Row],[Discount]]&lt;=0.2,"medium","high")))</f>
        <v>high</v>
      </c>
    </row>
    <row r="323" spans="1:22" x14ac:dyDescent="0.3">
      <c r="A323" t="s">
        <v>578</v>
      </c>
      <c r="B323" s="6">
        <v>45877</v>
      </c>
      <c r="C323" t="s">
        <v>231</v>
      </c>
      <c r="D323" t="s">
        <v>53</v>
      </c>
      <c r="E323" t="s">
        <v>77</v>
      </c>
      <c r="F323" t="s">
        <v>60</v>
      </c>
      <c r="G323" t="s">
        <v>98</v>
      </c>
      <c r="H323" t="s">
        <v>141</v>
      </c>
      <c r="I323">
        <v>2711.88</v>
      </c>
      <c r="J323">
        <v>9</v>
      </c>
      <c r="K323">
        <v>0</v>
      </c>
      <c r="L323">
        <v>349.86</v>
      </c>
      <c r="M323" t="s">
        <v>133</v>
      </c>
      <c r="N323" t="s">
        <v>38</v>
      </c>
      <c r="O323" t="str">
        <f t="shared" si="10"/>
        <v>Bad</v>
      </c>
      <c r="P323">
        <f t="shared" si="11"/>
        <v>301.32</v>
      </c>
      <c r="Q323">
        <v>45877</v>
      </c>
      <c r="R323">
        <f>YEAR(Table1[[#This Row],[Order_Date_New]])</f>
        <v>2025</v>
      </c>
      <c r="S323">
        <f>MONTH(Table1[[#This Row],[Order_Date_New]])</f>
        <v>8</v>
      </c>
      <c r="T323" t="str">
        <f>TEXT(Table1[[#This Row],[Order_Date_New]],"mmmm")</f>
        <v>August</v>
      </c>
      <c r="U323">
        <f>Table1[[#This Row],[Profit]]/Table1[[#This Row],[Sales]]</f>
        <v>0.12901013319173416</v>
      </c>
      <c r="V323" t="str">
        <f>IF(Table1[[#This Row],[Discount]]=0,"No Discount",IF(Table1[[#This Row],[Discount]]&lt;=0.1,"Low",IF(Table1[[#This Row],[Discount]]&lt;=0.2,"medium","high")))</f>
        <v>No Discount</v>
      </c>
    </row>
    <row r="324" spans="1:22" x14ac:dyDescent="0.3">
      <c r="A324" t="s">
        <v>579</v>
      </c>
      <c r="B324" s="6">
        <v>45507</v>
      </c>
      <c r="C324" t="s">
        <v>444</v>
      </c>
      <c r="D324" t="s">
        <v>53</v>
      </c>
      <c r="E324" t="s">
        <v>54</v>
      </c>
      <c r="F324" t="s">
        <v>26</v>
      </c>
      <c r="G324" t="s">
        <v>27</v>
      </c>
      <c r="H324" t="s">
        <v>200</v>
      </c>
      <c r="I324">
        <v>605.46</v>
      </c>
      <c r="J324">
        <v>6</v>
      </c>
      <c r="K324">
        <v>0.1</v>
      </c>
      <c r="L324">
        <v>102.6</v>
      </c>
      <c r="M324" t="s">
        <v>43</v>
      </c>
      <c r="N324" t="s">
        <v>30</v>
      </c>
      <c r="O324" t="str">
        <f t="shared" si="10"/>
        <v>Bad</v>
      </c>
      <c r="P324">
        <f t="shared" si="11"/>
        <v>100.91000000000001</v>
      </c>
      <c r="Q324">
        <v>45507</v>
      </c>
      <c r="R324">
        <f>YEAR(Table1[[#This Row],[Order_Date_New]])</f>
        <v>2024</v>
      </c>
      <c r="S324">
        <f>MONTH(Table1[[#This Row],[Order_Date_New]])</f>
        <v>8</v>
      </c>
      <c r="T324" t="str">
        <f>TEXT(Table1[[#This Row],[Order_Date_New]],"mmmm")</f>
        <v>August</v>
      </c>
      <c r="U324">
        <f>Table1[[#This Row],[Profit]]/Table1[[#This Row],[Sales]]</f>
        <v>0.16945793281141611</v>
      </c>
      <c r="V324" t="str">
        <f>IF(Table1[[#This Row],[Discount]]=0,"No Discount",IF(Table1[[#This Row],[Discount]]&lt;=0.1,"Low",IF(Table1[[#This Row],[Discount]]&lt;=0.2,"medium","high")))</f>
        <v>Low</v>
      </c>
    </row>
    <row r="325" spans="1:22" x14ac:dyDescent="0.3">
      <c r="A325" t="s">
        <v>580</v>
      </c>
      <c r="B325" s="6">
        <v>45824</v>
      </c>
      <c r="C325" t="s">
        <v>117</v>
      </c>
      <c r="D325" t="s">
        <v>128</v>
      </c>
      <c r="E325" t="s">
        <v>146</v>
      </c>
      <c r="F325" t="s">
        <v>72</v>
      </c>
      <c r="G325" t="s">
        <v>73</v>
      </c>
      <c r="H325" t="s">
        <v>102</v>
      </c>
      <c r="I325">
        <v>4686.57</v>
      </c>
      <c r="J325">
        <v>7</v>
      </c>
      <c r="K325">
        <v>0.2</v>
      </c>
      <c r="L325">
        <v>911.78</v>
      </c>
      <c r="M325" t="s">
        <v>43</v>
      </c>
      <c r="N325" t="s">
        <v>44</v>
      </c>
      <c r="O325" t="str">
        <f t="shared" si="10"/>
        <v>Bad</v>
      </c>
      <c r="P325">
        <f t="shared" si="11"/>
        <v>669.51</v>
      </c>
      <c r="Q325">
        <v>45824</v>
      </c>
      <c r="R325">
        <f>YEAR(Table1[[#This Row],[Order_Date_New]])</f>
        <v>2025</v>
      </c>
      <c r="S325">
        <f>MONTH(Table1[[#This Row],[Order_Date_New]])</f>
        <v>6</v>
      </c>
      <c r="T325" t="str">
        <f>TEXT(Table1[[#This Row],[Order_Date_New]],"mmmm")</f>
        <v>June</v>
      </c>
      <c r="U325">
        <f>Table1[[#This Row],[Profit]]/Table1[[#This Row],[Sales]]</f>
        <v>0.19455166571714497</v>
      </c>
      <c r="V325" t="str">
        <f>IF(Table1[[#This Row],[Discount]]=0,"No Discount",IF(Table1[[#This Row],[Discount]]&lt;=0.1,"Low",IF(Table1[[#This Row],[Discount]]&lt;=0.2,"medium","high")))</f>
        <v>medium</v>
      </c>
    </row>
    <row r="326" spans="1:22" x14ac:dyDescent="0.3">
      <c r="A326" t="s">
        <v>581</v>
      </c>
      <c r="B326" s="6">
        <v>45358</v>
      </c>
      <c r="C326" t="s">
        <v>135</v>
      </c>
      <c r="D326" t="s">
        <v>53</v>
      </c>
      <c r="E326" t="s">
        <v>77</v>
      </c>
      <c r="F326" t="s">
        <v>26</v>
      </c>
      <c r="G326" t="s">
        <v>27</v>
      </c>
      <c r="H326" t="s">
        <v>200</v>
      </c>
      <c r="I326">
        <v>6021.1</v>
      </c>
      <c r="J326">
        <v>10</v>
      </c>
      <c r="K326">
        <v>0.25</v>
      </c>
      <c r="L326">
        <v>1096.19</v>
      </c>
      <c r="M326" t="s">
        <v>170</v>
      </c>
      <c r="N326" t="s">
        <v>30</v>
      </c>
      <c r="O326" t="str">
        <f t="shared" si="10"/>
        <v>Good</v>
      </c>
      <c r="P326">
        <f t="shared" si="11"/>
        <v>602.11</v>
      </c>
      <c r="Q326">
        <v>45358</v>
      </c>
      <c r="R326">
        <f>YEAR(Table1[[#This Row],[Order_Date_New]])</f>
        <v>2024</v>
      </c>
      <c r="S326">
        <f>MONTH(Table1[[#This Row],[Order_Date_New]])</f>
        <v>3</v>
      </c>
      <c r="T326" t="str">
        <f>TEXT(Table1[[#This Row],[Order_Date_New]],"mmmm")</f>
        <v>March</v>
      </c>
      <c r="U326">
        <f>Table1[[#This Row],[Profit]]/Table1[[#This Row],[Sales]]</f>
        <v>0.18205809569679959</v>
      </c>
      <c r="V326" t="str">
        <f>IF(Table1[[#This Row],[Discount]]=0,"No Discount",IF(Table1[[#This Row],[Discount]]&lt;=0.1,"Low",IF(Table1[[#This Row],[Discount]]&lt;=0.2,"medium","high")))</f>
        <v>high</v>
      </c>
    </row>
    <row r="327" spans="1:22" x14ac:dyDescent="0.3">
      <c r="A327" t="s">
        <v>582</v>
      </c>
      <c r="B327" s="6">
        <v>45512</v>
      </c>
      <c r="C327" t="s">
        <v>350</v>
      </c>
      <c r="D327" t="s">
        <v>128</v>
      </c>
      <c r="E327" t="s">
        <v>202</v>
      </c>
      <c r="F327" t="s">
        <v>60</v>
      </c>
      <c r="G327" t="s">
        <v>61</v>
      </c>
      <c r="H327" t="s">
        <v>122</v>
      </c>
      <c r="I327">
        <v>2159.2199999999998</v>
      </c>
      <c r="J327">
        <v>2</v>
      </c>
      <c r="K327">
        <v>0.1</v>
      </c>
      <c r="L327">
        <v>-94.49</v>
      </c>
      <c r="M327" t="s">
        <v>68</v>
      </c>
      <c r="N327" t="s">
        <v>44</v>
      </c>
      <c r="O327" t="str">
        <f t="shared" si="10"/>
        <v>Bad</v>
      </c>
      <c r="P327">
        <f t="shared" si="11"/>
        <v>1079.6099999999999</v>
      </c>
      <c r="Q327">
        <v>45512</v>
      </c>
      <c r="R327">
        <f>YEAR(Table1[[#This Row],[Order_Date_New]])</f>
        <v>2024</v>
      </c>
      <c r="S327">
        <f>MONTH(Table1[[#This Row],[Order_Date_New]])</f>
        <v>8</v>
      </c>
      <c r="T327" t="str">
        <f>TEXT(Table1[[#This Row],[Order_Date_New]],"mmmm")</f>
        <v>August</v>
      </c>
      <c r="U327">
        <f>Table1[[#This Row],[Profit]]/Table1[[#This Row],[Sales]]</f>
        <v>-4.3761173016181772E-2</v>
      </c>
      <c r="V327" t="str">
        <f>IF(Table1[[#This Row],[Discount]]=0,"No Discount",IF(Table1[[#This Row],[Discount]]&lt;=0.1,"Low",IF(Table1[[#This Row],[Discount]]&lt;=0.2,"medium","high")))</f>
        <v>Low</v>
      </c>
    </row>
    <row r="328" spans="1:22" x14ac:dyDescent="0.3">
      <c r="A328" t="s">
        <v>583</v>
      </c>
      <c r="B328" s="6">
        <v>45916</v>
      </c>
      <c r="C328" t="s">
        <v>458</v>
      </c>
      <c r="D328" t="s">
        <v>33</v>
      </c>
      <c r="E328" t="s">
        <v>48</v>
      </c>
      <c r="F328" t="s">
        <v>60</v>
      </c>
      <c r="G328" t="s">
        <v>61</v>
      </c>
      <c r="H328" t="s">
        <v>67</v>
      </c>
      <c r="I328">
        <v>130.15</v>
      </c>
      <c r="J328">
        <v>1</v>
      </c>
      <c r="K328">
        <v>0.25</v>
      </c>
      <c r="L328">
        <v>5.98</v>
      </c>
      <c r="M328" t="s">
        <v>113</v>
      </c>
      <c r="N328" t="s">
        <v>44</v>
      </c>
      <c r="O328" t="str">
        <f t="shared" si="10"/>
        <v>Bad</v>
      </c>
      <c r="P328">
        <f t="shared" si="11"/>
        <v>130.15</v>
      </c>
      <c r="Q328">
        <v>45916</v>
      </c>
      <c r="R328">
        <f>YEAR(Table1[[#This Row],[Order_Date_New]])</f>
        <v>2025</v>
      </c>
      <c r="S328">
        <f>MONTH(Table1[[#This Row],[Order_Date_New]])</f>
        <v>9</v>
      </c>
      <c r="T328" t="str">
        <f>TEXT(Table1[[#This Row],[Order_Date_New]],"mmmm")</f>
        <v>September</v>
      </c>
      <c r="U328">
        <f>Table1[[#This Row],[Profit]]/Table1[[#This Row],[Sales]]</f>
        <v>4.5946984248943529E-2</v>
      </c>
      <c r="V328" t="str">
        <f>IF(Table1[[#This Row],[Discount]]=0,"No Discount",IF(Table1[[#This Row],[Discount]]&lt;=0.1,"Low",IF(Table1[[#This Row],[Discount]]&lt;=0.2,"medium","high")))</f>
        <v>high</v>
      </c>
    </row>
    <row r="329" spans="1:22" x14ac:dyDescent="0.3">
      <c r="A329" t="s">
        <v>584</v>
      </c>
      <c r="B329" s="6">
        <v>45504</v>
      </c>
      <c r="C329" t="s">
        <v>311</v>
      </c>
      <c r="D329" t="s">
        <v>33</v>
      </c>
      <c r="E329" t="s">
        <v>48</v>
      </c>
      <c r="F329" t="s">
        <v>60</v>
      </c>
      <c r="G329" t="s">
        <v>98</v>
      </c>
      <c r="H329" t="s">
        <v>99</v>
      </c>
      <c r="I329">
        <v>4889.04</v>
      </c>
      <c r="J329">
        <v>8</v>
      </c>
      <c r="K329">
        <v>0.15</v>
      </c>
      <c r="L329">
        <v>-184.21</v>
      </c>
      <c r="M329" t="s">
        <v>29</v>
      </c>
      <c r="N329" t="s">
        <v>38</v>
      </c>
      <c r="O329" t="str">
        <f t="shared" si="10"/>
        <v>Bad</v>
      </c>
      <c r="P329">
        <f t="shared" si="11"/>
        <v>611.13</v>
      </c>
      <c r="Q329">
        <v>45504</v>
      </c>
      <c r="R329">
        <f>YEAR(Table1[[#This Row],[Order_Date_New]])</f>
        <v>2024</v>
      </c>
      <c r="S329">
        <f>MONTH(Table1[[#This Row],[Order_Date_New]])</f>
        <v>7</v>
      </c>
      <c r="T329" t="str">
        <f>TEXT(Table1[[#This Row],[Order_Date_New]],"mmmm")</f>
        <v>July</v>
      </c>
      <c r="U329">
        <f>Table1[[#This Row],[Profit]]/Table1[[#This Row],[Sales]]</f>
        <v>-3.767815358434376E-2</v>
      </c>
      <c r="V329" t="str">
        <f>IF(Table1[[#This Row],[Discount]]=0,"No Discount",IF(Table1[[#This Row],[Discount]]&lt;=0.1,"Low",IF(Table1[[#This Row],[Discount]]&lt;=0.2,"medium","high")))</f>
        <v>medium</v>
      </c>
    </row>
    <row r="330" spans="1:22" x14ac:dyDescent="0.3">
      <c r="A330" t="s">
        <v>585</v>
      </c>
      <c r="B330" s="6">
        <v>46007</v>
      </c>
      <c r="C330" t="s">
        <v>458</v>
      </c>
      <c r="D330" t="s">
        <v>53</v>
      </c>
      <c r="E330" t="s">
        <v>77</v>
      </c>
      <c r="F330" t="s">
        <v>60</v>
      </c>
      <c r="G330" t="s">
        <v>78</v>
      </c>
      <c r="H330" t="s">
        <v>125</v>
      </c>
      <c r="I330">
        <v>5888.55</v>
      </c>
      <c r="J330">
        <v>5</v>
      </c>
      <c r="K330">
        <v>0.25</v>
      </c>
      <c r="L330">
        <v>-1095.72</v>
      </c>
      <c r="M330" t="s">
        <v>170</v>
      </c>
      <c r="N330" t="s">
        <v>80</v>
      </c>
      <c r="O330" t="str">
        <f t="shared" si="10"/>
        <v>Bad</v>
      </c>
      <c r="P330">
        <f t="shared" si="11"/>
        <v>1177.71</v>
      </c>
      <c r="Q330">
        <v>46007</v>
      </c>
      <c r="R330">
        <f>YEAR(Table1[[#This Row],[Order_Date_New]])</f>
        <v>2025</v>
      </c>
      <c r="S330">
        <f>MONTH(Table1[[#This Row],[Order_Date_New]])</f>
        <v>12</v>
      </c>
      <c r="T330" t="str">
        <f>TEXT(Table1[[#This Row],[Order_Date_New]],"mmmm")</f>
        <v>December</v>
      </c>
      <c r="U330">
        <f>Table1[[#This Row],[Profit]]/Table1[[#This Row],[Sales]]</f>
        <v>-0.18607636854573706</v>
      </c>
      <c r="V330" t="str">
        <f>IF(Table1[[#This Row],[Discount]]=0,"No Discount",IF(Table1[[#This Row],[Discount]]&lt;=0.1,"Low",IF(Table1[[#This Row],[Discount]]&lt;=0.2,"medium","high")))</f>
        <v>high</v>
      </c>
    </row>
    <row r="331" spans="1:22" x14ac:dyDescent="0.3">
      <c r="A331" t="s">
        <v>586</v>
      </c>
      <c r="B331" s="6">
        <v>45832</v>
      </c>
      <c r="C331" t="s">
        <v>301</v>
      </c>
      <c r="D331" t="s">
        <v>53</v>
      </c>
      <c r="E331" t="s">
        <v>87</v>
      </c>
      <c r="F331" t="s">
        <v>72</v>
      </c>
      <c r="G331" t="s">
        <v>111</v>
      </c>
      <c r="H331" t="s">
        <v>112</v>
      </c>
      <c r="I331">
        <v>756.2</v>
      </c>
      <c r="J331">
        <v>2</v>
      </c>
      <c r="K331">
        <v>0.15</v>
      </c>
      <c r="L331">
        <v>-0.08</v>
      </c>
      <c r="M331" t="s">
        <v>43</v>
      </c>
      <c r="N331" t="s">
        <v>38</v>
      </c>
      <c r="O331" t="str">
        <f t="shared" si="10"/>
        <v>Bad</v>
      </c>
      <c r="P331">
        <f t="shared" si="11"/>
        <v>378.1</v>
      </c>
      <c r="Q331">
        <v>45832</v>
      </c>
      <c r="R331">
        <f>YEAR(Table1[[#This Row],[Order_Date_New]])</f>
        <v>2025</v>
      </c>
      <c r="S331">
        <f>MONTH(Table1[[#This Row],[Order_Date_New]])</f>
        <v>6</v>
      </c>
      <c r="T331" t="str">
        <f>TEXT(Table1[[#This Row],[Order_Date_New]],"mmmm")</f>
        <v>June</v>
      </c>
      <c r="U331">
        <f>Table1[[#This Row],[Profit]]/Table1[[#This Row],[Sales]]</f>
        <v>-1.057921184871727E-4</v>
      </c>
      <c r="V331" t="str">
        <f>IF(Table1[[#This Row],[Discount]]=0,"No Discount",IF(Table1[[#This Row],[Discount]]&lt;=0.1,"Low",IF(Table1[[#This Row],[Discount]]&lt;=0.2,"medium","high")))</f>
        <v>medium</v>
      </c>
    </row>
    <row r="332" spans="1:22" x14ac:dyDescent="0.3">
      <c r="A332" t="s">
        <v>587</v>
      </c>
      <c r="B332" s="6">
        <v>45646</v>
      </c>
      <c r="C332" t="s">
        <v>588</v>
      </c>
      <c r="D332" t="s">
        <v>53</v>
      </c>
      <c r="E332" t="s">
        <v>77</v>
      </c>
      <c r="F332" t="s">
        <v>26</v>
      </c>
      <c r="G332" t="s">
        <v>41</v>
      </c>
      <c r="H332" t="s">
        <v>42</v>
      </c>
      <c r="I332">
        <v>141.30000000000001</v>
      </c>
      <c r="J332">
        <v>2</v>
      </c>
      <c r="K332">
        <v>0.1</v>
      </c>
      <c r="L332">
        <v>22.34</v>
      </c>
      <c r="M332" t="s">
        <v>29</v>
      </c>
      <c r="N332" t="s">
        <v>44</v>
      </c>
      <c r="O332" t="str">
        <f t="shared" si="10"/>
        <v>Bad</v>
      </c>
      <c r="P332">
        <f t="shared" si="11"/>
        <v>70.650000000000006</v>
      </c>
      <c r="Q332">
        <v>45646</v>
      </c>
      <c r="R332">
        <f>YEAR(Table1[[#This Row],[Order_Date_New]])</f>
        <v>2024</v>
      </c>
      <c r="S332">
        <f>MONTH(Table1[[#This Row],[Order_Date_New]])</f>
        <v>12</v>
      </c>
      <c r="T332" t="str">
        <f>TEXT(Table1[[#This Row],[Order_Date_New]],"mmmm")</f>
        <v>December</v>
      </c>
      <c r="U332">
        <f>Table1[[#This Row],[Profit]]/Table1[[#This Row],[Sales]]</f>
        <v>0.15810332625619247</v>
      </c>
      <c r="V332" t="str">
        <f>IF(Table1[[#This Row],[Discount]]=0,"No Discount",IF(Table1[[#This Row],[Discount]]&lt;=0.1,"Low",IF(Table1[[#This Row],[Discount]]&lt;=0.2,"medium","high")))</f>
        <v>Low</v>
      </c>
    </row>
    <row r="333" spans="1:22" x14ac:dyDescent="0.3">
      <c r="A333" t="s">
        <v>589</v>
      </c>
      <c r="B333" s="6">
        <v>45902</v>
      </c>
      <c r="C333" t="s">
        <v>590</v>
      </c>
      <c r="D333" t="s">
        <v>24</v>
      </c>
      <c r="E333" t="s">
        <v>84</v>
      </c>
      <c r="F333" t="s">
        <v>26</v>
      </c>
      <c r="G333" t="s">
        <v>41</v>
      </c>
      <c r="H333" t="s">
        <v>108</v>
      </c>
      <c r="I333">
        <v>1272.1199999999999</v>
      </c>
      <c r="J333">
        <v>6</v>
      </c>
      <c r="K333">
        <v>0.3</v>
      </c>
      <c r="L333">
        <v>-208.05</v>
      </c>
      <c r="M333" t="s">
        <v>43</v>
      </c>
      <c r="N333" t="s">
        <v>30</v>
      </c>
      <c r="O333" t="str">
        <f t="shared" si="10"/>
        <v>Bad</v>
      </c>
      <c r="P333">
        <f t="shared" si="11"/>
        <v>212.01999999999998</v>
      </c>
      <c r="Q333">
        <v>45902</v>
      </c>
      <c r="R333">
        <f>YEAR(Table1[[#This Row],[Order_Date_New]])</f>
        <v>2025</v>
      </c>
      <c r="S333">
        <f>MONTH(Table1[[#This Row],[Order_Date_New]])</f>
        <v>9</v>
      </c>
      <c r="T333" t="str">
        <f>TEXT(Table1[[#This Row],[Order_Date_New]],"mmmm")</f>
        <v>September</v>
      </c>
      <c r="U333">
        <f>Table1[[#This Row],[Profit]]/Table1[[#This Row],[Sales]]</f>
        <v>-0.16354589189699087</v>
      </c>
      <c r="V333" t="str">
        <f>IF(Table1[[#This Row],[Discount]]=0,"No Discount",IF(Table1[[#This Row],[Discount]]&lt;=0.1,"Low",IF(Table1[[#This Row],[Discount]]&lt;=0.2,"medium","high")))</f>
        <v>high</v>
      </c>
    </row>
    <row r="334" spans="1:22" x14ac:dyDescent="0.3">
      <c r="A334" t="s">
        <v>591</v>
      </c>
      <c r="B334" s="6">
        <v>45440</v>
      </c>
      <c r="C334" t="s">
        <v>592</v>
      </c>
      <c r="D334" t="s">
        <v>128</v>
      </c>
      <c r="E334" t="s">
        <v>129</v>
      </c>
      <c r="F334" t="s">
        <v>26</v>
      </c>
      <c r="G334" t="s">
        <v>27</v>
      </c>
      <c r="H334" t="s">
        <v>271</v>
      </c>
      <c r="I334">
        <v>2941.89</v>
      </c>
      <c r="J334">
        <v>3</v>
      </c>
      <c r="K334">
        <v>0.2</v>
      </c>
      <c r="L334">
        <v>401.47</v>
      </c>
      <c r="M334" t="s">
        <v>68</v>
      </c>
      <c r="N334" t="s">
        <v>38</v>
      </c>
      <c r="O334" t="str">
        <f t="shared" si="10"/>
        <v>Bad</v>
      </c>
      <c r="P334">
        <f t="shared" si="11"/>
        <v>980.63</v>
      </c>
      <c r="Q334">
        <v>45440</v>
      </c>
      <c r="R334">
        <f>YEAR(Table1[[#This Row],[Order_Date_New]])</f>
        <v>2024</v>
      </c>
      <c r="S334">
        <f>MONTH(Table1[[#This Row],[Order_Date_New]])</f>
        <v>5</v>
      </c>
      <c r="T334" t="str">
        <f>TEXT(Table1[[#This Row],[Order_Date_New]],"mmmm")</f>
        <v>May</v>
      </c>
      <c r="U334">
        <f>Table1[[#This Row],[Profit]]/Table1[[#This Row],[Sales]]</f>
        <v>0.13646669318023449</v>
      </c>
      <c r="V334" t="str">
        <f>IF(Table1[[#This Row],[Discount]]=0,"No Discount",IF(Table1[[#This Row],[Discount]]&lt;=0.1,"Low",IF(Table1[[#This Row],[Discount]]&lt;=0.2,"medium","high")))</f>
        <v>medium</v>
      </c>
    </row>
    <row r="335" spans="1:22" x14ac:dyDescent="0.3">
      <c r="A335" t="s">
        <v>593</v>
      </c>
      <c r="B335" s="6">
        <v>45493</v>
      </c>
      <c r="C335" t="s">
        <v>388</v>
      </c>
      <c r="D335" t="s">
        <v>53</v>
      </c>
      <c r="E335" t="s">
        <v>107</v>
      </c>
      <c r="F335" t="s">
        <v>26</v>
      </c>
      <c r="G335" t="s">
        <v>41</v>
      </c>
      <c r="H335" t="s">
        <v>189</v>
      </c>
      <c r="I335">
        <v>5631</v>
      </c>
      <c r="J335">
        <v>6</v>
      </c>
      <c r="K335">
        <v>0.15</v>
      </c>
      <c r="L335">
        <v>1267.9100000000001</v>
      </c>
      <c r="M335" t="s">
        <v>43</v>
      </c>
      <c r="N335" t="s">
        <v>80</v>
      </c>
      <c r="O335" t="str">
        <f t="shared" si="10"/>
        <v>Bad</v>
      </c>
      <c r="P335">
        <f t="shared" si="11"/>
        <v>938.5</v>
      </c>
      <c r="Q335">
        <v>45493</v>
      </c>
      <c r="R335">
        <f>YEAR(Table1[[#This Row],[Order_Date_New]])</f>
        <v>2024</v>
      </c>
      <c r="S335">
        <f>MONTH(Table1[[#This Row],[Order_Date_New]])</f>
        <v>7</v>
      </c>
      <c r="T335" t="str">
        <f>TEXT(Table1[[#This Row],[Order_Date_New]],"mmmm")</f>
        <v>July</v>
      </c>
      <c r="U335">
        <f>Table1[[#This Row],[Profit]]/Table1[[#This Row],[Sales]]</f>
        <v>0.22516604510744095</v>
      </c>
      <c r="V335" t="str">
        <f>IF(Table1[[#This Row],[Discount]]=0,"No Discount",IF(Table1[[#This Row],[Discount]]&lt;=0.1,"Low",IF(Table1[[#This Row],[Discount]]&lt;=0.2,"medium","high")))</f>
        <v>medium</v>
      </c>
    </row>
    <row r="336" spans="1:22" x14ac:dyDescent="0.3">
      <c r="A336" t="s">
        <v>594</v>
      </c>
      <c r="B336" s="6">
        <v>45593</v>
      </c>
      <c r="C336" t="s">
        <v>595</v>
      </c>
      <c r="D336" t="s">
        <v>128</v>
      </c>
      <c r="E336" t="s">
        <v>129</v>
      </c>
      <c r="F336" t="s">
        <v>72</v>
      </c>
      <c r="G336" t="s">
        <v>111</v>
      </c>
      <c r="H336" t="s">
        <v>182</v>
      </c>
      <c r="I336">
        <v>1340.43</v>
      </c>
      <c r="J336">
        <v>7</v>
      </c>
      <c r="K336">
        <v>0.2</v>
      </c>
      <c r="L336">
        <v>64.430000000000007</v>
      </c>
      <c r="M336" t="s">
        <v>105</v>
      </c>
      <c r="N336" t="s">
        <v>30</v>
      </c>
      <c r="O336" t="str">
        <f t="shared" si="10"/>
        <v>Bad</v>
      </c>
      <c r="P336">
        <f t="shared" si="11"/>
        <v>191.49</v>
      </c>
      <c r="Q336">
        <v>45593</v>
      </c>
      <c r="R336">
        <f>YEAR(Table1[[#This Row],[Order_Date_New]])</f>
        <v>2024</v>
      </c>
      <c r="S336">
        <f>MONTH(Table1[[#This Row],[Order_Date_New]])</f>
        <v>10</v>
      </c>
      <c r="T336" t="str">
        <f>TEXT(Table1[[#This Row],[Order_Date_New]],"mmmm")</f>
        <v>October</v>
      </c>
      <c r="U336">
        <f>Table1[[#This Row],[Profit]]/Table1[[#This Row],[Sales]]</f>
        <v>4.8066665174608149E-2</v>
      </c>
      <c r="V336" t="str">
        <f>IF(Table1[[#This Row],[Discount]]=0,"No Discount",IF(Table1[[#This Row],[Discount]]&lt;=0.1,"Low",IF(Table1[[#This Row],[Discount]]&lt;=0.2,"medium","high")))</f>
        <v>medium</v>
      </c>
    </row>
    <row r="337" spans="1:22" x14ac:dyDescent="0.3">
      <c r="A337" t="s">
        <v>596</v>
      </c>
      <c r="B337" s="6">
        <v>45768</v>
      </c>
      <c r="C337" t="s">
        <v>165</v>
      </c>
      <c r="D337" t="s">
        <v>33</v>
      </c>
      <c r="E337" t="s">
        <v>48</v>
      </c>
      <c r="F337" t="s">
        <v>26</v>
      </c>
      <c r="G337" t="s">
        <v>27</v>
      </c>
      <c r="H337" t="s">
        <v>271</v>
      </c>
      <c r="I337">
        <v>11019.7</v>
      </c>
      <c r="J337">
        <v>10</v>
      </c>
      <c r="K337">
        <v>0.05</v>
      </c>
      <c r="L337">
        <v>3253.1</v>
      </c>
      <c r="M337" t="s">
        <v>113</v>
      </c>
      <c r="N337" t="s">
        <v>30</v>
      </c>
      <c r="O337" t="str">
        <f t="shared" si="10"/>
        <v>Good</v>
      </c>
      <c r="P337">
        <f t="shared" si="11"/>
        <v>1101.97</v>
      </c>
      <c r="Q337">
        <v>45768</v>
      </c>
      <c r="R337">
        <f>YEAR(Table1[[#This Row],[Order_Date_New]])</f>
        <v>2025</v>
      </c>
      <c r="S337">
        <f>MONTH(Table1[[#This Row],[Order_Date_New]])</f>
        <v>4</v>
      </c>
      <c r="T337" t="str">
        <f>TEXT(Table1[[#This Row],[Order_Date_New]],"mmmm")</f>
        <v>April</v>
      </c>
      <c r="U337">
        <f>Table1[[#This Row],[Profit]]/Table1[[#This Row],[Sales]]</f>
        <v>0.29520767353013239</v>
      </c>
      <c r="V337" t="str">
        <f>IF(Table1[[#This Row],[Discount]]=0,"No Discount",IF(Table1[[#This Row],[Discount]]&lt;=0.1,"Low",IF(Table1[[#This Row],[Discount]]&lt;=0.2,"medium","high")))</f>
        <v>Low</v>
      </c>
    </row>
    <row r="338" spans="1:22" x14ac:dyDescent="0.3">
      <c r="A338" t="s">
        <v>597</v>
      </c>
      <c r="B338" s="6">
        <v>45781</v>
      </c>
      <c r="C338" t="s">
        <v>270</v>
      </c>
      <c r="D338" t="s">
        <v>24</v>
      </c>
      <c r="E338" t="s">
        <v>59</v>
      </c>
      <c r="F338" t="s">
        <v>72</v>
      </c>
      <c r="G338" t="s">
        <v>88</v>
      </c>
      <c r="H338" t="s">
        <v>209</v>
      </c>
      <c r="I338">
        <v>10230</v>
      </c>
      <c r="J338">
        <v>10</v>
      </c>
      <c r="K338">
        <v>0.3</v>
      </c>
      <c r="L338">
        <v>-1953.84</v>
      </c>
      <c r="M338" t="s">
        <v>37</v>
      </c>
      <c r="N338" t="s">
        <v>44</v>
      </c>
      <c r="O338" t="str">
        <f t="shared" si="10"/>
        <v>Good</v>
      </c>
      <c r="P338">
        <f t="shared" si="11"/>
        <v>1023</v>
      </c>
      <c r="Q338">
        <v>45781</v>
      </c>
      <c r="R338">
        <f>YEAR(Table1[[#This Row],[Order_Date_New]])</f>
        <v>2025</v>
      </c>
      <c r="S338">
        <f>MONTH(Table1[[#This Row],[Order_Date_New]])</f>
        <v>5</v>
      </c>
      <c r="T338" t="str">
        <f>TEXT(Table1[[#This Row],[Order_Date_New]],"mmmm")</f>
        <v>May</v>
      </c>
      <c r="U338">
        <f>Table1[[#This Row],[Profit]]/Table1[[#This Row],[Sales]]</f>
        <v>-0.19099120234604106</v>
      </c>
      <c r="V338" t="str">
        <f>IF(Table1[[#This Row],[Discount]]=0,"No Discount",IF(Table1[[#This Row],[Discount]]&lt;=0.1,"Low",IF(Table1[[#This Row],[Discount]]&lt;=0.2,"medium","high")))</f>
        <v>high</v>
      </c>
    </row>
    <row r="339" spans="1:22" x14ac:dyDescent="0.3">
      <c r="A339" t="s">
        <v>598</v>
      </c>
      <c r="B339" s="6">
        <v>45565</v>
      </c>
      <c r="C339" t="s">
        <v>599</v>
      </c>
      <c r="D339" t="s">
        <v>128</v>
      </c>
      <c r="E339" t="s">
        <v>129</v>
      </c>
      <c r="F339" t="s">
        <v>72</v>
      </c>
      <c r="G339" t="s">
        <v>73</v>
      </c>
      <c r="H339" t="s">
        <v>102</v>
      </c>
      <c r="I339">
        <v>3400.11</v>
      </c>
      <c r="J339">
        <v>9</v>
      </c>
      <c r="K339">
        <v>0.15</v>
      </c>
      <c r="L339">
        <v>874.13</v>
      </c>
      <c r="M339" t="s">
        <v>90</v>
      </c>
      <c r="N339" t="s">
        <v>30</v>
      </c>
      <c r="O339" t="str">
        <f t="shared" si="10"/>
        <v>Bad</v>
      </c>
      <c r="P339">
        <f t="shared" si="11"/>
        <v>377.79</v>
      </c>
      <c r="Q339">
        <v>45565</v>
      </c>
      <c r="R339">
        <f>YEAR(Table1[[#This Row],[Order_Date_New]])</f>
        <v>2024</v>
      </c>
      <c r="S339">
        <f>MONTH(Table1[[#This Row],[Order_Date_New]])</f>
        <v>9</v>
      </c>
      <c r="T339" t="str">
        <f>TEXT(Table1[[#This Row],[Order_Date_New]],"mmmm")</f>
        <v>September</v>
      </c>
      <c r="U339">
        <f>Table1[[#This Row],[Profit]]/Table1[[#This Row],[Sales]]</f>
        <v>0.25708874124660669</v>
      </c>
      <c r="V339" t="str">
        <f>IF(Table1[[#This Row],[Discount]]=0,"No Discount",IF(Table1[[#This Row],[Discount]]&lt;=0.1,"Low",IF(Table1[[#This Row],[Discount]]&lt;=0.2,"medium","high")))</f>
        <v>medium</v>
      </c>
    </row>
    <row r="340" spans="1:22" x14ac:dyDescent="0.3">
      <c r="A340" t="s">
        <v>600</v>
      </c>
      <c r="B340" s="6">
        <v>45504</v>
      </c>
      <c r="C340" t="s">
        <v>601</v>
      </c>
      <c r="D340" t="s">
        <v>24</v>
      </c>
      <c r="E340" t="s">
        <v>84</v>
      </c>
      <c r="F340" t="s">
        <v>72</v>
      </c>
      <c r="G340" t="s">
        <v>88</v>
      </c>
      <c r="H340" t="s">
        <v>209</v>
      </c>
      <c r="I340">
        <v>519.08000000000004</v>
      </c>
      <c r="J340">
        <v>2</v>
      </c>
      <c r="K340">
        <v>0.05</v>
      </c>
      <c r="L340">
        <v>161.53</v>
      </c>
      <c r="M340" t="s">
        <v>37</v>
      </c>
      <c r="N340" t="s">
        <v>44</v>
      </c>
      <c r="O340" t="str">
        <f t="shared" si="10"/>
        <v>Bad</v>
      </c>
      <c r="P340">
        <f t="shared" si="11"/>
        <v>259.54000000000002</v>
      </c>
      <c r="Q340">
        <v>45504</v>
      </c>
      <c r="R340">
        <f>YEAR(Table1[[#This Row],[Order_Date_New]])</f>
        <v>2024</v>
      </c>
      <c r="S340">
        <f>MONTH(Table1[[#This Row],[Order_Date_New]])</f>
        <v>7</v>
      </c>
      <c r="T340" t="str">
        <f>TEXT(Table1[[#This Row],[Order_Date_New]],"mmmm")</f>
        <v>July</v>
      </c>
      <c r="U340">
        <f>Table1[[#This Row],[Profit]]/Table1[[#This Row],[Sales]]</f>
        <v>0.31118517376897586</v>
      </c>
      <c r="V340" t="str">
        <f>IF(Table1[[#This Row],[Discount]]=0,"No Discount",IF(Table1[[#This Row],[Discount]]&lt;=0.1,"Low",IF(Table1[[#This Row],[Discount]]&lt;=0.2,"medium","high")))</f>
        <v>Low</v>
      </c>
    </row>
    <row r="341" spans="1:22" x14ac:dyDescent="0.3">
      <c r="A341" t="s">
        <v>602</v>
      </c>
      <c r="B341" s="6">
        <v>45583</v>
      </c>
      <c r="C341" t="s">
        <v>137</v>
      </c>
      <c r="D341" t="s">
        <v>24</v>
      </c>
      <c r="E341" t="s">
        <v>84</v>
      </c>
      <c r="F341" t="s">
        <v>60</v>
      </c>
      <c r="G341" t="s">
        <v>98</v>
      </c>
      <c r="H341" t="s">
        <v>99</v>
      </c>
      <c r="I341">
        <v>936.74</v>
      </c>
      <c r="J341">
        <v>2</v>
      </c>
      <c r="K341">
        <v>0.25</v>
      </c>
      <c r="L341">
        <v>50.32</v>
      </c>
      <c r="M341" t="s">
        <v>90</v>
      </c>
      <c r="N341" t="s">
        <v>44</v>
      </c>
      <c r="O341" t="str">
        <f t="shared" si="10"/>
        <v>Bad</v>
      </c>
      <c r="P341">
        <f t="shared" si="11"/>
        <v>468.37</v>
      </c>
      <c r="Q341">
        <v>45583</v>
      </c>
      <c r="R341">
        <f>YEAR(Table1[[#This Row],[Order_Date_New]])</f>
        <v>2024</v>
      </c>
      <c r="S341">
        <f>MONTH(Table1[[#This Row],[Order_Date_New]])</f>
        <v>10</v>
      </c>
      <c r="T341" t="str">
        <f>TEXT(Table1[[#This Row],[Order_Date_New]],"mmmm")</f>
        <v>October</v>
      </c>
      <c r="U341">
        <f>Table1[[#This Row],[Profit]]/Table1[[#This Row],[Sales]]</f>
        <v>5.3718214232337684E-2</v>
      </c>
      <c r="V341" t="str">
        <f>IF(Table1[[#This Row],[Discount]]=0,"No Discount",IF(Table1[[#This Row],[Discount]]&lt;=0.1,"Low",IF(Table1[[#This Row],[Discount]]&lt;=0.2,"medium","high")))</f>
        <v>high</v>
      </c>
    </row>
    <row r="342" spans="1:22" x14ac:dyDescent="0.3">
      <c r="A342" t="s">
        <v>603</v>
      </c>
      <c r="B342" s="6">
        <v>45564</v>
      </c>
      <c r="C342" t="s">
        <v>604</v>
      </c>
      <c r="D342" t="s">
        <v>128</v>
      </c>
      <c r="E342" t="s">
        <v>146</v>
      </c>
      <c r="F342" t="s">
        <v>26</v>
      </c>
      <c r="G342" t="s">
        <v>35</v>
      </c>
      <c r="H342" t="s">
        <v>173</v>
      </c>
      <c r="I342">
        <v>3373.92</v>
      </c>
      <c r="J342">
        <v>3</v>
      </c>
      <c r="K342">
        <v>0.3</v>
      </c>
      <c r="L342">
        <v>-292.88</v>
      </c>
      <c r="M342" t="s">
        <v>113</v>
      </c>
      <c r="N342" t="s">
        <v>80</v>
      </c>
      <c r="O342" t="str">
        <f t="shared" si="10"/>
        <v>Bad</v>
      </c>
      <c r="P342">
        <f t="shared" si="11"/>
        <v>1124.6400000000001</v>
      </c>
      <c r="Q342">
        <v>45564</v>
      </c>
      <c r="R342">
        <f>YEAR(Table1[[#This Row],[Order_Date_New]])</f>
        <v>2024</v>
      </c>
      <c r="S342">
        <f>MONTH(Table1[[#This Row],[Order_Date_New]])</f>
        <v>9</v>
      </c>
      <c r="T342" t="str">
        <f>TEXT(Table1[[#This Row],[Order_Date_New]],"mmmm")</f>
        <v>September</v>
      </c>
      <c r="U342">
        <f>Table1[[#This Row],[Profit]]/Table1[[#This Row],[Sales]]</f>
        <v>-8.6807037511262855E-2</v>
      </c>
      <c r="V342" t="str">
        <f>IF(Table1[[#This Row],[Discount]]=0,"No Discount",IF(Table1[[#This Row],[Discount]]&lt;=0.1,"Low",IF(Table1[[#This Row],[Discount]]&lt;=0.2,"medium","high")))</f>
        <v>high</v>
      </c>
    </row>
    <row r="343" spans="1:22" x14ac:dyDescent="0.3">
      <c r="A343" t="s">
        <v>605</v>
      </c>
      <c r="B343" s="6">
        <v>45909</v>
      </c>
      <c r="C343" t="s">
        <v>115</v>
      </c>
      <c r="D343" t="s">
        <v>128</v>
      </c>
      <c r="E343" t="s">
        <v>146</v>
      </c>
      <c r="F343" t="s">
        <v>72</v>
      </c>
      <c r="G343" t="s">
        <v>73</v>
      </c>
      <c r="H343" t="s">
        <v>74</v>
      </c>
      <c r="I343">
        <v>864.71</v>
      </c>
      <c r="J343">
        <v>7</v>
      </c>
      <c r="K343">
        <v>0.05</v>
      </c>
      <c r="L343">
        <v>171.25</v>
      </c>
      <c r="M343" t="s">
        <v>105</v>
      </c>
      <c r="N343" t="s">
        <v>38</v>
      </c>
      <c r="O343" t="str">
        <f t="shared" si="10"/>
        <v>Bad</v>
      </c>
      <c r="P343">
        <f t="shared" si="11"/>
        <v>123.53</v>
      </c>
      <c r="Q343">
        <v>45909</v>
      </c>
      <c r="R343">
        <f>YEAR(Table1[[#This Row],[Order_Date_New]])</f>
        <v>2025</v>
      </c>
      <c r="S343">
        <f>MONTH(Table1[[#This Row],[Order_Date_New]])</f>
        <v>9</v>
      </c>
      <c r="T343" t="str">
        <f>TEXT(Table1[[#This Row],[Order_Date_New]],"mmmm")</f>
        <v>September</v>
      </c>
      <c r="U343">
        <f>Table1[[#This Row],[Profit]]/Table1[[#This Row],[Sales]]</f>
        <v>0.19804327462386231</v>
      </c>
      <c r="V343" t="str">
        <f>IF(Table1[[#This Row],[Discount]]=0,"No Discount",IF(Table1[[#This Row],[Discount]]&lt;=0.1,"Low",IF(Table1[[#This Row],[Discount]]&lt;=0.2,"medium","high")))</f>
        <v>Low</v>
      </c>
    </row>
    <row r="344" spans="1:22" x14ac:dyDescent="0.3">
      <c r="A344" t="s">
        <v>606</v>
      </c>
      <c r="B344" s="6">
        <v>45671</v>
      </c>
      <c r="C344" t="s">
        <v>156</v>
      </c>
      <c r="D344" t="s">
        <v>53</v>
      </c>
      <c r="E344" t="s">
        <v>87</v>
      </c>
      <c r="F344" t="s">
        <v>60</v>
      </c>
      <c r="G344" t="s">
        <v>61</v>
      </c>
      <c r="H344" t="s">
        <v>122</v>
      </c>
      <c r="I344">
        <v>9461.0400000000009</v>
      </c>
      <c r="J344">
        <v>8</v>
      </c>
      <c r="K344">
        <v>0.05</v>
      </c>
      <c r="L344">
        <v>3596.88</v>
      </c>
      <c r="M344" t="s">
        <v>113</v>
      </c>
      <c r="N344" t="s">
        <v>30</v>
      </c>
      <c r="O344" t="str">
        <f t="shared" si="10"/>
        <v>Good</v>
      </c>
      <c r="P344">
        <f t="shared" si="11"/>
        <v>1182.6300000000001</v>
      </c>
      <c r="Q344">
        <v>45671</v>
      </c>
      <c r="R344">
        <f>YEAR(Table1[[#This Row],[Order_Date_New]])</f>
        <v>2025</v>
      </c>
      <c r="S344">
        <f>MONTH(Table1[[#This Row],[Order_Date_New]])</f>
        <v>1</v>
      </c>
      <c r="T344" t="str">
        <f>TEXT(Table1[[#This Row],[Order_Date_New]],"mmmm")</f>
        <v>January</v>
      </c>
      <c r="U344">
        <f>Table1[[#This Row],[Profit]]/Table1[[#This Row],[Sales]]</f>
        <v>0.38017807767433598</v>
      </c>
      <c r="V344" t="str">
        <f>IF(Table1[[#This Row],[Discount]]=0,"No Discount",IF(Table1[[#This Row],[Discount]]&lt;=0.1,"Low",IF(Table1[[#This Row],[Discount]]&lt;=0.2,"medium","high")))</f>
        <v>Low</v>
      </c>
    </row>
    <row r="345" spans="1:22" x14ac:dyDescent="0.3">
      <c r="A345" t="s">
        <v>607</v>
      </c>
      <c r="B345" s="6">
        <v>45527</v>
      </c>
      <c r="C345" t="s">
        <v>283</v>
      </c>
      <c r="D345" t="s">
        <v>33</v>
      </c>
      <c r="E345" t="s">
        <v>34</v>
      </c>
      <c r="F345" t="s">
        <v>26</v>
      </c>
      <c r="G345" t="s">
        <v>27</v>
      </c>
      <c r="H345" t="s">
        <v>28</v>
      </c>
      <c r="I345">
        <v>706.32</v>
      </c>
      <c r="J345">
        <v>6</v>
      </c>
      <c r="K345">
        <v>0.15</v>
      </c>
      <c r="L345">
        <v>175.47</v>
      </c>
      <c r="M345" t="s">
        <v>90</v>
      </c>
      <c r="N345" t="s">
        <v>30</v>
      </c>
      <c r="O345" t="str">
        <f t="shared" si="10"/>
        <v>Bad</v>
      </c>
      <c r="P345">
        <f t="shared" si="11"/>
        <v>117.72000000000001</v>
      </c>
      <c r="Q345">
        <v>45527</v>
      </c>
      <c r="R345">
        <f>YEAR(Table1[[#This Row],[Order_Date_New]])</f>
        <v>2024</v>
      </c>
      <c r="S345">
        <f>MONTH(Table1[[#This Row],[Order_Date_New]])</f>
        <v>8</v>
      </c>
      <c r="T345" t="str">
        <f>TEXT(Table1[[#This Row],[Order_Date_New]],"mmmm")</f>
        <v>August</v>
      </c>
      <c r="U345">
        <f>Table1[[#This Row],[Profit]]/Table1[[#This Row],[Sales]]</f>
        <v>0.24842847434590551</v>
      </c>
      <c r="V345" t="str">
        <f>IF(Table1[[#This Row],[Discount]]=0,"No Discount",IF(Table1[[#This Row],[Discount]]&lt;=0.1,"Low",IF(Table1[[#This Row],[Discount]]&lt;=0.2,"medium","high")))</f>
        <v>medium</v>
      </c>
    </row>
    <row r="346" spans="1:22" x14ac:dyDescent="0.3">
      <c r="A346" t="s">
        <v>608</v>
      </c>
      <c r="B346" s="6">
        <v>45755</v>
      </c>
      <c r="C346" t="s">
        <v>609</v>
      </c>
      <c r="D346" t="s">
        <v>53</v>
      </c>
      <c r="E346" t="s">
        <v>77</v>
      </c>
      <c r="F346" t="s">
        <v>72</v>
      </c>
      <c r="G346" t="s">
        <v>73</v>
      </c>
      <c r="H346" t="s">
        <v>74</v>
      </c>
      <c r="I346">
        <v>617.46</v>
      </c>
      <c r="J346">
        <v>3</v>
      </c>
      <c r="K346">
        <v>0.05</v>
      </c>
      <c r="L346">
        <v>118.29</v>
      </c>
      <c r="M346" t="s">
        <v>49</v>
      </c>
      <c r="N346" t="s">
        <v>30</v>
      </c>
      <c r="O346" t="str">
        <f t="shared" si="10"/>
        <v>Bad</v>
      </c>
      <c r="P346">
        <f t="shared" si="11"/>
        <v>205.82000000000002</v>
      </c>
      <c r="Q346">
        <v>45755</v>
      </c>
      <c r="R346">
        <f>YEAR(Table1[[#This Row],[Order_Date_New]])</f>
        <v>2025</v>
      </c>
      <c r="S346">
        <f>MONTH(Table1[[#This Row],[Order_Date_New]])</f>
        <v>4</v>
      </c>
      <c r="T346" t="str">
        <f>TEXT(Table1[[#This Row],[Order_Date_New]],"mmmm")</f>
        <v>April</v>
      </c>
      <c r="U346">
        <f>Table1[[#This Row],[Profit]]/Table1[[#This Row],[Sales]]</f>
        <v>0.19157516276357983</v>
      </c>
      <c r="V346" t="str">
        <f>IF(Table1[[#This Row],[Discount]]=0,"No Discount",IF(Table1[[#This Row],[Discount]]&lt;=0.1,"Low",IF(Table1[[#This Row],[Discount]]&lt;=0.2,"medium","high")))</f>
        <v>Low</v>
      </c>
    </row>
    <row r="347" spans="1:22" x14ac:dyDescent="0.3">
      <c r="A347" t="s">
        <v>610</v>
      </c>
      <c r="B347" s="6">
        <v>45880</v>
      </c>
      <c r="C347" t="s">
        <v>437</v>
      </c>
      <c r="D347" t="s">
        <v>53</v>
      </c>
      <c r="E347" t="s">
        <v>87</v>
      </c>
      <c r="F347" t="s">
        <v>72</v>
      </c>
      <c r="G347" t="s">
        <v>73</v>
      </c>
      <c r="H347" t="s">
        <v>293</v>
      </c>
      <c r="I347">
        <v>5789.45</v>
      </c>
      <c r="J347">
        <v>5</v>
      </c>
      <c r="K347">
        <v>0.2</v>
      </c>
      <c r="L347">
        <v>-442.27</v>
      </c>
      <c r="M347" t="s">
        <v>49</v>
      </c>
      <c r="N347" t="s">
        <v>44</v>
      </c>
      <c r="O347" t="str">
        <f t="shared" si="10"/>
        <v>Bad</v>
      </c>
      <c r="P347">
        <f t="shared" si="11"/>
        <v>1157.8899999999999</v>
      </c>
      <c r="Q347">
        <v>45880</v>
      </c>
      <c r="R347">
        <f>YEAR(Table1[[#This Row],[Order_Date_New]])</f>
        <v>2025</v>
      </c>
      <c r="S347">
        <f>MONTH(Table1[[#This Row],[Order_Date_New]])</f>
        <v>8</v>
      </c>
      <c r="T347" t="str">
        <f>TEXT(Table1[[#This Row],[Order_Date_New]],"mmmm")</f>
        <v>August</v>
      </c>
      <c r="U347">
        <f>Table1[[#This Row],[Profit]]/Table1[[#This Row],[Sales]]</f>
        <v>-7.639240342346855E-2</v>
      </c>
      <c r="V347" t="str">
        <f>IF(Table1[[#This Row],[Discount]]=0,"No Discount",IF(Table1[[#This Row],[Discount]]&lt;=0.1,"Low",IF(Table1[[#This Row],[Discount]]&lt;=0.2,"medium","high")))</f>
        <v>medium</v>
      </c>
    </row>
    <row r="348" spans="1:22" x14ac:dyDescent="0.3">
      <c r="A348" t="s">
        <v>611</v>
      </c>
      <c r="B348" s="6">
        <v>45992</v>
      </c>
      <c r="C348" t="s">
        <v>595</v>
      </c>
      <c r="D348" t="s">
        <v>128</v>
      </c>
      <c r="E348" t="s">
        <v>202</v>
      </c>
      <c r="F348" t="s">
        <v>26</v>
      </c>
      <c r="G348" t="s">
        <v>27</v>
      </c>
      <c r="H348" t="s">
        <v>28</v>
      </c>
      <c r="I348">
        <v>71.16</v>
      </c>
      <c r="J348">
        <v>1</v>
      </c>
      <c r="K348">
        <v>0.2</v>
      </c>
      <c r="L348">
        <v>-9.0500000000000007</v>
      </c>
      <c r="M348" t="s">
        <v>68</v>
      </c>
      <c r="N348" t="s">
        <v>38</v>
      </c>
      <c r="O348" t="str">
        <f t="shared" si="10"/>
        <v>Bad</v>
      </c>
      <c r="P348">
        <f t="shared" si="11"/>
        <v>71.16</v>
      </c>
      <c r="Q348">
        <v>45992</v>
      </c>
      <c r="R348">
        <f>YEAR(Table1[[#This Row],[Order_Date_New]])</f>
        <v>2025</v>
      </c>
      <c r="S348">
        <f>MONTH(Table1[[#This Row],[Order_Date_New]])</f>
        <v>12</v>
      </c>
      <c r="T348" t="str">
        <f>TEXT(Table1[[#This Row],[Order_Date_New]],"mmmm")</f>
        <v>December</v>
      </c>
      <c r="U348">
        <f>Table1[[#This Row],[Profit]]/Table1[[#This Row],[Sales]]</f>
        <v>-0.12717818999437888</v>
      </c>
      <c r="V348" t="str">
        <f>IF(Table1[[#This Row],[Discount]]=0,"No Discount",IF(Table1[[#This Row],[Discount]]&lt;=0.1,"Low",IF(Table1[[#This Row],[Discount]]&lt;=0.2,"medium","high")))</f>
        <v>medium</v>
      </c>
    </row>
    <row r="349" spans="1:22" x14ac:dyDescent="0.3">
      <c r="A349" t="s">
        <v>612</v>
      </c>
      <c r="B349" s="6">
        <v>46019</v>
      </c>
      <c r="C349" t="s">
        <v>463</v>
      </c>
      <c r="D349" t="s">
        <v>128</v>
      </c>
      <c r="E349" t="s">
        <v>129</v>
      </c>
      <c r="F349" t="s">
        <v>26</v>
      </c>
      <c r="G349" t="s">
        <v>27</v>
      </c>
      <c r="H349" t="s">
        <v>200</v>
      </c>
      <c r="I349">
        <v>1045.19</v>
      </c>
      <c r="J349">
        <v>1</v>
      </c>
      <c r="K349">
        <v>0</v>
      </c>
      <c r="L349">
        <v>261.37</v>
      </c>
      <c r="M349" t="s">
        <v>49</v>
      </c>
      <c r="N349" t="s">
        <v>80</v>
      </c>
      <c r="O349" t="str">
        <f t="shared" si="10"/>
        <v>Bad</v>
      </c>
      <c r="P349">
        <f t="shared" si="11"/>
        <v>1045.19</v>
      </c>
      <c r="Q349">
        <v>46019</v>
      </c>
      <c r="R349">
        <f>YEAR(Table1[[#This Row],[Order_Date_New]])</f>
        <v>2025</v>
      </c>
      <c r="S349">
        <f>MONTH(Table1[[#This Row],[Order_Date_New]])</f>
        <v>12</v>
      </c>
      <c r="T349" t="str">
        <f>TEXT(Table1[[#This Row],[Order_Date_New]],"mmmm")</f>
        <v>December</v>
      </c>
      <c r="U349">
        <f>Table1[[#This Row],[Profit]]/Table1[[#This Row],[Sales]]</f>
        <v>0.25006936537854363</v>
      </c>
      <c r="V349" t="str">
        <f>IF(Table1[[#This Row],[Discount]]=0,"No Discount",IF(Table1[[#This Row],[Discount]]&lt;=0.1,"Low",IF(Table1[[#This Row],[Discount]]&lt;=0.2,"medium","high")))</f>
        <v>No Discount</v>
      </c>
    </row>
    <row r="350" spans="1:22" x14ac:dyDescent="0.3">
      <c r="A350" t="s">
        <v>613</v>
      </c>
      <c r="B350" s="6">
        <v>45470</v>
      </c>
      <c r="C350" t="s">
        <v>148</v>
      </c>
      <c r="D350" t="s">
        <v>24</v>
      </c>
      <c r="E350" t="s">
        <v>97</v>
      </c>
      <c r="F350" t="s">
        <v>60</v>
      </c>
      <c r="G350" t="s">
        <v>78</v>
      </c>
      <c r="H350" t="s">
        <v>125</v>
      </c>
      <c r="I350">
        <v>206.46</v>
      </c>
      <c r="J350">
        <v>6</v>
      </c>
      <c r="K350">
        <v>0</v>
      </c>
      <c r="L350">
        <v>89.12</v>
      </c>
      <c r="M350" t="s">
        <v>49</v>
      </c>
      <c r="N350" t="s">
        <v>80</v>
      </c>
      <c r="O350" t="str">
        <f t="shared" si="10"/>
        <v>Bad</v>
      </c>
      <c r="P350">
        <f t="shared" si="11"/>
        <v>34.410000000000004</v>
      </c>
      <c r="Q350">
        <v>45470</v>
      </c>
      <c r="R350">
        <f>YEAR(Table1[[#This Row],[Order_Date_New]])</f>
        <v>2024</v>
      </c>
      <c r="S350">
        <f>MONTH(Table1[[#This Row],[Order_Date_New]])</f>
        <v>6</v>
      </c>
      <c r="T350" t="str">
        <f>TEXT(Table1[[#This Row],[Order_Date_New]],"mmmm")</f>
        <v>June</v>
      </c>
      <c r="U350">
        <f>Table1[[#This Row],[Profit]]/Table1[[#This Row],[Sales]]</f>
        <v>0.43165746391552845</v>
      </c>
      <c r="V350" t="str">
        <f>IF(Table1[[#This Row],[Discount]]=0,"No Discount",IF(Table1[[#This Row],[Discount]]&lt;=0.1,"Low",IF(Table1[[#This Row],[Discount]]&lt;=0.2,"medium","high")))</f>
        <v>No Discount</v>
      </c>
    </row>
    <row r="351" spans="1:22" x14ac:dyDescent="0.3">
      <c r="A351" t="s">
        <v>614</v>
      </c>
      <c r="B351" s="6">
        <v>46019</v>
      </c>
      <c r="C351" t="s">
        <v>595</v>
      </c>
      <c r="D351" t="s">
        <v>53</v>
      </c>
      <c r="E351" t="s">
        <v>77</v>
      </c>
      <c r="F351" t="s">
        <v>26</v>
      </c>
      <c r="G351" t="s">
        <v>41</v>
      </c>
      <c r="H351" t="s">
        <v>189</v>
      </c>
      <c r="I351">
        <v>262.68</v>
      </c>
      <c r="J351">
        <v>4</v>
      </c>
      <c r="K351">
        <v>0.1</v>
      </c>
      <c r="L351">
        <v>83.55</v>
      </c>
      <c r="M351" t="s">
        <v>43</v>
      </c>
      <c r="N351" t="s">
        <v>30</v>
      </c>
      <c r="O351" t="str">
        <f t="shared" si="10"/>
        <v>Bad</v>
      </c>
      <c r="P351">
        <f t="shared" si="11"/>
        <v>65.67</v>
      </c>
      <c r="Q351">
        <v>46019</v>
      </c>
      <c r="R351">
        <f>YEAR(Table1[[#This Row],[Order_Date_New]])</f>
        <v>2025</v>
      </c>
      <c r="S351">
        <f>MONTH(Table1[[#This Row],[Order_Date_New]])</f>
        <v>12</v>
      </c>
      <c r="T351" t="str">
        <f>TEXT(Table1[[#This Row],[Order_Date_New]],"mmmm")</f>
        <v>December</v>
      </c>
      <c r="U351">
        <f>Table1[[#This Row],[Profit]]/Table1[[#This Row],[Sales]]</f>
        <v>0.31806761078117862</v>
      </c>
      <c r="V351" t="str">
        <f>IF(Table1[[#This Row],[Discount]]=0,"No Discount",IF(Table1[[#This Row],[Discount]]&lt;=0.1,"Low",IF(Table1[[#This Row],[Discount]]&lt;=0.2,"medium","high")))</f>
        <v>Low</v>
      </c>
    </row>
    <row r="352" spans="1:22" x14ac:dyDescent="0.3">
      <c r="A352" t="s">
        <v>615</v>
      </c>
      <c r="B352" s="6">
        <v>45935</v>
      </c>
      <c r="C352" t="s">
        <v>420</v>
      </c>
      <c r="D352" t="s">
        <v>128</v>
      </c>
      <c r="E352" t="s">
        <v>202</v>
      </c>
      <c r="F352" t="s">
        <v>72</v>
      </c>
      <c r="G352" t="s">
        <v>73</v>
      </c>
      <c r="H352" t="s">
        <v>102</v>
      </c>
      <c r="I352">
        <v>4052.93</v>
      </c>
      <c r="J352">
        <v>7</v>
      </c>
      <c r="K352">
        <v>0.3</v>
      </c>
      <c r="L352">
        <v>253.33</v>
      </c>
      <c r="M352" t="s">
        <v>90</v>
      </c>
      <c r="N352" t="s">
        <v>30</v>
      </c>
      <c r="O352" t="str">
        <f t="shared" si="10"/>
        <v>Bad</v>
      </c>
      <c r="P352">
        <f t="shared" si="11"/>
        <v>578.99</v>
      </c>
      <c r="Q352">
        <v>45935</v>
      </c>
      <c r="R352">
        <f>YEAR(Table1[[#This Row],[Order_Date_New]])</f>
        <v>2025</v>
      </c>
      <c r="S352">
        <f>MONTH(Table1[[#This Row],[Order_Date_New]])</f>
        <v>10</v>
      </c>
      <c r="T352" t="str">
        <f>TEXT(Table1[[#This Row],[Order_Date_New]],"mmmm")</f>
        <v>October</v>
      </c>
      <c r="U352">
        <f>Table1[[#This Row],[Profit]]/Table1[[#This Row],[Sales]]</f>
        <v>6.2505397329832985E-2</v>
      </c>
      <c r="V352" t="str">
        <f>IF(Table1[[#This Row],[Discount]]=0,"No Discount",IF(Table1[[#This Row],[Discount]]&lt;=0.1,"Low",IF(Table1[[#This Row],[Discount]]&lt;=0.2,"medium","high")))</f>
        <v>high</v>
      </c>
    </row>
    <row r="353" spans="1:22" x14ac:dyDescent="0.3">
      <c r="A353" t="s">
        <v>616</v>
      </c>
      <c r="B353" s="6">
        <v>45310</v>
      </c>
      <c r="C353" t="s">
        <v>131</v>
      </c>
      <c r="D353" t="s">
        <v>33</v>
      </c>
      <c r="E353" t="s">
        <v>48</v>
      </c>
      <c r="F353" t="s">
        <v>72</v>
      </c>
      <c r="G353" t="s">
        <v>111</v>
      </c>
      <c r="H353" t="s">
        <v>112</v>
      </c>
      <c r="I353">
        <v>3228.66</v>
      </c>
      <c r="J353">
        <v>9</v>
      </c>
      <c r="K353">
        <v>0.1</v>
      </c>
      <c r="L353">
        <v>467.87</v>
      </c>
      <c r="M353" t="s">
        <v>105</v>
      </c>
      <c r="N353" t="s">
        <v>38</v>
      </c>
      <c r="O353" t="str">
        <f t="shared" si="10"/>
        <v>Bad</v>
      </c>
      <c r="P353">
        <f t="shared" si="11"/>
        <v>358.74</v>
      </c>
      <c r="Q353">
        <v>45310</v>
      </c>
      <c r="R353">
        <f>YEAR(Table1[[#This Row],[Order_Date_New]])</f>
        <v>2024</v>
      </c>
      <c r="S353">
        <f>MONTH(Table1[[#This Row],[Order_Date_New]])</f>
        <v>1</v>
      </c>
      <c r="T353" t="str">
        <f>TEXT(Table1[[#This Row],[Order_Date_New]],"mmmm")</f>
        <v>January</v>
      </c>
      <c r="U353">
        <f>Table1[[#This Row],[Profit]]/Table1[[#This Row],[Sales]]</f>
        <v>0.14491151127712426</v>
      </c>
      <c r="V353" t="str">
        <f>IF(Table1[[#This Row],[Discount]]=0,"No Discount",IF(Table1[[#This Row],[Discount]]&lt;=0.1,"Low",IF(Table1[[#This Row],[Discount]]&lt;=0.2,"medium","high")))</f>
        <v>Low</v>
      </c>
    </row>
    <row r="354" spans="1:22" x14ac:dyDescent="0.3">
      <c r="A354" t="s">
        <v>617</v>
      </c>
      <c r="B354" s="6">
        <v>45339</v>
      </c>
      <c r="C354" t="s">
        <v>518</v>
      </c>
      <c r="D354" t="s">
        <v>33</v>
      </c>
      <c r="E354" t="s">
        <v>66</v>
      </c>
      <c r="F354" t="s">
        <v>72</v>
      </c>
      <c r="G354" t="s">
        <v>88</v>
      </c>
      <c r="H354" t="s">
        <v>119</v>
      </c>
      <c r="I354">
        <v>4011.66</v>
      </c>
      <c r="J354">
        <v>6</v>
      </c>
      <c r="K354">
        <v>0.25</v>
      </c>
      <c r="L354">
        <v>-745.53</v>
      </c>
      <c r="M354" t="s">
        <v>68</v>
      </c>
      <c r="N354" t="s">
        <v>38</v>
      </c>
      <c r="O354" t="str">
        <f t="shared" si="10"/>
        <v>Bad</v>
      </c>
      <c r="P354">
        <f t="shared" si="11"/>
        <v>668.61</v>
      </c>
      <c r="Q354">
        <v>45339</v>
      </c>
      <c r="R354">
        <f>YEAR(Table1[[#This Row],[Order_Date_New]])</f>
        <v>2024</v>
      </c>
      <c r="S354">
        <f>MONTH(Table1[[#This Row],[Order_Date_New]])</f>
        <v>2</v>
      </c>
      <c r="T354" t="str">
        <f>TEXT(Table1[[#This Row],[Order_Date_New]],"mmmm")</f>
        <v>February</v>
      </c>
      <c r="U354">
        <f>Table1[[#This Row],[Profit]]/Table1[[#This Row],[Sales]]</f>
        <v>-0.18584077414337208</v>
      </c>
      <c r="V354" t="str">
        <f>IF(Table1[[#This Row],[Discount]]=0,"No Discount",IF(Table1[[#This Row],[Discount]]&lt;=0.1,"Low",IF(Table1[[#This Row],[Discount]]&lt;=0.2,"medium","high")))</f>
        <v>high</v>
      </c>
    </row>
    <row r="355" spans="1:22" x14ac:dyDescent="0.3">
      <c r="A355" t="s">
        <v>618</v>
      </c>
      <c r="B355" s="6">
        <v>45571</v>
      </c>
      <c r="C355" t="s">
        <v>466</v>
      </c>
      <c r="D355" t="s">
        <v>53</v>
      </c>
      <c r="E355" t="s">
        <v>77</v>
      </c>
      <c r="F355" t="s">
        <v>60</v>
      </c>
      <c r="G355" t="s">
        <v>61</v>
      </c>
      <c r="H355" t="s">
        <v>122</v>
      </c>
      <c r="I355">
        <v>420.4</v>
      </c>
      <c r="J355">
        <v>4</v>
      </c>
      <c r="K355">
        <v>0.1</v>
      </c>
      <c r="L355">
        <v>79.849999999999994</v>
      </c>
      <c r="M355" t="s">
        <v>113</v>
      </c>
      <c r="N355" t="s">
        <v>30</v>
      </c>
      <c r="O355" t="str">
        <f t="shared" si="10"/>
        <v>Bad</v>
      </c>
      <c r="P355">
        <f t="shared" si="11"/>
        <v>105.1</v>
      </c>
      <c r="Q355">
        <v>45571</v>
      </c>
      <c r="R355">
        <f>YEAR(Table1[[#This Row],[Order_Date_New]])</f>
        <v>2024</v>
      </c>
      <c r="S355">
        <f>MONTH(Table1[[#This Row],[Order_Date_New]])</f>
        <v>10</v>
      </c>
      <c r="T355" t="str">
        <f>TEXT(Table1[[#This Row],[Order_Date_New]],"mmmm")</f>
        <v>October</v>
      </c>
      <c r="U355">
        <f>Table1[[#This Row],[Profit]]/Table1[[#This Row],[Sales]]</f>
        <v>0.18993815413891532</v>
      </c>
      <c r="V355" t="str">
        <f>IF(Table1[[#This Row],[Discount]]=0,"No Discount",IF(Table1[[#This Row],[Discount]]&lt;=0.1,"Low",IF(Table1[[#This Row],[Discount]]&lt;=0.2,"medium","high")))</f>
        <v>Low</v>
      </c>
    </row>
    <row r="356" spans="1:22" x14ac:dyDescent="0.3">
      <c r="A356" t="s">
        <v>619</v>
      </c>
      <c r="B356" s="6">
        <v>45902</v>
      </c>
      <c r="C356" t="s">
        <v>251</v>
      </c>
      <c r="D356" t="s">
        <v>33</v>
      </c>
      <c r="E356" t="s">
        <v>118</v>
      </c>
      <c r="F356" t="s">
        <v>60</v>
      </c>
      <c r="G356" t="s">
        <v>98</v>
      </c>
      <c r="H356" t="s">
        <v>99</v>
      </c>
      <c r="I356">
        <v>3379.98</v>
      </c>
      <c r="J356">
        <v>3</v>
      </c>
      <c r="K356">
        <v>0.2</v>
      </c>
      <c r="L356">
        <v>-132.01</v>
      </c>
      <c r="M356" t="s">
        <v>68</v>
      </c>
      <c r="N356" t="s">
        <v>30</v>
      </c>
      <c r="O356" t="str">
        <f t="shared" si="10"/>
        <v>Bad</v>
      </c>
      <c r="P356">
        <f t="shared" si="11"/>
        <v>1126.6600000000001</v>
      </c>
      <c r="Q356">
        <v>45902</v>
      </c>
      <c r="R356">
        <f>YEAR(Table1[[#This Row],[Order_Date_New]])</f>
        <v>2025</v>
      </c>
      <c r="S356">
        <f>MONTH(Table1[[#This Row],[Order_Date_New]])</f>
        <v>9</v>
      </c>
      <c r="T356" t="str">
        <f>TEXT(Table1[[#This Row],[Order_Date_New]],"mmmm")</f>
        <v>September</v>
      </c>
      <c r="U356">
        <f>Table1[[#This Row],[Profit]]/Table1[[#This Row],[Sales]]</f>
        <v>-3.9056444120971125E-2</v>
      </c>
      <c r="V356" t="str">
        <f>IF(Table1[[#This Row],[Discount]]=0,"No Discount",IF(Table1[[#This Row],[Discount]]&lt;=0.1,"Low",IF(Table1[[#This Row],[Discount]]&lt;=0.2,"medium","high")))</f>
        <v>medium</v>
      </c>
    </row>
    <row r="357" spans="1:22" x14ac:dyDescent="0.3">
      <c r="A357" t="s">
        <v>620</v>
      </c>
      <c r="B357" s="6">
        <v>45685</v>
      </c>
      <c r="C357" t="s">
        <v>441</v>
      </c>
      <c r="D357" t="s">
        <v>128</v>
      </c>
      <c r="E357" t="s">
        <v>129</v>
      </c>
      <c r="F357" t="s">
        <v>60</v>
      </c>
      <c r="G357" t="s">
        <v>78</v>
      </c>
      <c r="H357" t="s">
        <v>222</v>
      </c>
      <c r="I357">
        <v>9321.2000000000007</v>
      </c>
      <c r="J357">
        <v>10</v>
      </c>
      <c r="K357">
        <v>0.3</v>
      </c>
      <c r="L357">
        <v>-2233.0700000000002</v>
      </c>
      <c r="M357" t="s">
        <v>170</v>
      </c>
      <c r="N357" t="s">
        <v>30</v>
      </c>
      <c r="O357" t="str">
        <f t="shared" si="10"/>
        <v>Good</v>
      </c>
      <c r="P357">
        <f t="shared" si="11"/>
        <v>932.12000000000012</v>
      </c>
      <c r="Q357">
        <v>45685</v>
      </c>
      <c r="R357">
        <f>YEAR(Table1[[#This Row],[Order_Date_New]])</f>
        <v>2025</v>
      </c>
      <c r="S357">
        <f>MONTH(Table1[[#This Row],[Order_Date_New]])</f>
        <v>1</v>
      </c>
      <c r="T357" t="str">
        <f>TEXT(Table1[[#This Row],[Order_Date_New]],"mmmm")</f>
        <v>January</v>
      </c>
      <c r="U357">
        <f>Table1[[#This Row],[Profit]]/Table1[[#This Row],[Sales]]</f>
        <v>-0.23956893962150796</v>
      </c>
      <c r="V357" t="str">
        <f>IF(Table1[[#This Row],[Discount]]=0,"No Discount",IF(Table1[[#This Row],[Discount]]&lt;=0.1,"Low",IF(Table1[[#This Row],[Discount]]&lt;=0.2,"medium","high")))</f>
        <v>high</v>
      </c>
    </row>
    <row r="358" spans="1:22" x14ac:dyDescent="0.3">
      <c r="A358" t="s">
        <v>621</v>
      </c>
      <c r="B358" s="6">
        <v>45824</v>
      </c>
      <c r="C358" t="s">
        <v>154</v>
      </c>
      <c r="D358" t="s">
        <v>33</v>
      </c>
      <c r="E358" t="s">
        <v>48</v>
      </c>
      <c r="F358" t="s">
        <v>26</v>
      </c>
      <c r="G358" t="s">
        <v>27</v>
      </c>
      <c r="H358" t="s">
        <v>271</v>
      </c>
      <c r="I358">
        <v>1562.48</v>
      </c>
      <c r="J358">
        <v>8</v>
      </c>
      <c r="K358">
        <v>0</v>
      </c>
      <c r="L358">
        <v>549.61</v>
      </c>
      <c r="M358" t="s">
        <v>29</v>
      </c>
      <c r="N358" t="s">
        <v>38</v>
      </c>
      <c r="O358" t="str">
        <f t="shared" si="10"/>
        <v>Bad</v>
      </c>
      <c r="P358">
        <f t="shared" si="11"/>
        <v>195.31</v>
      </c>
      <c r="Q358">
        <v>45824</v>
      </c>
      <c r="R358">
        <f>YEAR(Table1[[#This Row],[Order_Date_New]])</f>
        <v>2025</v>
      </c>
      <c r="S358">
        <f>MONTH(Table1[[#This Row],[Order_Date_New]])</f>
        <v>6</v>
      </c>
      <c r="T358" t="str">
        <f>TEXT(Table1[[#This Row],[Order_Date_New]],"mmmm")</f>
        <v>June</v>
      </c>
      <c r="U358">
        <f>Table1[[#This Row],[Profit]]/Table1[[#This Row],[Sales]]</f>
        <v>0.35175490246275154</v>
      </c>
      <c r="V358" t="str">
        <f>IF(Table1[[#This Row],[Discount]]=0,"No Discount",IF(Table1[[#This Row],[Discount]]&lt;=0.1,"Low",IF(Table1[[#This Row],[Discount]]&lt;=0.2,"medium","high")))</f>
        <v>No Discount</v>
      </c>
    </row>
    <row r="359" spans="1:22" x14ac:dyDescent="0.3">
      <c r="A359" t="s">
        <v>622</v>
      </c>
      <c r="B359" s="6">
        <v>45691</v>
      </c>
      <c r="C359" t="s">
        <v>556</v>
      </c>
      <c r="D359" t="s">
        <v>53</v>
      </c>
      <c r="E359" t="s">
        <v>54</v>
      </c>
      <c r="F359" t="s">
        <v>60</v>
      </c>
      <c r="G359" t="s">
        <v>61</v>
      </c>
      <c r="H359" t="s">
        <v>62</v>
      </c>
      <c r="I359">
        <v>11197.8</v>
      </c>
      <c r="J359">
        <v>10</v>
      </c>
      <c r="K359">
        <v>0.3</v>
      </c>
      <c r="L359">
        <v>-106.38</v>
      </c>
      <c r="M359" t="s">
        <v>29</v>
      </c>
      <c r="N359" t="s">
        <v>80</v>
      </c>
      <c r="O359" t="str">
        <f t="shared" si="10"/>
        <v>Good</v>
      </c>
      <c r="P359">
        <f t="shared" si="11"/>
        <v>1119.78</v>
      </c>
      <c r="Q359">
        <v>45691</v>
      </c>
      <c r="R359">
        <f>YEAR(Table1[[#This Row],[Order_Date_New]])</f>
        <v>2025</v>
      </c>
      <c r="S359">
        <f>MONTH(Table1[[#This Row],[Order_Date_New]])</f>
        <v>2</v>
      </c>
      <c r="T359" t="str">
        <f>TEXT(Table1[[#This Row],[Order_Date_New]],"mmmm")</f>
        <v>February</v>
      </c>
      <c r="U359">
        <f>Table1[[#This Row],[Profit]]/Table1[[#This Row],[Sales]]</f>
        <v>-9.5000803729303977E-3</v>
      </c>
      <c r="V359" t="str">
        <f>IF(Table1[[#This Row],[Discount]]=0,"No Discount",IF(Table1[[#This Row],[Discount]]&lt;=0.1,"Low",IF(Table1[[#This Row],[Discount]]&lt;=0.2,"medium","high")))</f>
        <v>high</v>
      </c>
    </row>
    <row r="360" spans="1:22" x14ac:dyDescent="0.3">
      <c r="A360" t="s">
        <v>623</v>
      </c>
      <c r="B360" s="6">
        <v>45379</v>
      </c>
      <c r="C360" t="s">
        <v>121</v>
      </c>
      <c r="D360" t="s">
        <v>53</v>
      </c>
      <c r="E360" t="s">
        <v>87</v>
      </c>
      <c r="F360" t="s">
        <v>26</v>
      </c>
      <c r="G360" t="s">
        <v>41</v>
      </c>
      <c r="H360" t="s">
        <v>108</v>
      </c>
      <c r="I360">
        <v>190.44</v>
      </c>
      <c r="J360">
        <v>6</v>
      </c>
      <c r="K360">
        <v>0</v>
      </c>
      <c r="L360">
        <v>43.34</v>
      </c>
      <c r="M360" t="s">
        <v>68</v>
      </c>
      <c r="N360" t="s">
        <v>38</v>
      </c>
      <c r="O360" t="str">
        <f t="shared" si="10"/>
        <v>Bad</v>
      </c>
      <c r="P360">
        <f t="shared" si="11"/>
        <v>31.74</v>
      </c>
      <c r="Q360">
        <v>45379</v>
      </c>
      <c r="R360">
        <f>YEAR(Table1[[#This Row],[Order_Date_New]])</f>
        <v>2024</v>
      </c>
      <c r="S360">
        <f>MONTH(Table1[[#This Row],[Order_Date_New]])</f>
        <v>3</v>
      </c>
      <c r="T360" t="str">
        <f>TEXT(Table1[[#This Row],[Order_Date_New]],"mmmm")</f>
        <v>March</v>
      </c>
      <c r="U360">
        <f>Table1[[#This Row],[Profit]]/Table1[[#This Row],[Sales]]</f>
        <v>0.22757823986557449</v>
      </c>
      <c r="V360" t="str">
        <f>IF(Table1[[#This Row],[Discount]]=0,"No Discount",IF(Table1[[#This Row],[Discount]]&lt;=0.1,"Low",IF(Table1[[#This Row],[Discount]]&lt;=0.2,"medium","high")))</f>
        <v>No Discount</v>
      </c>
    </row>
    <row r="361" spans="1:22" x14ac:dyDescent="0.3">
      <c r="A361" t="s">
        <v>624</v>
      </c>
      <c r="B361" s="6">
        <v>45391</v>
      </c>
      <c r="C361" t="s">
        <v>163</v>
      </c>
      <c r="D361" t="s">
        <v>24</v>
      </c>
      <c r="E361" t="s">
        <v>59</v>
      </c>
      <c r="F361" t="s">
        <v>26</v>
      </c>
      <c r="G361" t="s">
        <v>41</v>
      </c>
      <c r="H361" t="s">
        <v>108</v>
      </c>
      <c r="I361">
        <v>6080.85</v>
      </c>
      <c r="J361">
        <v>9</v>
      </c>
      <c r="K361">
        <v>0.1</v>
      </c>
      <c r="L361">
        <v>80.41</v>
      </c>
      <c r="M361" t="s">
        <v>37</v>
      </c>
      <c r="N361" t="s">
        <v>30</v>
      </c>
      <c r="O361" t="str">
        <f t="shared" si="10"/>
        <v>Good</v>
      </c>
      <c r="P361">
        <f t="shared" si="11"/>
        <v>675.65000000000009</v>
      </c>
      <c r="Q361">
        <v>45391</v>
      </c>
      <c r="R361">
        <f>YEAR(Table1[[#This Row],[Order_Date_New]])</f>
        <v>2024</v>
      </c>
      <c r="S361">
        <f>MONTH(Table1[[#This Row],[Order_Date_New]])</f>
        <v>4</v>
      </c>
      <c r="T361" t="str">
        <f>TEXT(Table1[[#This Row],[Order_Date_New]],"mmmm")</f>
        <v>April</v>
      </c>
      <c r="U361">
        <f>Table1[[#This Row],[Profit]]/Table1[[#This Row],[Sales]]</f>
        <v>1.3223480270028037E-2</v>
      </c>
      <c r="V361" t="str">
        <f>IF(Table1[[#This Row],[Discount]]=0,"No Discount",IF(Table1[[#This Row],[Discount]]&lt;=0.1,"Low",IF(Table1[[#This Row],[Discount]]&lt;=0.2,"medium","high")))</f>
        <v>Low</v>
      </c>
    </row>
    <row r="362" spans="1:22" x14ac:dyDescent="0.3">
      <c r="A362" t="s">
        <v>625</v>
      </c>
      <c r="B362" s="6">
        <v>45374</v>
      </c>
      <c r="C362" t="s">
        <v>401</v>
      </c>
      <c r="D362" t="s">
        <v>53</v>
      </c>
      <c r="E362" t="s">
        <v>54</v>
      </c>
      <c r="F362" t="s">
        <v>26</v>
      </c>
      <c r="G362" t="s">
        <v>41</v>
      </c>
      <c r="H362" t="s">
        <v>189</v>
      </c>
      <c r="I362">
        <v>920.82</v>
      </c>
      <c r="J362">
        <v>3</v>
      </c>
      <c r="K362">
        <v>0.15</v>
      </c>
      <c r="L362">
        <v>-60.36</v>
      </c>
      <c r="M362" t="s">
        <v>105</v>
      </c>
      <c r="N362" t="s">
        <v>80</v>
      </c>
      <c r="O362" t="str">
        <f t="shared" si="10"/>
        <v>Bad</v>
      </c>
      <c r="P362">
        <f t="shared" si="11"/>
        <v>306.94</v>
      </c>
      <c r="Q362">
        <v>45374</v>
      </c>
      <c r="R362">
        <f>YEAR(Table1[[#This Row],[Order_Date_New]])</f>
        <v>2024</v>
      </c>
      <c r="S362">
        <f>MONTH(Table1[[#This Row],[Order_Date_New]])</f>
        <v>3</v>
      </c>
      <c r="T362" t="str">
        <f>TEXT(Table1[[#This Row],[Order_Date_New]],"mmmm")</f>
        <v>March</v>
      </c>
      <c r="U362">
        <f>Table1[[#This Row],[Profit]]/Table1[[#This Row],[Sales]]</f>
        <v>-6.555027041115527E-2</v>
      </c>
      <c r="V362" t="str">
        <f>IF(Table1[[#This Row],[Discount]]=0,"No Discount",IF(Table1[[#This Row],[Discount]]&lt;=0.1,"Low",IF(Table1[[#This Row],[Discount]]&lt;=0.2,"medium","high")))</f>
        <v>medium</v>
      </c>
    </row>
    <row r="363" spans="1:22" x14ac:dyDescent="0.3">
      <c r="A363" t="s">
        <v>626</v>
      </c>
      <c r="B363" s="6">
        <v>45763</v>
      </c>
      <c r="C363" t="s">
        <v>474</v>
      </c>
      <c r="D363" t="s">
        <v>33</v>
      </c>
      <c r="E363" t="s">
        <v>118</v>
      </c>
      <c r="F363" t="s">
        <v>72</v>
      </c>
      <c r="G363" t="s">
        <v>111</v>
      </c>
      <c r="H363" t="s">
        <v>158</v>
      </c>
      <c r="I363">
        <v>4115.1000000000004</v>
      </c>
      <c r="J363">
        <v>5</v>
      </c>
      <c r="K363">
        <v>0.3</v>
      </c>
      <c r="L363">
        <v>-766.16</v>
      </c>
      <c r="M363" t="s">
        <v>68</v>
      </c>
      <c r="N363" t="s">
        <v>44</v>
      </c>
      <c r="O363" t="str">
        <f t="shared" si="10"/>
        <v>Bad</v>
      </c>
      <c r="P363">
        <f t="shared" si="11"/>
        <v>823.0200000000001</v>
      </c>
      <c r="Q363">
        <v>45763</v>
      </c>
      <c r="R363">
        <f>YEAR(Table1[[#This Row],[Order_Date_New]])</f>
        <v>2025</v>
      </c>
      <c r="S363">
        <f>MONTH(Table1[[#This Row],[Order_Date_New]])</f>
        <v>4</v>
      </c>
      <c r="T363" t="str">
        <f>TEXT(Table1[[#This Row],[Order_Date_New]],"mmmm")</f>
        <v>April</v>
      </c>
      <c r="U363">
        <f>Table1[[#This Row],[Profit]]/Table1[[#This Row],[Sales]]</f>
        <v>-0.18618259580569121</v>
      </c>
      <c r="V363" t="str">
        <f>IF(Table1[[#This Row],[Discount]]=0,"No Discount",IF(Table1[[#This Row],[Discount]]&lt;=0.1,"Low",IF(Table1[[#This Row],[Discount]]&lt;=0.2,"medium","high")))</f>
        <v>high</v>
      </c>
    </row>
    <row r="364" spans="1:22" x14ac:dyDescent="0.3">
      <c r="A364" t="s">
        <v>627</v>
      </c>
      <c r="B364" s="6">
        <v>45425</v>
      </c>
      <c r="C364" t="s">
        <v>441</v>
      </c>
      <c r="D364" t="s">
        <v>53</v>
      </c>
      <c r="E364" t="s">
        <v>107</v>
      </c>
      <c r="F364" t="s">
        <v>72</v>
      </c>
      <c r="G364" t="s">
        <v>88</v>
      </c>
      <c r="H364" t="s">
        <v>119</v>
      </c>
      <c r="I364">
        <v>77.81</v>
      </c>
      <c r="J364">
        <v>1</v>
      </c>
      <c r="K364">
        <v>0</v>
      </c>
      <c r="L364">
        <v>32.72</v>
      </c>
      <c r="M364" t="s">
        <v>37</v>
      </c>
      <c r="N364" t="s">
        <v>44</v>
      </c>
      <c r="O364" t="str">
        <f t="shared" si="10"/>
        <v>Bad</v>
      </c>
      <c r="P364">
        <f t="shared" si="11"/>
        <v>77.81</v>
      </c>
      <c r="Q364">
        <v>45425</v>
      </c>
      <c r="R364">
        <f>YEAR(Table1[[#This Row],[Order_Date_New]])</f>
        <v>2024</v>
      </c>
      <c r="S364">
        <f>MONTH(Table1[[#This Row],[Order_Date_New]])</f>
        <v>5</v>
      </c>
      <c r="T364" t="str">
        <f>TEXT(Table1[[#This Row],[Order_Date_New]],"mmmm")</f>
        <v>May</v>
      </c>
      <c r="U364">
        <f>Table1[[#This Row],[Profit]]/Table1[[#This Row],[Sales]]</f>
        <v>0.42051150237758639</v>
      </c>
      <c r="V364" t="str">
        <f>IF(Table1[[#This Row],[Discount]]=0,"No Discount",IF(Table1[[#This Row],[Discount]]&lt;=0.1,"Low",IF(Table1[[#This Row],[Discount]]&lt;=0.2,"medium","high")))</f>
        <v>No Discount</v>
      </c>
    </row>
    <row r="365" spans="1:22" x14ac:dyDescent="0.3">
      <c r="A365" t="s">
        <v>628</v>
      </c>
      <c r="B365" s="6">
        <v>45815</v>
      </c>
      <c r="C365" t="s">
        <v>629</v>
      </c>
      <c r="D365" t="s">
        <v>33</v>
      </c>
      <c r="E365" t="s">
        <v>48</v>
      </c>
      <c r="F365" t="s">
        <v>26</v>
      </c>
      <c r="G365" t="s">
        <v>35</v>
      </c>
      <c r="H365" t="s">
        <v>36</v>
      </c>
      <c r="I365">
        <v>5690.16</v>
      </c>
      <c r="J365">
        <v>8</v>
      </c>
      <c r="K365">
        <v>0.05</v>
      </c>
      <c r="L365">
        <v>236.39</v>
      </c>
      <c r="M365" t="s">
        <v>170</v>
      </c>
      <c r="N365" t="s">
        <v>80</v>
      </c>
      <c r="O365" t="str">
        <f t="shared" si="10"/>
        <v>Good</v>
      </c>
      <c r="P365">
        <f t="shared" si="11"/>
        <v>711.27</v>
      </c>
      <c r="Q365">
        <v>45815</v>
      </c>
      <c r="R365">
        <f>YEAR(Table1[[#This Row],[Order_Date_New]])</f>
        <v>2025</v>
      </c>
      <c r="S365">
        <f>MONTH(Table1[[#This Row],[Order_Date_New]])</f>
        <v>6</v>
      </c>
      <c r="T365" t="str">
        <f>TEXT(Table1[[#This Row],[Order_Date_New]],"mmmm")</f>
        <v>June</v>
      </c>
      <c r="U365">
        <f>Table1[[#This Row],[Profit]]/Table1[[#This Row],[Sales]]</f>
        <v>4.1543647278811137E-2</v>
      </c>
      <c r="V365" t="str">
        <f>IF(Table1[[#This Row],[Discount]]=0,"No Discount",IF(Table1[[#This Row],[Discount]]&lt;=0.1,"Low",IF(Table1[[#This Row],[Discount]]&lt;=0.2,"medium","high")))</f>
        <v>Low</v>
      </c>
    </row>
    <row r="366" spans="1:22" x14ac:dyDescent="0.3">
      <c r="A366" t="s">
        <v>630</v>
      </c>
      <c r="B366" s="6">
        <v>45508</v>
      </c>
      <c r="C366" t="s">
        <v>631</v>
      </c>
      <c r="D366" t="s">
        <v>24</v>
      </c>
      <c r="E366" t="s">
        <v>97</v>
      </c>
      <c r="F366" t="s">
        <v>26</v>
      </c>
      <c r="G366" t="s">
        <v>35</v>
      </c>
      <c r="H366" t="s">
        <v>55</v>
      </c>
      <c r="I366">
        <v>2428.11</v>
      </c>
      <c r="J366">
        <v>9</v>
      </c>
      <c r="K366">
        <v>0.1</v>
      </c>
      <c r="L366">
        <v>812.06</v>
      </c>
      <c r="M366" t="s">
        <v>90</v>
      </c>
      <c r="N366" t="s">
        <v>44</v>
      </c>
      <c r="O366" t="str">
        <f t="shared" si="10"/>
        <v>Bad</v>
      </c>
      <c r="P366">
        <f t="shared" si="11"/>
        <v>269.79000000000002</v>
      </c>
      <c r="Q366">
        <v>45508</v>
      </c>
      <c r="R366">
        <f>YEAR(Table1[[#This Row],[Order_Date_New]])</f>
        <v>2024</v>
      </c>
      <c r="S366">
        <f>MONTH(Table1[[#This Row],[Order_Date_New]])</f>
        <v>8</v>
      </c>
      <c r="T366" t="str">
        <f>TEXT(Table1[[#This Row],[Order_Date_New]],"mmmm")</f>
        <v>August</v>
      </c>
      <c r="U366">
        <f>Table1[[#This Row],[Profit]]/Table1[[#This Row],[Sales]]</f>
        <v>0.33444119088509167</v>
      </c>
      <c r="V366" t="str">
        <f>IF(Table1[[#This Row],[Discount]]=0,"No Discount",IF(Table1[[#This Row],[Discount]]&lt;=0.1,"Low",IF(Table1[[#This Row],[Discount]]&lt;=0.2,"medium","high")))</f>
        <v>Low</v>
      </c>
    </row>
    <row r="367" spans="1:22" x14ac:dyDescent="0.3">
      <c r="A367" t="s">
        <v>632</v>
      </c>
      <c r="B367" s="6">
        <v>45817</v>
      </c>
      <c r="C367" t="s">
        <v>396</v>
      </c>
      <c r="D367" t="s">
        <v>53</v>
      </c>
      <c r="E367" t="s">
        <v>77</v>
      </c>
      <c r="F367" t="s">
        <v>72</v>
      </c>
      <c r="G367" t="s">
        <v>88</v>
      </c>
      <c r="H367" t="s">
        <v>89</v>
      </c>
      <c r="I367">
        <v>4051.74</v>
      </c>
      <c r="J367">
        <v>7</v>
      </c>
      <c r="K367">
        <v>0.2</v>
      </c>
      <c r="L367">
        <v>888.98</v>
      </c>
      <c r="M367" t="s">
        <v>29</v>
      </c>
      <c r="N367" t="s">
        <v>80</v>
      </c>
      <c r="O367" t="str">
        <f t="shared" si="10"/>
        <v>Bad</v>
      </c>
      <c r="P367">
        <f t="shared" si="11"/>
        <v>578.81999999999994</v>
      </c>
      <c r="Q367">
        <v>45817</v>
      </c>
      <c r="R367">
        <f>YEAR(Table1[[#This Row],[Order_Date_New]])</f>
        <v>2025</v>
      </c>
      <c r="S367">
        <f>MONTH(Table1[[#This Row],[Order_Date_New]])</f>
        <v>6</v>
      </c>
      <c r="T367" t="str">
        <f>TEXT(Table1[[#This Row],[Order_Date_New]],"mmmm")</f>
        <v>June</v>
      </c>
      <c r="U367">
        <f>Table1[[#This Row],[Profit]]/Table1[[#This Row],[Sales]]</f>
        <v>0.21940697083228441</v>
      </c>
      <c r="V367" t="str">
        <f>IF(Table1[[#This Row],[Discount]]=0,"No Discount",IF(Table1[[#This Row],[Discount]]&lt;=0.1,"Low",IF(Table1[[#This Row],[Discount]]&lt;=0.2,"medium","high")))</f>
        <v>medium</v>
      </c>
    </row>
    <row r="368" spans="1:22" x14ac:dyDescent="0.3">
      <c r="A368" t="s">
        <v>633</v>
      </c>
      <c r="B368" s="6">
        <v>45588</v>
      </c>
      <c r="C368" t="s">
        <v>634</v>
      </c>
      <c r="D368" t="s">
        <v>33</v>
      </c>
      <c r="E368" t="s">
        <v>48</v>
      </c>
      <c r="F368" t="s">
        <v>60</v>
      </c>
      <c r="G368" t="s">
        <v>78</v>
      </c>
      <c r="H368" t="s">
        <v>125</v>
      </c>
      <c r="I368">
        <v>1722.35</v>
      </c>
      <c r="J368">
        <v>5</v>
      </c>
      <c r="K368">
        <v>0.05</v>
      </c>
      <c r="L368">
        <v>585.01</v>
      </c>
      <c r="M368" t="s">
        <v>113</v>
      </c>
      <c r="N368" t="s">
        <v>38</v>
      </c>
      <c r="O368" t="str">
        <f t="shared" si="10"/>
        <v>Bad</v>
      </c>
      <c r="P368">
        <f t="shared" si="11"/>
        <v>344.46999999999997</v>
      </c>
      <c r="Q368">
        <v>45588</v>
      </c>
      <c r="R368">
        <f>YEAR(Table1[[#This Row],[Order_Date_New]])</f>
        <v>2024</v>
      </c>
      <c r="S368">
        <f>MONTH(Table1[[#This Row],[Order_Date_New]])</f>
        <v>10</v>
      </c>
      <c r="T368" t="str">
        <f>TEXT(Table1[[#This Row],[Order_Date_New]],"mmmm")</f>
        <v>October</v>
      </c>
      <c r="U368">
        <f>Table1[[#This Row],[Profit]]/Table1[[#This Row],[Sales]]</f>
        <v>0.3396580253723111</v>
      </c>
      <c r="V368" t="str">
        <f>IF(Table1[[#This Row],[Discount]]=0,"No Discount",IF(Table1[[#This Row],[Discount]]&lt;=0.1,"Low",IF(Table1[[#This Row],[Discount]]&lt;=0.2,"medium","high")))</f>
        <v>Low</v>
      </c>
    </row>
    <row r="369" spans="1:22" x14ac:dyDescent="0.3">
      <c r="A369" t="s">
        <v>635</v>
      </c>
      <c r="B369" s="6">
        <v>45954</v>
      </c>
      <c r="C369" t="s">
        <v>156</v>
      </c>
      <c r="D369" t="s">
        <v>33</v>
      </c>
      <c r="E369" t="s">
        <v>48</v>
      </c>
      <c r="F369" t="s">
        <v>26</v>
      </c>
      <c r="G369" t="s">
        <v>35</v>
      </c>
      <c r="H369" t="s">
        <v>55</v>
      </c>
      <c r="I369">
        <v>2599</v>
      </c>
      <c r="J369">
        <v>4</v>
      </c>
      <c r="K369">
        <v>0.25</v>
      </c>
      <c r="L369">
        <v>-200.76</v>
      </c>
      <c r="M369" t="s">
        <v>105</v>
      </c>
      <c r="N369" t="s">
        <v>80</v>
      </c>
      <c r="O369" t="str">
        <f t="shared" si="10"/>
        <v>Bad</v>
      </c>
      <c r="P369">
        <f t="shared" si="11"/>
        <v>649.75</v>
      </c>
      <c r="Q369">
        <v>45954</v>
      </c>
      <c r="R369">
        <f>YEAR(Table1[[#This Row],[Order_Date_New]])</f>
        <v>2025</v>
      </c>
      <c r="S369">
        <f>MONTH(Table1[[#This Row],[Order_Date_New]])</f>
        <v>10</v>
      </c>
      <c r="T369" t="str">
        <f>TEXT(Table1[[#This Row],[Order_Date_New]],"mmmm")</f>
        <v>October</v>
      </c>
      <c r="U369">
        <f>Table1[[#This Row],[Profit]]/Table1[[#This Row],[Sales]]</f>
        <v>-7.7245094267025777E-2</v>
      </c>
      <c r="V369" t="str">
        <f>IF(Table1[[#This Row],[Discount]]=0,"No Discount",IF(Table1[[#This Row],[Discount]]&lt;=0.1,"Low",IF(Table1[[#This Row],[Discount]]&lt;=0.2,"medium","high")))</f>
        <v>high</v>
      </c>
    </row>
    <row r="370" spans="1:22" x14ac:dyDescent="0.3">
      <c r="A370" t="s">
        <v>636</v>
      </c>
      <c r="B370" s="6">
        <v>45997</v>
      </c>
      <c r="C370" t="s">
        <v>431</v>
      </c>
      <c r="D370" t="s">
        <v>53</v>
      </c>
      <c r="E370" t="s">
        <v>107</v>
      </c>
      <c r="F370" t="s">
        <v>72</v>
      </c>
      <c r="G370" t="s">
        <v>88</v>
      </c>
      <c r="H370" t="s">
        <v>209</v>
      </c>
      <c r="I370">
        <v>776.03</v>
      </c>
      <c r="J370">
        <v>1</v>
      </c>
      <c r="K370">
        <v>0.05</v>
      </c>
      <c r="L370">
        <v>57.34</v>
      </c>
      <c r="M370" t="s">
        <v>68</v>
      </c>
      <c r="N370" t="s">
        <v>44</v>
      </c>
      <c r="O370" t="str">
        <f t="shared" si="10"/>
        <v>Bad</v>
      </c>
      <c r="P370">
        <f t="shared" si="11"/>
        <v>776.03</v>
      </c>
      <c r="Q370">
        <v>45997</v>
      </c>
      <c r="R370">
        <f>YEAR(Table1[[#This Row],[Order_Date_New]])</f>
        <v>2025</v>
      </c>
      <c r="S370">
        <f>MONTH(Table1[[#This Row],[Order_Date_New]])</f>
        <v>12</v>
      </c>
      <c r="T370" t="str">
        <f>TEXT(Table1[[#This Row],[Order_Date_New]],"mmmm")</f>
        <v>December</v>
      </c>
      <c r="U370">
        <f>Table1[[#This Row],[Profit]]/Table1[[#This Row],[Sales]]</f>
        <v>7.3888896047833205E-2</v>
      </c>
      <c r="V370" t="str">
        <f>IF(Table1[[#This Row],[Discount]]=0,"No Discount",IF(Table1[[#This Row],[Discount]]&lt;=0.1,"Low",IF(Table1[[#This Row],[Discount]]&lt;=0.2,"medium","high")))</f>
        <v>Low</v>
      </c>
    </row>
    <row r="371" spans="1:22" x14ac:dyDescent="0.3">
      <c r="A371" t="s">
        <v>637</v>
      </c>
      <c r="B371" s="6">
        <v>45771</v>
      </c>
      <c r="C371" t="s">
        <v>638</v>
      </c>
      <c r="D371" t="s">
        <v>33</v>
      </c>
      <c r="E371" t="s">
        <v>34</v>
      </c>
      <c r="F371" t="s">
        <v>60</v>
      </c>
      <c r="G371" t="s">
        <v>78</v>
      </c>
      <c r="H371" t="s">
        <v>125</v>
      </c>
      <c r="I371">
        <v>1129.81</v>
      </c>
      <c r="J371">
        <v>1</v>
      </c>
      <c r="K371">
        <v>0.2</v>
      </c>
      <c r="L371">
        <v>5.17</v>
      </c>
      <c r="M371" t="s">
        <v>90</v>
      </c>
      <c r="N371" t="s">
        <v>80</v>
      </c>
      <c r="O371" t="str">
        <f t="shared" si="10"/>
        <v>Bad</v>
      </c>
      <c r="P371">
        <f t="shared" si="11"/>
        <v>1129.81</v>
      </c>
      <c r="Q371">
        <v>45771</v>
      </c>
      <c r="R371">
        <f>YEAR(Table1[[#This Row],[Order_Date_New]])</f>
        <v>2025</v>
      </c>
      <c r="S371">
        <f>MONTH(Table1[[#This Row],[Order_Date_New]])</f>
        <v>4</v>
      </c>
      <c r="T371" t="str">
        <f>TEXT(Table1[[#This Row],[Order_Date_New]],"mmmm")</f>
        <v>April</v>
      </c>
      <c r="U371">
        <f>Table1[[#This Row],[Profit]]/Table1[[#This Row],[Sales]]</f>
        <v>4.5759906532956869E-3</v>
      </c>
      <c r="V371" t="str">
        <f>IF(Table1[[#This Row],[Discount]]=0,"No Discount",IF(Table1[[#This Row],[Discount]]&lt;=0.1,"Low",IF(Table1[[#This Row],[Discount]]&lt;=0.2,"medium","high")))</f>
        <v>medium</v>
      </c>
    </row>
    <row r="372" spans="1:22" x14ac:dyDescent="0.3">
      <c r="A372" t="s">
        <v>639</v>
      </c>
      <c r="B372" s="6">
        <v>45551</v>
      </c>
      <c r="C372" t="s">
        <v>481</v>
      </c>
      <c r="D372" t="s">
        <v>128</v>
      </c>
      <c r="E372" t="s">
        <v>146</v>
      </c>
      <c r="F372" t="s">
        <v>72</v>
      </c>
      <c r="G372" t="s">
        <v>73</v>
      </c>
      <c r="H372" t="s">
        <v>74</v>
      </c>
      <c r="I372">
        <v>1094.04</v>
      </c>
      <c r="J372">
        <v>1</v>
      </c>
      <c r="K372">
        <v>0.1</v>
      </c>
      <c r="L372">
        <v>-33.33</v>
      </c>
      <c r="M372" t="s">
        <v>43</v>
      </c>
      <c r="N372" t="s">
        <v>30</v>
      </c>
      <c r="O372" t="str">
        <f t="shared" si="10"/>
        <v>Bad</v>
      </c>
      <c r="P372">
        <f t="shared" si="11"/>
        <v>1094.04</v>
      </c>
      <c r="Q372">
        <v>45551</v>
      </c>
      <c r="R372">
        <f>YEAR(Table1[[#This Row],[Order_Date_New]])</f>
        <v>2024</v>
      </c>
      <c r="S372">
        <f>MONTH(Table1[[#This Row],[Order_Date_New]])</f>
        <v>9</v>
      </c>
      <c r="T372" t="str">
        <f>TEXT(Table1[[#This Row],[Order_Date_New]],"mmmm")</f>
        <v>September</v>
      </c>
      <c r="U372">
        <f>Table1[[#This Row],[Profit]]/Table1[[#This Row],[Sales]]</f>
        <v>-3.0465065262696062E-2</v>
      </c>
      <c r="V372" t="str">
        <f>IF(Table1[[#This Row],[Discount]]=0,"No Discount",IF(Table1[[#This Row],[Discount]]&lt;=0.1,"Low",IF(Table1[[#This Row],[Discount]]&lt;=0.2,"medium","high")))</f>
        <v>Low</v>
      </c>
    </row>
    <row r="373" spans="1:22" x14ac:dyDescent="0.3">
      <c r="A373" t="s">
        <v>640</v>
      </c>
      <c r="B373" s="6">
        <v>45764</v>
      </c>
      <c r="C373" t="s">
        <v>474</v>
      </c>
      <c r="D373" t="s">
        <v>128</v>
      </c>
      <c r="E373" t="s">
        <v>132</v>
      </c>
      <c r="F373" t="s">
        <v>60</v>
      </c>
      <c r="G373" t="s">
        <v>78</v>
      </c>
      <c r="H373" t="s">
        <v>125</v>
      </c>
      <c r="I373">
        <v>4809.6000000000004</v>
      </c>
      <c r="J373">
        <v>9</v>
      </c>
      <c r="K373">
        <v>0.3</v>
      </c>
      <c r="L373">
        <v>-127.78</v>
      </c>
      <c r="M373" t="s">
        <v>90</v>
      </c>
      <c r="N373" t="s">
        <v>44</v>
      </c>
      <c r="O373" t="str">
        <f t="shared" si="10"/>
        <v>Bad</v>
      </c>
      <c r="P373">
        <f t="shared" si="11"/>
        <v>534.40000000000009</v>
      </c>
      <c r="Q373">
        <v>45764</v>
      </c>
      <c r="R373">
        <f>YEAR(Table1[[#This Row],[Order_Date_New]])</f>
        <v>2025</v>
      </c>
      <c r="S373">
        <f>MONTH(Table1[[#This Row],[Order_Date_New]])</f>
        <v>4</v>
      </c>
      <c r="T373" t="str">
        <f>TEXT(Table1[[#This Row],[Order_Date_New]],"mmmm")</f>
        <v>April</v>
      </c>
      <c r="U373">
        <f>Table1[[#This Row],[Profit]]/Table1[[#This Row],[Sales]]</f>
        <v>-2.6567697937458414E-2</v>
      </c>
      <c r="V373" t="str">
        <f>IF(Table1[[#This Row],[Discount]]=0,"No Discount",IF(Table1[[#This Row],[Discount]]&lt;=0.1,"Low",IF(Table1[[#This Row],[Discount]]&lt;=0.2,"medium","high")))</f>
        <v>high</v>
      </c>
    </row>
    <row r="374" spans="1:22" x14ac:dyDescent="0.3">
      <c r="A374" t="s">
        <v>641</v>
      </c>
      <c r="B374" s="6">
        <v>45345</v>
      </c>
      <c r="C374" t="s">
        <v>248</v>
      </c>
      <c r="D374" t="s">
        <v>33</v>
      </c>
      <c r="E374" t="s">
        <v>118</v>
      </c>
      <c r="F374" t="s">
        <v>72</v>
      </c>
      <c r="G374" t="s">
        <v>88</v>
      </c>
      <c r="H374" t="s">
        <v>209</v>
      </c>
      <c r="I374">
        <v>1902.42</v>
      </c>
      <c r="J374">
        <v>9</v>
      </c>
      <c r="K374">
        <v>0.2</v>
      </c>
      <c r="L374">
        <v>31.01</v>
      </c>
      <c r="M374" t="s">
        <v>113</v>
      </c>
      <c r="N374" t="s">
        <v>80</v>
      </c>
      <c r="O374" t="str">
        <f t="shared" si="10"/>
        <v>Bad</v>
      </c>
      <c r="P374">
        <f t="shared" si="11"/>
        <v>211.38</v>
      </c>
      <c r="Q374">
        <v>45345</v>
      </c>
      <c r="R374">
        <f>YEAR(Table1[[#This Row],[Order_Date_New]])</f>
        <v>2024</v>
      </c>
      <c r="S374">
        <f>MONTH(Table1[[#This Row],[Order_Date_New]])</f>
        <v>2</v>
      </c>
      <c r="T374" t="str">
        <f>TEXT(Table1[[#This Row],[Order_Date_New]],"mmmm")</f>
        <v>February</v>
      </c>
      <c r="U374">
        <f>Table1[[#This Row],[Profit]]/Table1[[#This Row],[Sales]]</f>
        <v>1.6300291208040284E-2</v>
      </c>
      <c r="V374" t="str">
        <f>IF(Table1[[#This Row],[Discount]]=0,"No Discount",IF(Table1[[#This Row],[Discount]]&lt;=0.1,"Low",IF(Table1[[#This Row],[Discount]]&lt;=0.2,"medium","high")))</f>
        <v>medium</v>
      </c>
    </row>
    <row r="375" spans="1:22" x14ac:dyDescent="0.3">
      <c r="A375" t="s">
        <v>642</v>
      </c>
      <c r="B375" s="6">
        <v>45990</v>
      </c>
      <c r="C375" t="s">
        <v>256</v>
      </c>
      <c r="D375" t="s">
        <v>33</v>
      </c>
      <c r="E375" t="s">
        <v>34</v>
      </c>
      <c r="F375" t="s">
        <v>72</v>
      </c>
      <c r="G375" t="s">
        <v>73</v>
      </c>
      <c r="H375" t="s">
        <v>293</v>
      </c>
      <c r="I375">
        <v>4467.6000000000004</v>
      </c>
      <c r="J375">
        <v>4</v>
      </c>
      <c r="K375">
        <v>0.3</v>
      </c>
      <c r="L375">
        <v>-892.64</v>
      </c>
      <c r="M375" t="s">
        <v>105</v>
      </c>
      <c r="N375" t="s">
        <v>38</v>
      </c>
      <c r="O375" t="str">
        <f t="shared" si="10"/>
        <v>Bad</v>
      </c>
      <c r="P375">
        <f t="shared" si="11"/>
        <v>1116.9000000000001</v>
      </c>
      <c r="Q375">
        <v>45990</v>
      </c>
      <c r="R375">
        <f>YEAR(Table1[[#This Row],[Order_Date_New]])</f>
        <v>2025</v>
      </c>
      <c r="S375">
        <f>MONTH(Table1[[#This Row],[Order_Date_New]])</f>
        <v>11</v>
      </c>
      <c r="T375" t="str">
        <f>TEXT(Table1[[#This Row],[Order_Date_New]],"mmmm")</f>
        <v>November</v>
      </c>
      <c r="U375">
        <f>Table1[[#This Row],[Profit]]/Table1[[#This Row],[Sales]]</f>
        <v>-0.19980302623332435</v>
      </c>
      <c r="V375" t="str">
        <f>IF(Table1[[#This Row],[Discount]]=0,"No Discount",IF(Table1[[#This Row],[Discount]]&lt;=0.1,"Low",IF(Table1[[#This Row],[Discount]]&lt;=0.2,"medium","high")))</f>
        <v>high</v>
      </c>
    </row>
    <row r="376" spans="1:22" x14ac:dyDescent="0.3">
      <c r="A376" t="s">
        <v>643</v>
      </c>
      <c r="B376" s="6">
        <v>45492</v>
      </c>
      <c r="C376" t="s">
        <v>470</v>
      </c>
      <c r="D376" t="s">
        <v>33</v>
      </c>
      <c r="E376" t="s">
        <v>48</v>
      </c>
      <c r="F376" t="s">
        <v>26</v>
      </c>
      <c r="G376" t="s">
        <v>41</v>
      </c>
      <c r="H376" t="s">
        <v>189</v>
      </c>
      <c r="I376">
        <v>5519.1</v>
      </c>
      <c r="J376">
        <v>5</v>
      </c>
      <c r="K376">
        <v>0.3</v>
      </c>
      <c r="L376">
        <v>-699.89</v>
      </c>
      <c r="M376" t="s">
        <v>105</v>
      </c>
      <c r="N376" t="s">
        <v>38</v>
      </c>
      <c r="O376" t="str">
        <f t="shared" si="10"/>
        <v>Bad</v>
      </c>
      <c r="P376">
        <f t="shared" si="11"/>
        <v>1103.8200000000002</v>
      </c>
      <c r="Q376">
        <v>45492</v>
      </c>
      <c r="R376">
        <f>YEAR(Table1[[#This Row],[Order_Date_New]])</f>
        <v>2024</v>
      </c>
      <c r="S376">
        <f>MONTH(Table1[[#This Row],[Order_Date_New]])</f>
        <v>7</v>
      </c>
      <c r="T376" t="str">
        <f>TEXT(Table1[[#This Row],[Order_Date_New]],"mmmm")</f>
        <v>July</v>
      </c>
      <c r="U376">
        <f>Table1[[#This Row],[Profit]]/Table1[[#This Row],[Sales]]</f>
        <v>-0.12681234259208929</v>
      </c>
      <c r="V376" t="str">
        <f>IF(Table1[[#This Row],[Discount]]=0,"No Discount",IF(Table1[[#This Row],[Discount]]&lt;=0.1,"Low",IF(Table1[[#This Row],[Discount]]&lt;=0.2,"medium","high")))</f>
        <v>high</v>
      </c>
    </row>
    <row r="377" spans="1:22" x14ac:dyDescent="0.3">
      <c r="A377" t="s">
        <v>644</v>
      </c>
      <c r="B377" s="6">
        <v>45537</v>
      </c>
      <c r="C377" t="s">
        <v>47</v>
      </c>
      <c r="D377" t="s">
        <v>33</v>
      </c>
      <c r="E377" t="s">
        <v>66</v>
      </c>
      <c r="F377" t="s">
        <v>72</v>
      </c>
      <c r="G377" t="s">
        <v>111</v>
      </c>
      <c r="H377" t="s">
        <v>182</v>
      </c>
      <c r="I377">
        <v>927.51</v>
      </c>
      <c r="J377">
        <v>1</v>
      </c>
      <c r="K377">
        <v>0.05</v>
      </c>
      <c r="L377">
        <v>166.03</v>
      </c>
      <c r="M377" t="s">
        <v>37</v>
      </c>
      <c r="N377" t="s">
        <v>30</v>
      </c>
      <c r="O377" t="str">
        <f t="shared" si="10"/>
        <v>Bad</v>
      </c>
      <c r="P377">
        <f t="shared" si="11"/>
        <v>927.51</v>
      </c>
      <c r="Q377">
        <v>45537</v>
      </c>
      <c r="R377">
        <f>YEAR(Table1[[#This Row],[Order_Date_New]])</f>
        <v>2024</v>
      </c>
      <c r="S377">
        <f>MONTH(Table1[[#This Row],[Order_Date_New]])</f>
        <v>9</v>
      </c>
      <c r="T377" t="str">
        <f>TEXT(Table1[[#This Row],[Order_Date_New]],"mmmm")</f>
        <v>September</v>
      </c>
      <c r="U377">
        <f>Table1[[#This Row],[Profit]]/Table1[[#This Row],[Sales]]</f>
        <v>0.17900615626785696</v>
      </c>
      <c r="V377" t="str">
        <f>IF(Table1[[#This Row],[Discount]]=0,"No Discount",IF(Table1[[#This Row],[Discount]]&lt;=0.1,"Low",IF(Table1[[#This Row],[Discount]]&lt;=0.2,"medium","high")))</f>
        <v>Low</v>
      </c>
    </row>
    <row r="378" spans="1:22" x14ac:dyDescent="0.3">
      <c r="A378" t="s">
        <v>645</v>
      </c>
      <c r="B378" s="6">
        <v>45633</v>
      </c>
      <c r="C378" t="s">
        <v>121</v>
      </c>
      <c r="D378" t="s">
        <v>33</v>
      </c>
      <c r="E378" t="s">
        <v>48</v>
      </c>
      <c r="F378" t="s">
        <v>60</v>
      </c>
      <c r="G378" t="s">
        <v>61</v>
      </c>
      <c r="H378" t="s">
        <v>62</v>
      </c>
      <c r="I378">
        <v>1457.25</v>
      </c>
      <c r="J378">
        <v>5</v>
      </c>
      <c r="K378">
        <v>0.05</v>
      </c>
      <c r="L378">
        <v>327.16000000000003</v>
      </c>
      <c r="M378" t="s">
        <v>43</v>
      </c>
      <c r="N378" t="s">
        <v>80</v>
      </c>
      <c r="O378" t="str">
        <f t="shared" si="10"/>
        <v>Bad</v>
      </c>
      <c r="P378">
        <f t="shared" si="11"/>
        <v>291.45</v>
      </c>
      <c r="Q378">
        <v>45633</v>
      </c>
      <c r="R378">
        <f>YEAR(Table1[[#This Row],[Order_Date_New]])</f>
        <v>2024</v>
      </c>
      <c r="S378">
        <f>MONTH(Table1[[#This Row],[Order_Date_New]])</f>
        <v>12</v>
      </c>
      <c r="T378" t="str">
        <f>TEXT(Table1[[#This Row],[Order_Date_New]],"mmmm")</f>
        <v>December</v>
      </c>
      <c r="U378">
        <f>Table1[[#This Row],[Profit]]/Table1[[#This Row],[Sales]]</f>
        <v>0.22450506090238465</v>
      </c>
      <c r="V378" t="str">
        <f>IF(Table1[[#This Row],[Discount]]=0,"No Discount",IF(Table1[[#This Row],[Discount]]&lt;=0.1,"Low",IF(Table1[[#This Row],[Discount]]&lt;=0.2,"medium","high")))</f>
        <v>Low</v>
      </c>
    </row>
    <row r="379" spans="1:22" x14ac:dyDescent="0.3">
      <c r="A379" t="s">
        <v>646</v>
      </c>
      <c r="B379" s="6">
        <v>45857</v>
      </c>
      <c r="C379" t="s">
        <v>647</v>
      </c>
      <c r="D379" t="s">
        <v>53</v>
      </c>
      <c r="E379" t="s">
        <v>77</v>
      </c>
      <c r="F379" t="s">
        <v>72</v>
      </c>
      <c r="G379" t="s">
        <v>73</v>
      </c>
      <c r="H379" t="s">
        <v>74</v>
      </c>
      <c r="I379">
        <v>3953.94</v>
      </c>
      <c r="J379">
        <v>6</v>
      </c>
      <c r="K379">
        <v>0</v>
      </c>
      <c r="L379">
        <v>1452.52</v>
      </c>
      <c r="M379" t="s">
        <v>90</v>
      </c>
      <c r="N379" t="s">
        <v>44</v>
      </c>
      <c r="O379" t="str">
        <f t="shared" si="10"/>
        <v>Bad</v>
      </c>
      <c r="P379">
        <f t="shared" si="11"/>
        <v>658.99</v>
      </c>
      <c r="Q379">
        <v>45857</v>
      </c>
      <c r="R379">
        <f>YEAR(Table1[[#This Row],[Order_Date_New]])</f>
        <v>2025</v>
      </c>
      <c r="S379">
        <f>MONTH(Table1[[#This Row],[Order_Date_New]])</f>
        <v>7</v>
      </c>
      <c r="T379" t="str">
        <f>TEXT(Table1[[#This Row],[Order_Date_New]],"mmmm")</f>
        <v>July</v>
      </c>
      <c r="U379">
        <f>Table1[[#This Row],[Profit]]/Table1[[#This Row],[Sales]]</f>
        <v>0.36736015215203061</v>
      </c>
      <c r="V379" t="str">
        <f>IF(Table1[[#This Row],[Discount]]=0,"No Discount",IF(Table1[[#This Row],[Discount]]&lt;=0.1,"Low",IF(Table1[[#This Row],[Discount]]&lt;=0.2,"medium","high")))</f>
        <v>No Discount</v>
      </c>
    </row>
    <row r="380" spans="1:22" x14ac:dyDescent="0.3">
      <c r="A380" t="s">
        <v>648</v>
      </c>
      <c r="B380" s="6">
        <v>46008</v>
      </c>
      <c r="C380" t="s">
        <v>163</v>
      </c>
      <c r="D380" t="s">
        <v>33</v>
      </c>
      <c r="E380" t="s">
        <v>34</v>
      </c>
      <c r="F380" t="s">
        <v>60</v>
      </c>
      <c r="G380" t="s">
        <v>78</v>
      </c>
      <c r="H380" t="s">
        <v>79</v>
      </c>
      <c r="I380">
        <v>9544.32</v>
      </c>
      <c r="J380">
        <v>9</v>
      </c>
      <c r="K380">
        <v>0</v>
      </c>
      <c r="L380">
        <v>3838.14</v>
      </c>
      <c r="M380" t="s">
        <v>170</v>
      </c>
      <c r="N380" t="s">
        <v>44</v>
      </c>
      <c r="O380" t="str">
        <f t="shared" si="10"/>
        <v>Good</v>
      </c>
      <c r="P380">
        <f t="shared" si="11"/>
        <v>1060.48</v>
      </c>
      <c r="Q380">
        <v>46008</v>
      </c>
      <c r="R380">
        <f>YEAR(Table1[[#This Row],[Order_Date_New]])</f>
        <v>2025</v>
      </c>
      <c r="S380">
        <f>MONTH(Table1[[#This Row],[Order_Date_New]])</f>
        <v>12</v>
      </c>
      <c r="T380" t="str">
        <f>TEXT(Table1[[#This Row],[Order_Date_New]],"mmmm")</f>
        <v>December</v>
      </c>
      <c r="U380">
        <f>Table1[[#This Row],[Profit]]/Table1[[#This Row],[Sales]]</f>
        <v>0.40213865419432709</v>
      </c>
      <c r="V380" t="str">
        <f>IF(Table1[[#This Row],[Discount]]=0,"No Discount",IF(Table1[[#This Row],[Discount]]&lt;=0.1,"Low",IF(Table1[[#This Row],[Discount]]&lt;=0.2,"medium","high")))</f>
        <v>No Discount</v>
      </c>
    </row>
    <row r="381" spans="1:22" x14ac:dyDescent="0.3">
      <c r="A381" t="s">
        <v>649</v>
      </c>
      <c r="B381" s="6">
        <v>45803</v>
      </c>
      <c r="C381" t="s">
        <v>115</v>
      </c>
      <c r="D381" t="s">
        <v>24</v>
      </c>
      <c r="E381" t="s">
        <v>84</v>
      </c>
      <c r="F381" t="s">
        <v>72</v>
      </c>
      <c r="G381" t="s">
        <v>111</v>
      </c>
      <c r="H381" t="s">
        <v>112</v>
      </c>
      <c r="I381">
        <v>1246</v>
      </c>
      <c r="J381">
        <v>2</v>
      </c>
      <c r="K381">
        <v>0</v>
      </c>
      <c r="L381">
        <v>545.95000000000005</v>
      </c>
      <c r="M381" t="s">
        <v>43</v>
      </c>
      <c r="N381" t="s">
        <v>44</v>
      </c>
      <c r="O381" t="str">
        <f t="shared" si="10"/>
        <v>Bad</v>
      </c>
      <c r="P381">
        <f t="shared" si="11"/>
        <v>623</v>
      </c>
      <c r="Q381">
        <v>45803</v>
      </c>
      <c r="R381">
        <f>YEAR(Table1[[#This Row],[Order_Date_New]])</f>
        <v>2025</v>
      </c>
      <c r="S381">
        <f>MONTH(Table1[[#This Row],[Order_Date_New]])</f>
        <v>5</v>
      </c>
      <c r="T381" t="str">
        <f>TEXT(Table1[[#This Row],[Order_Date_New]],"mmmm")</f>
        <v>May</v>
      </c>
      <c r="U381">
        <f>Table1[[#This Row],[Profit]]/Table1[[#This Row],[Sales]]</f>
        <v>0.43816211878009637</v>
      </c>
      <c r="V381" t="str">
        <f>IF(Table1[[#This Row],[Discount]]=0,"No Discount",IF(Table1[[#This Row],[Discount]]&lt;=0.1,"Low",IF(Table1[[#This Row],[Discount]]&lt;=0.2,"medium","high")))</f>
        <v>No Discount</v>
      </c>
    </row>
    <row r="382" spans="1:22" x14ac:dyDescent="0.3">
      <c r="A382" t="s">
        <v>650</v>
      </c>
      <c r="B382" s="6">
        <v>45837</v>
      </c>
      <c r="C382" t="s">
        <v>444</v>
      </c>
      <c r="D382" t="s">
        <v>128</v>
      </c>
      <c r="E382" t="s">
        <v>146</v>
      </c>
      <c r="F382" t="s">
        <v>72</v>
      </c>
      <c r="G382" t="s">
        <v>88</v>
      </c>
      <c r="H382" t="s">
        <v>209</v>
      </c>
      <c r="I382">
        <v>2544.9899999999998</v>
      </c>
      <c r="J382">
        <v>7</v>
      </c>
      <c r="K382">
        <v>0</v>
      </c>
      <c r="L382">
        <v>242.95</v>
      </c>
      <c r="M382" t="s">
        <v>29</v>
      </c>
      <c r="N382" t="s">
        <v>44</v>
      </c>
      <c r="O382" t="str">
        <f t="shared" si="10"/>
        <v>Bad</v>
      </c>
      <c r="P382">
        <f t="shared" si="11"/>
        <v>363.57</v>
      </c>
      <c r="Q382">
        <v>45837</v>
      </c>
      <c r="R382">
        <f>YEAR(Table1[[#This Row],[Order_Date_New]])</f>
        <v>2025</v>
      </c>
      <c r="S382">
        <f>MONTH(Table1[[#This Row],[Order_Date_New]])</f>
        <v>6</v>
      </c>
      <c r="T382" t="str">
        <f>TEXT(Table1[[#This Row],[Order_Date_New]],"mmmm")</f>
        <v>June</v>
      </c>
      <c r="U382">
        <f>Table1[[#This Row],[Profit]]/Table1[[#This Row],[Sales]]</f>
        <v>9.5462064683947676E-2</v>
      </c>
      <c r="V382" t="str">
        <f>IF(Table1[[#This Row],[Discount]]=0,"No Discount",IF(Table1[[#This Row],[Discount]]&lt;=0.1,"Low",IF(Table1[[#This Row],[Discount]]&lt;=0.2,"medium","high")))</f>
        <v>No Discount</v>
      </c>
    </row>
    <row r="383" spans="1:22" x14ac:dyDescent="0.3">
      <c r="A383" t="s">
        <v>651</v>
      </c>
      <c r="B383" s="6">
        <v>45317</v>
      </c>
      <c r="C383" t="s">
        <v>148</v>
      </c>
      <c r="D383" t="s">
        <v>53</v>
      </c>
      <c r="E383" t="s">
        <v>107</v>
      </c>
      <c r="F383" t="s">
        <v>72</v>
      </c>
      <c r="G383" t="s">
        <v>88</v>
      </c>
      <c r="H383" t="s">
        <v>209</v>
      </c>
      <c r="I383">
        <v>7918.6</v>
      </c>
      <c r="J383">
        <v>10</v>
      </c>
      <c r="K383">
        <v>0</v>
      </c>
      <c r="L383">
        <v>3551.09</v>
      </c>
      <c r="M383" t="s">
        <v>29</v>
      </c>
      <c r="N383" t="s">
        <v>30</v>
      </c>
      <c r="O383" t="str">
        <f t="shared" si="10"/>
        <v>Good</v>
      </c>
      <c r="P383">
        <f t="shared" si="11"/>
        <v>791.86</v>
      </c>
      <c r="Q383">
        <v>45317</v>
      </c>
      <c r="R383">
        <f>YEAR(Table1[[#This Row],[Order_Date_New]])</f>
        <v>2024</v>
      </c>
      <c r="S383">
        <f>MONTH(Table1[[#This Row],[Order_Date_New]])</f>
        <v>1</v>
      </c>
      <c r="T383" t="str">
        <f>TEXT(Table1[[#This Row],[Order_Date_New]],"mmmm")</f>
        <v>January</v>
      </c>
      <c r="U383">
        <f>Table1[[#This Row],[Profit]]/Table1[[#This Row],[Sales]]</f>
        <v>0.44844922082186245</v>
      </c>
      <c r="V383" t="str">
        <f>IF(Table1[[#This Row],[Discount]]=0,"No Discount",IF(Table1[[#This Row],[Discount]]&lt;=0.1,"Low",IF(Table1[[#This Row],[Discount]]&lt;=0.2,"medium","high")))</f>
        <v>No Discount</v>
      </c>
    </row>
    <row r="384" spans="1:22" x14ac:dyDescent="0.3">
      <c r="A384" t="s">
        <v>652</v>
      </c>
      <c r="B384" s="6">
        <v>45574</v>
      </c>
      <c r="C384" t="s">
        <v>244</v>
      </c>
      <c r="D384" t="s">
        <v>33</v>
      </c>
      <c r="E384" t="s">
        <v>66</v>
      </c>
      <c r="F384" t="s">
        <v>72</v>
      </c>
      <c r="G384" t="s">
        <v>111</v>
      </c>
      <c r="H384" t="s">
        <v>158</v>
      </c>
      <c r="I384">
        <v>6563.6</v>
      </c>
      <c r="J384">
        <v>8</v>
      </c>
      <c r="K384">
        <v>0.3</v>
      </c>
      <c r="L384">
        <v>435.24</v>
      </c>
      <c r="M384" t="s">
        <v>37</v>
      </c>
      <c r="N384" t="s">
        <v>38</v>
      </c>
      <c r="O384" t="str">
        <f t="shared" si="10"/>
        <v>Good</v>
      </c>
      <c r="P384">
        <f t="shared" si="11"/>
        <v>820.45</v>
      </c>
      <c r="Q384">
        <v>45574</v>
      </c>
      <c r="R384">
        <f>YEAR(Table1[[#This Row],[Order_Date_New]])</f>
        <v>2024</v>
      </c>
      <c r="S384">
        <f>MONTH(Table1[[#This Row],[Order_Date_New]])</f>
        <v>10</v>
      </c>
      <c r="T384" t="str">
        <f>TEXT(Table1[[#This Row],[Order_Date_New]],"mmmm")</f>
        <v>October</v>
      </c>
      <c r="U384">
        <f>Table1[[#This Row],[Profit]]/Table1[[#This Row],[Sales]]</f>
        <v>6.6311170699006647E-2</v>
      </c>
      <c r="V384" t="str">
        <f>IF(Table1[[#This Row],[Discount]]=0,"No Discount",IF(Table1[[#This Row],[Discount]]&lt;=0.1,"Low",IF(Table1[[#This Row],[Discount]]&lt;=0.2,"medium","high")))</f>
        <v>high</v>
      </c>
    </row>
    <row r="385" spans="1:22" x14ac:dyDescent="0.3">
      <c r="A385" t="s">
        <v>653</v>
      </c>
      <c r="B385" s="6">
        <v>45493</v>
      </c>
      <c r="C385" t="s">
        <v>654</v>
      </c>
      <c r="D385" t="s">
        <v>128</v>
      </c>
      <c r="E385" t="s">
        <v>132</v>
      </c>
      <c r="F385" t="s">
        <v>60</v>
      </c>
      <c r="G385" t="s">
        <v>98</v>
      </c>
      <c r="H385" t="s">
        <v>138</v>
      </c>
      <c r="I385">
        <v>619.22</v>
      </c>
      <c r="J385">
        <v>1</v>
      </c>
      <c r="K385">
        <v>0.2</v>
      </c>
      <c r="L385">
        <v>92.4</v>
      </c>
      <c r="M385" t="s">
        <v>105</v>
      </c>
      <c r="N385" t="s">
        <v>80</v>
      </c>
      <c r="O385" t="str">
        <f t="shared" si="10"/>
        <v>Bad</v>
      </c>
      <c r="P385">
        <f t="shared" si="11"/>
        <v>619.22</v>
      </c>
      <c r="Q385">
        <v>45493</v>
      </c>
      <c r="R385">
        <f>YEAR(Table1[[#This Row],[Order_Date_New]])</f>
        <v>2024</v>
      </c>
      <c r="S385">
        <f>MONTH(Table1[[#This Row],[Order_Date_New]])</f>
        <v>7</v>
      </c>
      <c r="T385" t="str">
        <f>TEXT(Table1[[#This Row],[Order_Date_New]],"mmmm")</f>
        <v>July</v>
      </c>
      <c r="U385">
        <f>Table1[[#This Row],[Profit]]/Table1[[#This Row],[Sales]]</f>
        <v>0.1492199864345467</v>
      </c>
      <c r="V385" t="str">
        <f>IF(Table1[[#This Row],[Discount]]=0,"No Discount",IF(Table1[[#This Row],[Discount]]&lt;=0.1,"Low",IF(Table1[[#This Row],[Discount]]&lt;=0.2,"medium","high")))</f>
        <v>medium</v>
      </c>
    </row>
    <row r="386" spans="1:22" x14ac:dyDescent="0.3">
      <c r="A386" t="s">
        <v>655</v>
      </c>
      <c r="B386" s="6">
        <v>45465</v>
      </c>
      <c r="C386" t="s">
        <v>208</v>
      </c>
      <c r="D386" t="s">
        <v>33</v>
      </c>
      <c r="E386" t="s">
        <v>48</v>
      </c>
      <c r="F386" t="s">
        <v>26</v>
      </c>
      <c r="G386" t="s">
        <v>35</v>
      </c>
      <c r="H386" t="s">
        <v>36</v>
      </c>
      <c r="I386">
        <v>1987.6</v>
      </c>
      <c r="J386">
        <v>4</v>
      </c>
      <c r="K386">
        <v>0.3</v>
      </c>
      <c r="L386">
        <v>-46.51</v>
      </c>
      <c r="M386" t="s">
        <v>105</v>
      </c>
      <c r="N386" t="s">
        <v>38</v>
      </c>
      <c r="O386" t="str">
        <f t="shared" ref="O386:O449" si="12">IF(AND(I386&gt;5000,J386&gt;7),"Good","Bad")</f>
        <v>Bad</v>
      </c>
      <c r="P386">
        <f t="shared" ref="P386:P449" si="13">I386/J386</f>
        <v>496.9</v>
      </c>
      <c r="Q386">
        <v>45465</v>
      </c>
      <c r="R386">
        <f>YEAR(Table1[[#This Row],[Order_Date_New]])</f>
        <v>2024</v>
      </c>
      <c r="S386">
        <f>MONTH(Table1[[#This Row],[Order_Date_New]])</f>
        <v>6</v>
      </c>
      <c r="T386" t="str">
        <f>TEXT(Table1[[#This Row],[Order_Date_New]],"mmmm")</f>
        <v>June</v>
      </c>
      <c r="U386">
        <f>Table1[[#This Row],[Profit]]/Table1[[#This Row],[Sales]]</f>
        <v>-2.3400080499094384E-2</v>
      </c>
      <c r="V386" t="str">
        <f>IF(Table1[[#This Row],[Discount]]=0,"No Discount",IF(Table1[[#This Row],[Discount]]&lt;=0.1,"Low",IF(Table1[[#This Row],[Discount]]&lt;=0.2,"medium","high")))</f>
        <v>high</v>
      </c>
    </row>
    <row r="387" spans="1:22" x14ac:dyDescent="0.3">
      <c r="A387" t="s">
        <v>656</v>
      </c>
      <c r="B387" s="6">
        <v>45293</v>
      </c>
      <c r="C387" t="s">
        <v>117</v>
      </c>
      <c r="D387" t="s">
        <v>33</v>
      </c>
      <c r="E387" t="s">
        <v>48</v>
      </c>
      <c r="F387" t="s">
        <v>26</v>
      </c>
      <c r="G387" t="s">
        <v>41</v>
      </c>
      <c r="H387" t="s">
        <v>189</v>
      </c>
      <c r="I387">
        <v>2743.74</v>
      </c>
      <c r="J387">
        <v>3</v>
      </c>
      <c r="K387">
        <v>0.3</v>
      </c>
      <c r="L387">
        <v>320.45</v>
      </c>
      <c r="M387" t="s">
        <v>90</v>
      </c>
      <c r="N387" t="s">
        <v>30</v>
      </c>
      <c r="O387" t="str">
        <f t="shared" si="12"/>
        <v>Bad</v>
      </c>
      <c r="P387">
        <f t="shared" si="13"/>
        <v>914.57999999999993</v>
      </c>
      <c r="Q387">
        <v>45293</v>
      </c>
      <c r="R387">
        <f>YEAR(Table1[[#This Row],[Order_Date_New]])</f>
        <v>2024</v>
      </c>
      <c r="S387">
        <f>MONTH(Table1[[#This Row],[Order_Date_New]])</f>
        <v>1</v>
      </c>
      <c r="T387" t="str">
        <f>TEXT(Table1[[#This Row],[Order_Date_New]],"mmmm")</f>
        <v>January</v>
      </c>
      <c r="U387">
        <f>Table1[[#This Row],[Profit]]/Table1[[#This Row],[Sales]]</f>
        <v>0.11679313637589568</v>
      </c>
      <c r="V387" t="str">
        <f>IF(Table1[[#This Row],[Discount]]=0,"No Discount",IF(Table1[[#This Row],[Discount]]&lt;=0.1,"Low",IF(Table1[[#This Row],[Discount]]&lt;=0.2,"medium","high")))</f>
        <v>high</v>
      </c>
    </row>
    <row r="388" spans="1:22" x14ac:dyDescent="0.3">
      <c r="A388" t="s">
        <v>657</v>
      </c>
      <c r="B388" s="6">
        <v>45678</v>
      </c>
      <c r="C388" t="s">
        <v>83</v>
      </c>
      <c r="D388" t="s">
        <v>128</v>
      </c>
      <c r="E388" t="s">
        <v>202</v>
      </c>
      <c r="F388" t="s">
        <v>60</v>
      </c>
      <c r="G388" t="s">
        <v>78</v>
      </c>
      <c r="H388" t="s">
        <v>222</v>
      </c>
      <c r="I388">
        <v>4763.9399999999996</v>
      </c>
      <c r="J388">
        <v>6</v>
      </c>
      <c r="K388">
        <v>0.25</v>
      </c>
      <c r="L388">
        <v>-311.02</v>
      </c>
      <c r="M388" t="s">
        <v>29</v>
      </c>
      <c r="N388" t="s">
        <v>30</v>
      </c>
      <c r="O388" t="str">
        <f t="shared" si="12"/>
        <v>Bad</v>
      </c>
      <c r="P388">
        <f t="shared" si="13"/>
        <v>793.9899999999999</v>
      </c>
      <c r="Q388">
        <v>45678</v>
      </c>
      <c r="R388">
        <f>YEAR(Table1[[#This Row],[Order_Date_New]])</f>
        <v>2025</v>
      </c>
      <c r="S388">
        <f>MONTH(Table1[[#This Row],[Order_Date_New]])</f>
        <v>1</v>
      </c>
      <c r="T388" t="str">
        <f>TEXT(Table1[[#This Row],[Order_Date_New]],"mmmm")</f>
        <v>January</v>
      </c>
      <c r="U388">
        <f>Table1[[#This Row],[Profit]]/Table1[[#This Row],[Sales]]</f>
        <v>-6.5286296636817426E-2</v>
      </c>
      <c r="V388" t="str">
        <f>IF(Table1[[#This Row],[Discount]]=0,"No Discount",IF(Table1[[#This Row],[Discount]]&lt;=0.1,"Low",IF(Table1[[#This Row],[Discount]]&lt;=0.2,"medium","high")))</f>
        <v>high</v>
      </c>
    </row>
    <row r="389" spans="1:22" x14ac:dyDescent="0.3">
      <c r="A389" t="s">
        <v>658</v>
      </c>
      <c r="B389" s="6">
        <v>45774</v>
      </c>
      <c r="C389" t="s">
        <v>659</v>
      </c>
      <c r="D389" t="s">
        <v>24</v>
      </c>
      <c r="E389" t="s">
        <v>97</v>
      </c>
      <c r="F389" t="s">
        <v>26</v>
      </c>
      <c r="G389" t="s">
        <v>35</v>
      </c>
      <c r="H389" t="s">
        <v>55</v>
      </c>
      <c r="I389">
        <v>4875.7</v>
      </c>
      <c r="J389">
        <v>5</v>
      </c>
      <c r="K389">
        <v>0.25</v>
      </c>
      <c r="L389">
        <v>314.04000000000002</v>
      </c>
      <c r="M389" t="s">
        <v>43</v>
      </c>
      <c r="N389" t="s">
        <v>44</v>
      </c>
      <c r="O389" t="str">
        <f t="shared" si="12"/>
        <v>Bad</v>
      </c>
      <c r="P389">
        <f t="shared" si="13"/>
        <v>975.14</v>
      </c>
      <c r="Q389">
        <v>45774</v>
      </c>
      <c r="R389">
        <f>YEAR(Table1[[#This Row],[Order_Date_New]])</f>
        <v>2025</v>
      </c>
      <c r="S389">
        <f>MONTH(Table1[[#This Row],[Order_Date_New]])</f>
        <v>4</v>
      </c>
      <c r="T389" t="str">
        <f>TEXT(Table1[[#This Row],[Order_Date_New]],"mmmm")</f>
        <v>April</v>
      </c>
      <c r="U389">
        <f>Table1[[#This Row],[Profit]]/Table1[[#This Row],[Sales]]</f>
        <v>6.4409213036076884E-2</v>
      </c>
      <c r="V389" t="str">
        <f>IF(Table1[[#This Row],[Discount]]=0,"No Discount",IF(Table1[[#This Row],[Discount]]&lt;=0.1,"Low",IF(Table1[[#This Row],[Discount]]&lt;=0.2,"medium","high")))</f>
        <v>high</v>
      </c>
    </row>
    <row r="390" spans="1:22" x14ac:dyDescent="0.3">
      <c r="A390" t="s">
        <v>660</v>
      </c>
      <c r="B390" s="6">
        <v>45392</v>
      </c>
      <c r="C390" t="s">
        <v>152</v>
      </c>
      <c r="D390" t="s">
        <v>24</v>
      </c>
      <c r="E390" t="s">
        <v>59</v>
      </c>
      <c r="F390" t="s">
        <v>72</v>
      </c>
      <c r="G390" t="s">
        <v>111</v>
      </c>
      <c r="H390" t="s">
        <v>112</v>
      </c>
      <c r="I390">
        <v>11977.1</v>
      </c>
      <c r="J390">
        <v>10</v>
      </c>
      <c r="K390">
        <v>0</v>
      </c>
      <c r="L390">
        <v>1120.08</v>
      </c>
      <c r="M390" t="s">
        <v>90</v>
      </c>
      <c r="N390" t="s">
        <v>38</v>
      </c>
      <c r="O390" t="str">
        <f t="shared" si="12"/>
        <v>Good</v>
      </c>
      <c r="P390">
        <f t="shared" si="13"/>
        <v>1197.71</v>
      </c>
      <c r="Q390">
        <v>45392</v>
      </c>
      <c r="R390">
        <f>YEAR(Table1[[#This Row],[Order_Date_New]])</f>
        <v>2024</v>
      </c>
      <c r="S390">
        <f>MONTH(Table1[[#This Row],[Order_Date_New]])</f>
        <v>4</v>
      </c>
      <c r="T390" t="str">
        <f>TEXT(Table1[[#This Row],[Order_Date_New]],"mmmm")</f>
        <v>April</v>
      </c>
      <c r="U390">
        <f>Table1[[#This Row],[Profit]]/Table1[[#This Row],[Sales]]</f>
        <v>9.3518464402902193E-2</v>
      </c>
      <c r="V390" t="str">
        <f>IF(Table1[[#This Row],[Discount]]=0,"No Discount",IF(Table1[[#This Row],[Discount]]&lt;=0.1,"Low",IF(Table1[[#This Row],[Discount]]&lt;=0.2,"medium","high")))</f>
        <v>No Discount</v>
      </c>
    </row>
    <row r="391" spans="1:22" x14ac:dyDescent="0.3">
      <c r="A391" t="s">
        <v>661</v>
      </c>
      <c r="B391" s="6">
        <v>45833</v>
      </c>
      <c r="C391" t="s">
        <v>448</v>
      </c>
      <c r="D391" t="s">
        <v>53</v>
      </c>
      <c r="E391" t="s">
        <v>87</v>
      </c>
      <c r="F391" t="s">
        <v>26</v>
      </c>
      <c r="G391" t="s">
        <v>41</v>
      </c>
      <c r="H391" t="s">
        <v>108</v>
      </c>
      <c r="I391">
        <v>222.84</v>
      </c>
      <c r="J391">
        <v>3</v>
      </c>
      <c r="K391">
        <v>0.2</v>
      </c>
      <c r="L391">
        <v>10.35</v>
      </c>
      <c r="M391" t="s">
        <v>68</v>
      </c>
      <c r="N391" t="s">
        <v>44</v>
      </c>
      <c r="O391" t="str">
        <f t="shared" si="12"/>
        <v>Bad</v>
      </c>
      <c r="P391">
        <f t="shared" si="13"/>
        <v>74.28</v>
      </c>
      <c r="Q391">
        <v>45833</v>
      </c>
      <c r="R391">
        <f>YEAR(Table1[[#This Row],[Order_Date_New]])</f>
        <v>2025</v>
      </c>
      <c r="S391">
        <f>MONTH(Table1[[#This Row],[Order_Date_New]])</f>
        <v>6</v>
      </c>
      <c r="T391" t="str">
        <f>TEXT(Table1[[#This Row],[Order_Date_New]],"mmmm")</f>
        <v>June</v>
      </c>
      <c r="U391">
        <f>Table1[[#This Row],[Profit]]/Table1[[#This Row],[Sales]]</f>
        <v>4.6445880452342485E-2</v>
      </c>
      <c r="V391" t="str">
        <f>IF(Table1[[#This Row],[Discount]]=0,"No Discount",IF(Table1[[#This Row],[Discount]]&lt;=0.1,"Low",IF(Table1[[#This Row],[Discount]]&lt;=0.2,"medium","high")))</f>
        <v>medium</v>
      </c>
    </row>
    <row r="392" spans="1:22" x14ac:dyDescent="0.3">
      <c r="A392" t="s">
        <v>662</v>
      </c>
      <c r="B392" s="6">
        <v>45726</v>
      </c>
      <c r="C392" t="s">
        <v>647</v>
      </c>
      <c r="D392" t="s">
        <v>33</v>
      </c>
      <c r="E392" t="s">
        <v>48</v>
      </c>
      <c r="F392" t="s">
        <v>60</v>
      </c>
      <c r="G392" t="s">
        <v>78</v>
      </c>
      <c r="H392" t="s">
        <v>79</v>
      </c>
      <c r="I392">
        <v>3795.03</v>
      </c>
      <c r="J392">
        <v>9</v>
      </c>
      <c r="K392">
        <v>0.15</v>
      </c>
      <c r="L392">
        <v>650.94000000000005</v>
      </c>
      <c r="M392" t="s">
        <v>37</v>
      </c>
      <c r="N392" t="s">
        <v>38</v>
      </c>
      <c r="O392" t="str">
        <f t="shared" si="12"/>
        <v>Bad</v>
      </c>
      <c r="P392">
        <f t="shared" si="13"/>
        <v>421.67</v>
      </c>
      <c r="Q392">
        <v>45726</v>
      </c>
      <c r="R392">
        <f>YEAR(Table1[[#This Row],[Order_Date_New]])</f>
        <v>2025</v>
      </c>
      <c r="S392">
        <f>MONTH(Table1[[#This Row],[Order_Date_New]])</f>
        <v>3</v>
      </c>
      <c r="T392" t="str">
        <f>TEXT(Table1[[#This Row],[Order_Date_New]],"mmmm")</f>
        <v>March</v>
      </c>
      <c r="U392">
        <f>Table1[[#This Row],[Profit]]/Table1[[#This Row],[Sales]]</f>
        <v>0.17152433577600176</v>
      </c>
      <c r="V392" t="str">
        <f>IF(Table1[[#This Row],[Discount]]=0,"No Discount",IF(Table1[[#This Row],[Discount]]&lt;=0.1,"Low",IF(Table1[[#This Row],[Discount]]&lt;=0.2,"medium","high")))</f>
        <v>medium</v>
      </c>
    </row>
    <row r="393" spans="1:22" x14ac:dyDescent="0.3">
      <c r="A393" t="s">
        <v>663</v>
      </c>
      <c r="B393" s="6">
        <v>45749</v>
      </c>
      <c r="C393" t="s">
        <v>664</v>
      </c>
      <c r="D393" t="s">
        <v>33</v>
      </c>
      <c r="E393" t="s">
        <v>48</v>
      </c>
      <c r="F393" t="s">
        <v>26</v>
      </c>
      <c r="G393" t="s">
        <v>41</v>
      </c>
      <c r="H393" t="s">
        <v>108</v>
      </c>
      <c r="I393">
        <v>1673.07</v>
      </c>
      <c r="J393">
        <v>7</v>
      </c>
      <c r="K393">
        <v>0</v>
      </c>
      <c r="L393">
        <v>412</v>
      </c>
      <c r="M393" t="s">
        <v>133</v>
      </c>
      <c r="N393" t="s">
        <v>38</v>
      </c>
      <c r="O393" t="str">
        <f t="shared" si="12"/>
        <v>Bad</v>
      </c>
      <c r="P393">
        <f t="shared" si="13"/>
        <v>239.01</v>
      </c>
      <c r="Q393">
        <v>45749</v>
      </c>
      <c r="R393">
        <f>YEAR(Table1[[#This Row],[Order_Date_New]])</f>
        <v>2025</v>
      </c>
      <c r="S393">
        <f>MONTH(Table1[[#This Row],[Order_Date_New]])</f>
        <v>4</v>
      </c>
      <c r="T393" t="str">
        <f>TEXT(Table1[[#This Row],[Order_Date_New]],"mmmm")</f>
        <v>April</v>
      </c>
      <c r="U393">
        <f>Table1[[#This Row],[Profit]]/Table1[[#This Row],[Sales]]</f>
        <v>0.24625389254484273</v>
      </c>
      <c r="V393" t="str">
        <f>IF(Table1[[#This Row],[Discount]]=0,"No Discount",IF(Table1[[#This Row],[Discount]]&lt;=0.1,"Low",IF(Table1[[#This Row],[Discount]]&lt;=0.2,"medium","high")))</f>
        <v>No Discount</v>
      </c>
    </row>
    <row r="394" spans="1:22" x14ac:dyDescent="0.3">
      <c r="A394" t="s">
        <v>665</v>
      </c>
      <c r="B394" s="6">
        <v>45574</v>
      </c>
      <c r="C394" t="s">
        <v>208</v>
      </c>
      <c r="D394" t="s">
        <v>53</v>
      </c>
      <c r="E394" t="s">
        <v>54</v>
      </c>
      <c r="F394" t="s">
        <v>26</v>
      </c>
      <c r="G394" t="s">
        <v>41</v>
      </c>
      <c r="H394" t="s">
        <v>108</v>
      </c>
      <c r="I394">
        <v>6213.48</v>
      </c>
      <c r="J394">
        <v>6</v>
      </c>
      <c r="K394">
        <v>0.15</v>
      </c>
      <c r="L394">
        <v>-428.53</v>
      </c>
      <c r="M394" t="s">
        <v>29</v>
      </c>
      <c r="N394" t="s">
        <v>38</v>
      </c>
      <c r="O394" t="str">
        <f t="shared" si="12"/>
        <v>Bad</v>
      </c>
      <c r="P394">
        <f t="shared" si="13"/>
        <v>1035.58</v>
      </c>
      <c r="Q394">
        <v>45574</v>
      </c>
      <c r="R394">
        <f>YEAR(Table1[[#This Row],[Order_Date_New]])</f>
        <v>2024</v>
      </c>
      <c r="S394">
        <f>MONTH(Table1[[#This Row],[Order_Date_New]])</f>
        <v>10</v>
      </c>
      <c r="T394" t="str">
        <f>TEXT(Table1[[#This Row],[Order_Date_New]],"mmmm")</f>
        <v>October</v>
      </c>
      <c r="U394">
        <f>Table1[[#This Row],[Profit]]/Table1[[#This Row],[Sales]]</f>
        <v>-6.8967792605753947E-2</v>
      </c>
      <c r="V394" t="str">
        <f>IF(Table1[[#This Row],[Discount]]=0,"No Discount",IF(Table1[[#This Row],[Discount]]&lt;=0.1,"Low",IF(Table1[[#This Row],[Discount]]&lt;=0.2,"medium","high")))</f>
        <v>medium</v>
      </c>
    </row>
    <row r="395" spans="1:22" x14ac:dyDescent="0.3">
      <c r="A395" t="s">
        <v>666</v>
      </c>
      <c r="B395" s="6">
        <v>45387</v>
      </c>
      <c r="C395" t="s">
        <v>407</v>
      </c>
      <c r="D395" t="s">
        <v>24</v>
      </c>
      <c r="E395" t="s">
        <v>59</v>
      </c>
      <c r="F395" t="s">
        <v>72</v>
      </c>
      <c r="G395" t="s">
        <v>88</v>
      </c>
      <c r="H395" t="s">
        <v>119</v>
      </c>
      <c r="I395">
        <v>7988.48</v>
      </c>
      <c r="J395">
        <v>8</v>
      </c>
      <c r="K395">
        <v>0.25</v>
      </c>
      <c r="L395">
        <v>-360.36</v>
      </c>
      <c r="M395" t="s">
        <v>113</v>
      </c>
      <c r="N395" t="s">
        <v>30</v>
      </c>
      <c r="O395" t="str">
        <f t="shared" si="12"/>
        <v>Good</v>
      </c>
      <c r="P395">
        <f t="shared" si="13"/>
        <v>998.56</v>
      </c>
      <c r="Q395">
        <v>45387</v>
      </c>
      <c r="R395">
        <f>YEAR(Table1[[#This Row],[Order_Date_New]])</f>
        <v>2024</v>
      </c>
      <c r="S395">
        <f>MONTH(Table1[[#This Row],[Order_Date_New]])</f>
        <v>4</v>
      </c>
      <c r="T395" t="str">
        <f>TEXT(Table1[[#This Row],[Order_Date_New]],"mmmm")</f>
        <v>April</v>
      </c>
      <c r="U395">
        <f>Table1[[#This Row],[Profit]]/Table1[[#This Row],[Sales]]</f>
        <v>-4.5109958340009616E-2</v>
      </c>
      <c r="V395" t="str">
        <f>IF(Table1[[#This Row],[Discount]]=0,"No Discount",IF(Table1[[#This Row],[Discount]]&lt;=0.1,"Low",IF(Table1[[#This Row],[Discount]]&lt;=0.2,"medium","high")))</f>
        <v>high</v>
      </c>
    </row>
    <row r="396" spans="1:22" x14ac:dyDescent="0.3">
      <c r="A396" t="s">
        <v>667</v>
      </c>
      <c r="B396" s="6">
        <v>45636</v>
      </c>
      <c r="C396" t="s">
        <v>309</v>
      </c>
      <c r="D396" t="s">
        <v>33</v>
      </c>
      <c r="E396" t="s">
        <v>66</v>
      </c>
      <c r="F396" t="s">
        <v>26</v>
      </c>
      <c r="G396" t="s">
        <v>35</v>
      </c>
      <c r="H396" t="s">
        <v>36</v>
      </c>
      <c r="I396">
        <v>1410</v>
      </c>
      <c r="J396">
        <v>6</v>
      </c>
      <c r="K396">
        <v>0.15</v>
      </c>
      <c r="L396">
        <v>260.58</v>
      </c>
      <c r="M396" t="s">
        <v>29</v>
      </c>
      <c r="N396" t="s">
        <v>38</v>
      </c>
      <c r="O396" t="str">
        <f t="shared" si="12"/>
        <v>Bad</v>
      </c>
      <c r="P396">
        <f t="shared" si="13"/>
        <v>235</v>
      </c>
      <c r="Q396">
        <v>45636</v>
      </c>
      <c r="R396">
        <f>YEAR(Table1[[#This Row],[Order_Date_New]])</f>
        <v>2024</v>
      </c>
      <c r="S396">
        <f>MONTH(Table1[[#This Row],[Order_Date_New]])</f>
        <v>12</v>
      </c>
      <c r="T396" t="str">
        <f>TEXT(Table1[[#This Row],[Order_Date_New]],"mmmm")</f>
        <v>December</v>
      </c>
      <c r="U396">
        <f>Table1[[#This Row],[Profit]]/Table1[[#This Row],[Sales]]</f>
        <v>0.18480851063829787</v>
      </c>
      <c r="V396" t="str">
        <f>IF(Table1[[#This Row],[Discount]]=0,"No Discount",IF(Table1[[#This Row],[Discount]]&lt;=0.1,"Low",IF(Table1[[#This Row],[Discount]]&lt;=0.2,"medium","high")))</f>
        <v>medium</v>
      </c>
    </row>
    <row r="397" spans="1:22" x14ac:dyDescent="0.3">
      <c r="A397" t="s">
        <v>668</v>
      </c>
      <c r="B397" s="6">
        <v>45967</v>
      </c>
      <c r="C397" t="s">
        <v>669</v>
      </c>
      <c r="D397" t="s">
        <v>33</v>
      </c>
      <c r="E397" t="s">
        <v>66</v>
      </c>
      <c r="F397" t="s">
        <v>26</v>
      </c>
      <c r="G397" t="s">
        <v>41</v>
      </c>
      <c r="H397" t="s">
        <v>189</v>
      </c>
      <c r="I397">
        <v>4630.38</v>
      </c>
      <c r="J397">
        <v>6</v>
      </c>
      <c r="K397">
        <v>0.3</v>
      </c>
      <c r="L397">
        <v>94.83</v>
      </c>
      <c r="M397" t="s">
        <v>105</v>
      </c>
      <c r="N397" t="s">
        <v>30</v>
      </c>
      <c r="O397" t="str">
        <f t="shared" si="12"/>
        <v>Bad</v>
      </c>
      <c r="P397">
        <f t="shared" si="13"/>
        <v>771.73</v>
      </c>
      <c r="Q397">
        <v>45967</v>
      </c>
      <c r="R397">
        <f>YEAR(Table1[[#This Row],[Order_Date_New]])</f>
        <v>2025</v>
      </c>
      <c r="S397">
        <f>MONTH(Table1[[#This Row],[Order_Date_New]])</f>
        <v>11</v>
      </c>
      <c r="T397" t="str">
        <f>TEXT(Table1[[#This Row],[Order_Date_New]],"mmmm")</f>
        <v>November</v>
      </c>
      <c r="U397">
        <f>Table1[[#This Row],[Profit]]/Table1[[#This Row],[Sales]]</f>
        <v>2.0479960607984658E-2</v>
      </c>
      <c r="V397" t="str">
        <f>IF(Table1[[#This Row],[Discount]]=0,"No Discount",IF(Table1[[#This Row],[Discount]]&lt;=0.1,"Low",IF(Table1[[#This Row],[Discount]]&lt;=0.2,"medium","high")))</f>
        <v>high</v>
      </c>
    </row>
    <row r="398" spans="1:22" x14ac:dyDescent="0.3">
      <c r="A398" t="s">
        <v>670</v>
      </c>
      <c r="B398" s="6">
        <v>45995</v>
      </c>
      <c r="C398" t="s">
        <v>117</v>
      </c>
      <c r="D398" t="s">
        <v>128</v>
      </c>
      <c r="E398" t="s">
        <v>129</v>
      </c>
      <c r="F398" t="s">
        <v>60</v>
      </c>
      <c r="G398" t="s">
        <v>78</v>
      </c>
      <c r="H398" t="s">
        <v>79</v>
      </c>
      <c r="I398">
        <v>4290.4799999999996</v>
      </c>
      <c r="J398">
        <v>4</v>
      </c>
      <c r="K398">
        <v>0.05</v>
      </c>
      <c r="L398">
        <v>1310.92</v>
      </c>
      <c r="M398" t="s">
        <v>90</v>
      </c>
      <c r="N398" t="s">
        <v>80</v>
      </c>
      <c r="O398" t="str">
        <f t="shared" si="12"/>
        <v>Bad</v>
      </c>
      <c r="P398">
        <f t="shared" si="13"/>
        <v>1072.6199999999999</v>
      </c>
      <c r="Q398">
        <v>45995</v>
      </c>
      <c r="R398">
        <f>YEAR(Table1[[#This Row],[Order_Date_New]])</f>
        <v>2025</v>
      </c>
      <c r="S398">
        <f>MONTH(Table1[[#This Row],[Order_Date_New]])</f>
        <v>12</v>
      </c>
      <c r="T398" t="str">
        <f>TEXT(Table1[[#This Row],[Order_Date_New]],"mmmm")</f>
        <v>December</v>
      </c>
      <c r="U398">
        <f>Table1[[#This Row],[Profit]]/Table1[[#This Row],[Sales]]</f>
        <v>0.30554157110626323</v>
      </c>
      <c r="V398" t="str">
        <f>IF(Table1[[#This Row],[Discount]]=0,"No Discount",IF(Table1[[#This Row],[Discount]]&lt;=0.1,"Low",IF(Table1[[#This Row],[Discount]]&lt;=0.2,"medium","high")))</f>
        <v>Low</v>
      </c>
    </row>
    <row r="399" spans="1:22" x14ac:dyDescent="0.3">
      <c r="A399" t="s">
        <v>671</v>
      </c>
      <c r="B399" s="6">
        <v>46014</v>
      </c>
      <c r="C399" t="s">
        <v>454</v>
      </c>
      <c r="D399" t="s">
        <v>53</v>
      </c>
      <c r="E399" t="s">
        <v>77</v>
      </c>
      <c r="F399" t="s">
        <v>26</v>
      </c>
      <c r="G399" t="s">
        <v>35</v>
      </c>
      <c r="H399" t="s">
        <v>173</v>
      </c>
      <c r="I399">
        <v>9198.16</v>
      </c>
      <c r="J399">
        <v>8</v>
      </c>
      <c r="K399">
        <v>0.25</v>
      </c>
      <c r="L399">
        <v>1113.92</v>
      </c>
      <c r="M399" t="s">
        <v>170</v>
      </c>
      <c r="N399" t="s">
        <v>80</v>
      </c>
      <c r="O399" t="str">
        <f t="shared" si="12"/>
        <v>Good</v>
      </c>
      <c r="P399">
        <f t="shared" si="13"/>
        <v>1149.77</v>
      </c>
      <c r="Q399">
        <v>46014</v>
      </c>
      <c r="R399">
        <f>YEAR(Table1[[#This Row],[Order_Date_New]])</f>
        <v>2025</v>
      </c>
      <c r="S399">
        <f>MONTH(Table1[[#This Row],[Order_Date_New]])</f>
        <v>12</v>
      </c>
      <c r="T399" t="str">
        <f>TEXT(Table1[[#This Row],[Order_Date_New]],"mmmm")</f>
        <v>December</v>
      </c>
      <c r="U399">
        <f>Table1[[#This Row],[Profit]]/Table1[[#This Row],[Sales]]</f>
        <v>0.1211024813658384</v>
      </c>
      <c r="V399" t="str">
        <f>IF(Table1[[#This Row],[Discount]]=0,"No Discount",IF(Table1[[#This Row],[Discount]]&lt;=0.1,"Low",IF(Table1[[#This Row],[Discount]]&lt;=0.2,"medium","high")))</f>
        <v>high</v>
      </c>
    </row>
    <row r="400" spans="1:22" x14ac:dyDescent="0.3">
      <c r="A400" t="s">
        <v>672</v>
      </c>
      <c r="B400" s="6">
        <v>45371</v>
      </c>
      <c r="C400" t="s">
        <v>590</v>
      </c>
      <c r="D400" t="s">
        <v>53</v>
      </c>
      <c r="E400" t="s">
        <v>77</v>
      </c>
      <c r="F400" t="s">
        <v>60</v>
      </c>
      <c r="G400" t="s">
        <v>98</v>
      </c>
      <c r="H400" t="s">
        <v>141</v>
      </c>
      <c r="I400">
        <v>1450</v>
      </c>
      <c r="J400">
        <v>2</v>
      </c>
      <c r="K400">
        <v>0.05</v>
      </c>
      <c r="L400">
        <v>512.65</v>
      </c>
      <c r="M400" t="s">
        <v>170</v>
      </c>
      <c r="N400" t="s">
        <v>44</v>
      </c>
      <c r="O400" t="str">
        <f t="shared" si="12"/>
        <v>Bad</v>
      </c>
      <c r="P400">
        <f t="shared" si="13"/>
        <v>725</v>
      </c>
      <c r="Q400">
        <v>45371</v>
      </c>
      <c r="R400">
        <f>YEAR(Table1[[#This Row],[Order_Date_New]])</f>
        <v>2024</v>
      </c>
      <c r="S400">
        <f>MONTH(Table1[[#This Row],[Order_Date_New]])</f>
        <v>3</v>
      </c>
      <c r="T400" t="str">
        <f>TEXT(Table1[[#This Row],[Order_Date_New]],"mmmm")</f>
        <v>March</v>
      </c>
      <c r="U400">
        <f>Table1[[#This Row],[Profit]]/Table1[[#This Row],[Sales]]</f>
        <v>0.35355172413793101</v>
      </c>
      <c r="V400" t="str">
        <f>IF(Table1[[#This Row],[Discount]]=0,"No Discount",IF(Table1[[#This Row],[Discount]]&lt;=0.1,"Low",IF(Table1[[#This Row],[Discount]]&lt;=0.2,"medium","high")))</f>
        <v>Low</v>
      </c>
    </row>
    <row r="401" spans="1:22" x14ac:dyDescent="0.3">
      <c r="A401" t="s">
        <v>673</v>
      </c>
      <c r="B401" s="6">
        <v>45957</v>
      </c>
      <c r="C401" t="s">
        <v>32</v>
      </c>
      <c r="D401" t="s">
        <v>24</v>
      </c>
      <c r="E401" t="s">
        <v>84</v>
      </c>
      <c r="F401" t="s">
        <v>60</v>
      </c>
      <c r="G401" t="s">
        <v>61</v>
      </c>
      <c r="H401" t="s">
        <v>67</v>
      </c>
      <c r="I401">
        <v>3355.24</v>
      </c>
      <c r="J401">
        <v>4</v>
      </c>
      <c r="K401">
        <v>0</v>
      </c>
      <c r="L401">
        <v>753.71</v>
      </c>
      <c r="M401" t="s">
        <v>43</v>
      </c>
      <c r="N401" t="s">
        <v>30</v>
      </c>
      <c r="O401" t="str">
        <f t="shared" si="12"/>
        <v>Bad</v>
      </c>
      <c r="P401">
        <f t="shared" si="13"/>
        <v>838.81</v>
      </c>
      <c r="Q401">
        <v>45957</v>
      </c>
      <c r="R401">
        <f>YEAR(Table1[[#This Row],[Order_Date_New]])</f>
        <v>2025</v>
      </c>
      <c r="S401">
        <f>MONTH(Table1[[#This Row],[Order_Date_New]])</f>
        <v>10</v>
      </c>
      <c r="T401" t="str">
        <f>TEXT(Table1[[#This Row],[Order_Date_New]],"mmmm")</f>
        <v>October</v>
      </c>
      <c r="U401">
        <f>Table1[[#This Row],[Profit]]/Table1[[#This Row],[Sales]]</f>
        <v>0.22463668768851114</v>
      </c>
      <c r="V401" t="str">
        <f>IF(Table1[[#This Row],[Discount]]=0,"No Discount",IF(Table1[[#This Row],[Discount]]&lt;=0.1,"Low",IF(Table1[[#This Row],[Discount]]&lt;=0.2,"medium","high")))</f>
        <v>No Discount</v>
      </c>
    </row>
    <row r="402" spans="1:22" x14ac:dyDescent="0.3">
      <c r="A402" t="s">
        <v>674</v>
      </c>
      <c r="B402" s="6">
        <v>45403</v>
      </c>
      <c r="C402" t="s">
        <v>150</v>
      </c>
      <c r="D402" t="s">
        <v>24</v>
      </c>
      <c r="E402" t="s">
        <v>59</v>
      </c>
      <c r="F402" t="s">
        <v>72</v>
      </c>
      <c r="G402" t="s">
        <v>73</v>
      </c>
      <c r="H402" t="s">
        <v>293</v>
      </c>
      <c r="I402">
        <v>1529.88</v>
      </c>
      <c r="J402">
        <v>6</v>
      </c>
      <c r="K402">
        <v>0.25</v>
      </c>
      <c r="L402">
        <v>165.97</v>
      </c>
      <c r="M402" t="s">
        <v>43</v>
      </c>
      <c r="N402" t="s">
        <v>30</v>
      </c>
      <c r="O402" t="str">
        <f t="shared" si="12"/>
        <v>Bad</v>
      </c>
      <c r="P402">
        <f t="shared" si="13"/>
        <v>254.98000000000002</v>
      </c>
      <c r="Q402">
        <v>45403</v>
      </c>
      <c r="R402">
        <f>YEAR(Table1[[#This Row],[Order_Date_New]])</f>
        <v>2024</v>
      </c>
      <c r="S402">
        <f>MONTH(Table1[[#This Row],[Order_Date_New]])</f>
        <v>4</v>
      </c>
      <c r="T402" t="str">
        <f>TEXT(Table1[[#This Row],[Order_Date_New]],"mmmm")</f>
        <v>April</v>
      </c>
      <c r="U402">
        <f>Table1[[#This Row],[Profit]]/Table1[[#This Row],[Sales]]</f>
        <v>0.10848563286009359</v>
      </c>
      <c r="V402" t="str">
        <f>IF(Table1[[#This Row],[Discount]]=0,"No Discount",IF(Table1[[#This Row],[Discount]]&lt;=0.1,"Low",IF(Table1[[#This Row],[Discount]]&lt;=0.2,"medium","high")))</f>
        <v>high</v>
      </c>
    </row>
    <row r="403" spans="1:22" x14ac:dyDescent="0.3">
      <c r="A403" t="s">
        <v>675</v>
      </c>
      <c r="B403" s="6">
        <v>45547</v>
      </c>
      <c r="C403" t="s">
        <v>538</v>
      </c>
      <c r="D403" t="s">
        <v>128</v>
      </c>
      <c r="E403" t="s">
        <v>132</v>
      </c>
      <c r="F403" t="s">
        <v>72</v>
      </c>
      <c r="G403" t="s">
        <v>73</v>
      </c>
      <c r="H403" t="s">
        <v>102</v>
      </c>
      <c r="I403">
        <v>7087.14</v>
      </c>
      <c r="J403">
        <v>9</v>
      </c>
      <c r="K403">
        <v>0.15</v>
      </c>
      <c r="L403">
        <v>804.4</v>
      </c>
      <c r="M403" t="s">
        <v>68</v>
      </c>
      <c r="N403" t="s">
        <v>44</v>
      </c>
      <c r="O403" t="str">
        <f t="shared" si="12"/>
        <v>Good</v>
      </c>
      <c r="P403">
        <f t="shared" si="13"/>
        <v>787.46</v>
      </c>
      <c r="Q403">
        <v>45547</v>
      </c>
      <c r="R403">
        <f>YEAR(Table1[[#This Row],[Order_Date_New]])</f>
        <v>2024</v>
      </c>
      <c r="S403">
        <f>MONTH(Table1[[#This Row],[Order_Date_New]])</f>
        <v>9</v>
      </c>
      <c r="T403" t="str">
        <f>TEXT(Table1[[#This Row],[Order_Date_New]],"mmmm")</f>
        <v>September</v>
      </c>
      <c r="U403">
        <f>Table1[[#This Row],[Profit]]/Table1[[#This Row],[Sales]]</f>
        <v>0.11350135597716426</v>
      </c>
      <c r="V403" t="str">
        <f>IF(Table1[[#This Row],[Discount]]=0,"No Discount",IF(Table1[[#This Row],[Discount]]&lt;=0.1,"Low",IF(Table1[[#This Row],[Discount]]&lt;=0.2,"medium","high")))</f>
        <v>medium</v>
      </c>
    </row>
    <row r="404" spans="1:22" x14ac:dyDescent="0.3">
      <c r="A404" t="s">
        <v>676</v>
      </c>
      <c r="B404" s="6">
        <v>45663</v>
      </c>
      <c r="C404" t="s">
        <v>654</v>
      </c>
      <c r="D404" t="s">
        <v>53</v>
      </c>
      <c r="E404" t="s">
        <v>107</v>
      </c>
      <c r="F404" t="s">
        <v>26</v>
      </c>
      <c r="G404" t="s">
        <v>27</v>
      </c>
      <c r="H404" t="s">
        <v>200</v>
      </c>
      <c r="I404">
        <v>3653.12</v>
      </c>
      <c r="J404">
        <v>4</v>
      </c>
      <c r="K404">
        <v>0.15</v>
      </c>
      <c r="L404">
        <v>-154.34</v>
      </c>
      <c r="M404" t="s">
        <v>105</v>
      </c>
      <c r="N404" t="s">
        <v>44</v>
      </c>
      <c r="O404" t="str">
        <f t="shared" si="12"/>
        <v>Bad</v>
      </c>
      <c r="P404">
        <f t="shared" si="13"/>
        <v>913.28</v>
      </c>
      <c r="Q404">
        <v>45663</v>
      </c>
      <c r="R404">
        <f>YEAR(Table1[[#This Row],[Order_Date_New]])</f>
        <v>2025</v>
      </c>
      <c r="S404">
        <f>MONTH(Table1[[#This Row],[Order_Date_New]])</f>
        <v>1</v>
      </c>
      <c r="T404" t="str">
        <f>TEXT(Table1[[#This Row],[Order_Date_New]],"mmmm")</f>
        <v>January</v>
      </c>
      <c r="U404">
        <f>Table1[[#This Row],[Profit]]/Table1[[#This Row],[Sales]]</f>
        <v>-4.2248817449194113E-2</v>
      </c>
      <c r="V404" t="str">
        <f>IF(Table1[[#This Row],[Discount]]=0,"No Discount",IF(Table1[[#This Row],[Discount]]&lt;=0.1,"Low",IF(Table1[[#This Row],[Discount]]&lt;=0.2,"medium","high")))</f>
        <v>medium</v>
      </c>
    </row>
    <row r="405" spans="1:22" x14ac:dyDescent="0.3">
      <c r="A405" t="s">
        <v>677</v>
      </c>
      <c r="B405" s="6">
        <v>45499</v>
      </c>
      <c r="C405" t="s">
        <v>191</v>
      </c>
      <c r="D405" t="s">
        <v>24</v>
      </c>
      <c r="E405" t="s">
        <v>59</v>
      </c>
      <c r="F405" t="s">
        <v>72</v>
      </c>
      <c r="G405" t="s">
        <v>111</v>
      </c>
      <c r="H405" t="s">
        <v>182</v>
      </c>
      <c r="I405">
        <v>1387.9</v>
      </c>
      <c r="J405">
        <v>2</v>
      </c>
      <c r="K405">
        <v>0.05</v>
      </c>
      <c r="L405">
        <v>263.99</v>
      </c>
      <c r="M405" t="s">
        <v>49</v>
      </c>
      <c r="N405" t="s">
        <v>80</v>
      </c>
      <c r="O405" t="str">
        <f t="shared" si="12"/>
        <v>Bad</v>
      </c>
      <c r="P405">
        <f t="shared" si="13"/>
        <v>693.95</v>
      </c>
      <c r="Q405">
        <v>45499</v>
      </c>
      <c r="R405">
        <f>YEAR(Table1[[#This Row],[Order_Date_New]])</f>
        <v>2024</v>
      </c>
      <c r="S405">
        <f>MONTH(Table1[[#This Row],[Order_Date_New]])</f>
        <v>7</v>
      </c>
      <c r="T405" t="str">
        <f>TEXT(Table1[[#This Row],[Order_Date_New]],"mmmm")</f>
        <v>July</v>
      </c>
      <c r="U405">
        <f>Table1[[#This Row],[Profit]]/Table1[[#This Row],[Sales]]</f>
        <v>0.19020822825852007</v>
      </c>
      <c r="V405" t="str">
        <f>IF(Table1[[#This Row],[Discount]]=0,"No Discount",IF(Table1[[#This Row],[Discount]]&lt;=0.1,"Low",IF(Table1[[#This Row],[Discount]]&lt;=0.2,"medium","high")))</f>
        <v>Low</v>
      </c>
    </row>
    <row r="406" spans="1:22" x14ac:dyDescent="0.3">
      <c r="A406" t="s">
        <v>678</v>
      </c>
      <c r="B406" s="6">
        <v>45545</v>
      </c>
      <c r="C406" t="s">
        <v>401</v>
      </c>
      <c r="D406" t="s">
        <v>128</v>
      </c>
      <c r="E406" t="s">
        <v>146</v>
      </c>
      <c r="F406" t="s">
        <v>60</v>
      </c>
      <c r="G406" t="s">
        <v>78</v>
      </c>
      <c r="H406" t="s">
        <v>222</v>
      </c>
      <c r="I406">
        <v>2789.7</v>
      </c>
      <c r="J406">
        <v>3</v>
      </c>
      <c r="K406">
        <v>0.05</v>
      </c>
      <c r="L406">
        <v>1084.24</v>
      </c>
      <c r="M406" t="s">
        <v>37</v>
      </c>
      <c r="N406" t="s">
        <v>38</v>
      </c>
      <c r="O406" t="str">
        <f t="shared" si="12"/>
        <v>Bad</v>
      </c>
      <c r="P406">
        <f t="shared" si="13"/>
        <v>929.9</v>
      </c>
      <c r="Q406">
        <v>45545</v>
      </c>
      <c r="R406">
        <f>YEAR(Table1[[#This Row],[Order_Date_New]])</f>
        <v>2024</v>
      </c>
      <c r="S406">
        <f>MONTH(Table1[[#This Row],[Order_Date_New]])</f>
        <v>9</v>
      </c>
      <c r="T406" t="str">
        <f>TEXT(Table1[[#This Row],[Order_Date_New]],"mmmm")</f>
        <v>September</v>
      </c>
      <c r="U406">
        <f>Table1[[#This Row],[Profit]]/Table1[[#This Row],[Sales]]</f>
        <v>0.38865827866795716</v>
      </c>
      <c r="V406" t="str">
        <f>IF(Table1[[#This Row],[Discount]]=0,"No Discount",IF(Table1[[#This Row],[Discount]]&lt;=0.1,"Low",IF(Table1[[#This Row],[Discount]]&lt;=0.2,"medium","high")))</f>
        <v>Low</v>
      </c>
    </row>
    <row r="407" spans="1:22" x14ac:dyDescent="0.3">
      <c r="A407" t="s">
        <v>679</v>
      </c>
      <c r="B407" s="6">
        <v>45645</v>
      </c>
      <c r="C407" t="s">
        <v>458</v>
      </c>
      <c r="D407" t="s">
        <v>128</v>
      </c>
      <c r="E407" t="s">
        <v>202</v>
      </c>
      <c r="F407" t="s">
        <v>26</v>
      </c>
      <c r="G407" t="s">
        <v>41</v>
      </c>
      <c r="H407" t="s">
        <v>189</v>
      </c>
      <c r="I407">
        <v>1766.78</v>
      </c>
      <c r="J407">
        <v>2</v>
      </c>
      <c r="K407">
        <v>0.2</v>
      </c>
      <c r="L407">
        <v>400.92</v>
      </c>
      <c r="M407" t="s">
        <v>37</v>
      </c>
      <c r="N407" t="s">
        <v>80</v>
      </c>
      <c r="O407" t="str">
        <f t="shared" si="12"/>
        <v>Bad</v>
      </c>
      <c r="P407">
        <f t="shared" si="13"/>
        <v>883.39</v>
      </c>
      <c r="Q407">
        <v>45645</v>
      </c>
      <c r="R407">
        <f>YEAR(Table1[[#This Row],[Order_Date_New]])</f>
        <v>2024</v>
      </c>
      <c r="S407">
        <f>MONTH(Table1[[#This Row],[Order_Date_New]])</f>
        <v>12</v>
      </c>
      <c r="T407" t="str">
        <f>TEXT(Table1[[#This Row],[Order_Date_New]],"mmmm")</f>
        <v>December</v>
      </c>
      <c r="U407">
        <f>Table1[[#This Row],[Profit]]/Table1[[#This Row],[Sales]]</f>
        <v>0.22692129184165546</v>
      </c>
      <c r="V407" t="str">
        <f>IF(Table1[[#This Row],[Discount]]=0,"No Discount",IF(Table1[[#This Row],[Discount]]&lt;=0.1,"Low",IF(Table1[[#This Row],[Discount]]&lt;=0.2,"medium","high")))</f>
        <v>medium</v>
      </c>
    </row>
    <row r="408" spans="1:22" x14ac:dyDescent="0.3">
      <c r="A408" t="s">
        <v>680</v>
      </c>
      <c r="B408" s="6">
        <v>45494</v>
      </c>
      <c r="C408" t="s">
        <v>396</v>
      </c>
      <c r="D408" t="s">
        <v>128</v>
      </c>
      <c r="E408" t="s">
        <v>202</v>
      </c>
      <c r="F408" t="s">
        <v>72</v>
      </c>
      <c r="G408" t="s">
        <v>111</v>
      </c>
      <c r="H408" t="s">
        <v>112</v>
      </c>
      <c r="I408">
        <v>452.67</v>
      </c>
      <c r="J408">
        <v>3</v>
      </c>
      <c r="K408">
        <v>0.2</v>
      </c>
      <c r="L408">
        <v>-36.07</v>
      </c>
      <c r="M408" t="s">
        <v>90</v>
      </c>
      <c r="N408" t="s">
        <v>30</v>
      </c>
      <c r="O408" t="str">
        <f t="shared" si="12"/>
        <v>Bad</v>
      </c>
      <c r="P408">
        <f t="shared" si="13"/>
        <v>150.89000000000001</v>
      </c>
      <c r="Q408">
        <v>45494</v>
      </c>
      <c r="R408">
        <f>YEAR(Table1[[#This Row],[Order_Date_New]])</f>
        <v>2024</v>
      </c>
      <c r="S408">
        <f>MONTH(Table1[[#This Row],[Order_Date_New]])</f>
        <v>7</v>
      </c>
      <c r="T408" t="str">
        <f>TEXT(Table1[[#This Row],[Order_Date_New]],"mmmm")</f>
        <v>July</v>
      </c>
      <c r="U408">
        <f>Table1[[#This Row],[Profit]]/Table1[[#This Row],[Sales]]</f>
        <v>-7.968277111361477E-2</v>
      </c>
      <c r="V408" t="str">
        <f>IF(Table1[[#This Row],[Discount]]=0,"No Discount",IF(Table1[[#This Row],[Discount]]&lt;=0.1,"Low",IF(Table1[[#This Row],[Discount]]&lt;=0.2,"medium","high")))</f>
        <v>medium</v>
      </c>
    </row>
    <row r="409" spans="1:22" x14ac:dyDescent="0.3">
      <c r="A409" t="s">
        <v>681</v>
      </c>
      <c r="B409" s="6">
        <v>45722</v>
      </c>
      <c r="C409" t="s">
        <v>365</v>
      </c>
      <c r="D409" t="s">
        <v>128</v>
      </c>
      <c r="E409" t="s">
        <v>202</v>
      </c>
      <c r="F409" t="s">
        <v>26</v>
      </c>
      <c r="G409" t="s">
        <v>41</v>
      </c>
      <c r="H409" t="s">
        <v>189</v>
      </c>
      <c r="I409">
        <v>4280.8999999999996</v>
      </c>
      <c r="J409">
        <v>5</v>
      </c>
      <c r="K409">
        <v>0.2</v>
      </c>
      <c r="L409">
        <v>-253.87</v>
      </c>
      <c r="M409" t="s">
        <v>49</v>
      </c>
      <c r="N409" t="s">
        <v>44</v>
      </c>
      <c r="O409" t="str">
        <f t="shared" si="12"/>
        <v>Bad</v>
      </c>
      <c r="P409">
        <f t="shared" si="13"/>
        <v>856.18</v>
      </c>
      <c r="Q409">
        <v>45722</v>
      </c>
      <c r="R409">
        <f>YEAR(Table1[[#This Row],[Order_Date_New]])</f>
        <v>2025</v>
      </c>
      <c r="S409">
        <f>MONTH(Table1[[#This Row],[Order_Date_New]])</f>
        <v>3</v>
      </c>
      <c r="T409" t="str">
        <f>TEXT(Table1[[#This Row],[Order_Date_New]],"mmmm")</f>
        <v>March</v>
      </c>
      <c r="U409">
        <f>Table1[[#This Row],[Profit]]/Table1[[#This Row],[Sales]]</f>
        <v>-5.9302950314186274E-2</v>
      </c>
      <c r="V409" t="str">
        <f>IF(Table1[[#This Row],[Discount]]=0,"No Discount",IF(Table1[[#This Row],[Discount]]&lt;=0.1,"Low",IF(Table1[[#This Row],[Discount]]&lt;=0.2,"medium","high")))</f>
        <v>medium</v>
      </c>
    </row>
    <row r="410" spans="1:22" x14ac:dyDescent="0.3">
      <c r="A410" t="s">
        <v>682</v>
      </c>
      <c r="B410" s="6">
        <v>45767</v>
      </c>
      <c r="C410" t="s">
        <v>410</v>
      </c>
      <c r="D410" t="s">
        <v>128</v>
      </c>
      <c r="E410" t="s">
        <v>129</v>
      </c>
      <c r="F410" t="s">
        <v>26</v>
      </c>
      <c r="G410" t="s">
        <v>35</v>
      </c>
      <c r="H410" t="s">
        <v>55</v>
      </c>
      <c r="I410">
        <v>2076.1999999999998</v>
      </c>
      <c r="J410">
        <v>5</v>
      </c>
      <c r="K410">
        <v>0.15</v>
      </c>
      <c r="L410">
        <v>-31.49</v>
      </c>
      <c r="M410" t="s">
        <v>113</v>
      </c>
      <c r="N410" t="s">
        <v>38</v>
      </c>
      <c r="O410" t="str">
        <f t="shared" si="12"/>
        <v>Bad</v>
      </c>
      <c r="P410">
        <f t="shared" si="13"/>
        <v>415.23999999999995</v>
      </c>
      <c r="Q410">
        <v>45767</v>
      </c>
      <c r="R410">
        <f>YEAR(Table1[[#This Row],[Order_Date_New]])</f>
        <v>2025</v>
      </c>
      <c r="S410">
        <f>MONTH(Table1[[#This Row],[Order_Date_New]])</f>
        <v>4</v>
      </c>
      <c r="T410" t="str">
        <f>TEXT(Table1[[#This Row],[Order_Date_New]],"mmmm")</f>
        <v>April</v>
      </c>
      <c r="U410">
        <f>Table1[[#This Row],[Profit]]/Table1[[#This Row],[Sales]]</f>
        <v>-1.516713226086119E-2</v>
      </c>
      <c r="V410" t="str">
        <f>IF(Table1[[#This Row],[Discount]]=0,"No Discount",IF(Table1[[#This Row],[Discount]]&lt;=0.1,"Low",IF(Table1[[#This Row],[Discount]]&lt;=0.2,"medium","high")))</f>
        <v>medium</v>
      </c>
    </row>
    <row r="411" spans="1:22" x14ac:dyDescent="0.3">
      <c r="A411" t="s">
        <v>683</v>
      </c>
      <c r="B411" s="6">
        <v>45513</v>
      </c>
      <c r="C411" t="s">
        <v>510</v>
      </c>
      <c r="D411" t="s">
        <v>24</v>
      </c>
      <c r="E411" t="s">
        <v>59</v>
      </c>
      <c r="F411" t="s">
        <v>72</v>
      </c>
      <c r="G411" t="s">
        <v>73</v>
      </c>
      <c r="H411" t="s">
        <v>293</v>
      </c>
      <c r="I411">
        <v>42.26</v>
      </c>
      <c r="J411">
        <v>1</v>
      </c>
      <c r="K411">
        <v>0.2</v>
      </c>
      <c r="L411">
        <v>4.16</v>
      </c>
      <c r="M411" t="s">
        <v>49</v>
      </c>
      <c r="N411" t="s">
        <v>80</v>
      </c>
      <c r="O411" t="str">
        <f t="shared" si="12"/>
        <v>Bad</v>
      </c>
      <c r="P411">
        <f t="shared" si="13"/>
        <v>42.26</v>
      </c>
      <c r="Q411">
        <v>45513</v>
      </c>
      <c r="R411">
        <f>YEAR(Table1[[#This Row],[Order_Date_New]])</f>
        <v>2024</v>
      </c>
      <c r="S411">
        <f>MONTH(Table1[[#This Row],[Order_Date_New]])</f>
        <v>8</v>
      </c>
      <c r="T411" t="str">
        <f>TEXT(Table1[[#This Row],[Order_Date_New]],"mmmm")</f>
        <v>August</v>
      </c>
      <c r="U411">
        <f>Table1[[#This Row],[Profit]]/Table1[[#This Row],[Sales]]</f>
        <v>9.8438239469947952E-2</v>
      </c>
      <c r="V411" t="str">
        <f>IF(Table1[[#This Row],[Discount]]=0,"No Discount",IF(Table1[[#This Row],[Discount]]&lt;=0.1,"Low",IF(Table1[[#This Row],[Discount]]&lt;=0.2,"medium","high")))</f>
        <v>medium</v>
      </c>
    </row>
    <row r="412" spans="1:22" x14ac:dyDescent="0.3">
      <c r="A412" t="s">
        <v>684</v>
      </c>
      <c r="B412" s="6">
        <v>45817</v>
      </c>
      <c r="C412" t="s">
        <v>76</v>
      </c>
      <c r="D412" t="s">
        <v>24</v>
      </c>
      <c r="E412" t="s">
        <v>25</v>
      </c>
      <c r="F412" t="s">
        <v>60</v>
      </c>
      <c r="G412" t="s">
        <v>78</v>
      </c>
      <c r="H412" t="s">
        <v>222</v>
      </c>
      <c r="I412">
        <v>3026.55</v>
      </c>
      <c r="J412">
        <v>5</v>
      </c>
      <c r="K412">
        <v>0.05</v>
      </c>
      <c r="L412">
        <v>482.88</v>
      </c>
      <c r="M412" t="s">
        <v>105</v>
      </c>
      <c r="N412" t="s">
        <v>30</v>
      </c>
      <c r="O412" t="str">
        <f t="shared" si="12"/>
        <v>Bad</v>
      </c>
      <c r="P412">
        <f t="shared" si="13"/>
        <v>605.31000000000006</v>
      </c>
      <c r="Q412">
        <v>45817</v>
      </c>
      <c r="R412">
        <f>YEAR(Table1[[#This Row],[Order_Date_New]])</f>
        <v>2025</v>
      </c>
      <c r="S412">
        <f>MONTH(Table1[[#This Row],[Order_Date_New]])</f>
        <v>6</v>
      </c>
      <c r="T412" t="str">
        <f>TEXT(Table1[[#This Row],[Order_Date_New]],"mmmm")</f>
        <v>June</v>
      </c>
      <c r="U412">
        <f>Table1[[#This Row],[Profit]]/Table1[[#This Row],[Sales]]</f>
        <v>0.15954800019824553</v>
      </c>
      <c r="V412" t="str">
        <f>IF(Table1[[#This Row],[Discount]]=0,"No Discount",IF(Table1[[#This Row],[Discount]]&lt;=0.1,"Low",IF(Table1[[#This Row],[Discount]]&lt;=0.2,"medium","high")))</f>
        <v>Low</v>
      </c>
    </row>
    <row r="413" spans="1:22" x14ac:dyDescent="0.3">
      <c r="A413" t="s">
        <v>685</v>
      </c>
      <c r="B413" s="6">
        <v>45507</v>
      </c>
      <c r="C413" t="s">
        <v>92</v>
      </c>
      <c r="D413" t="s">
        <v>53</v>
      </c>
      <c r="E413" t="s">
        <v>54</v>
      </c>
      <c r="F413" t="s">
        <v>26</v>
      </c>
      <c r="G413" t="s">
        <v>35</v>
      </c>
      <c r="H413" t="s">
        <v>36</v>
      </c>
      <c r="I413">
        <v>8243.84</v>
      </c>
      <c r="J413">
        <v>8</v>
      </c>
      <c r="K413">
        <v>0.3</v>
      </c>
      <c r="L413">
        <v>-43.28</v>
      </c>
      <c r="M413" t="s">
        <v>29</v>
      </c>
      <c r="N413" t="s">
        <v>38</v>
      </c>
      <c r="O413" t="str">
        <f t="shared" si="12"/>
        <v>Good</v>
      </c>
      <c r="P413">
        <f t="shared" si="13"/>
        <v>1030.48</v>
      </c>
      <c r="Q413">
        <v>45507</v>
      </c>
      <c r="R413">
        <f>YEAR(Table1[[#This Row],[Order_Date_New]])</f>
        <v>2024</v>
      </c>
      <c r="S413">
        <f>MONTH(Table1[[#This Row],[Order_Date_New]])</f>
        <v>8</v>
      </c>
      <c r="T413" t="str">
        <f>TEXT(Table1[[#This Row],[Order_Date_New]],"mmmm")</f>
        <v>August</v>
      </c>
      <c r="U413">
        <f>Table1[[#This Row],[Profit]]/Table1[[#This Row],[Sales]]</f>
        <v>-5.2499805915689774E-3</v>
      </c>
      <c r="V413" t="str">
        <f>IF(Table1[[#This Row],[Discount]]=0,"No Discount",IF(Table1[[#This Row],[Discount]]&lt;=0.1,"Low",IF(Table1[[#This Row],[Discount]]&lt;=0.2,"medium","high")))</f>
        <v>high</v>
      </c>
    </row>
    <row r="414" spans="1:22" x14ac:dyDescent="0.3">
      <c r="A414" t="s">
        <v>686</v>
      </c>
      <c r="B414" s="6">
        <v>45630</v>
      </c>
      <c r="C414" t="s">
        <v>687</v>
      </c>
      <c r="D414" t="s">
        <v>24</v>
      </c>
      <c r="E414" t="s">
        <v>59</v>
      </c>
      <c r="F414" t="s">
        <v>60</v>
      </c>
      <c r="G414" t="s">
        <v>78</v>
      </c>
      <c r="H414" t="s">
        <v>125</v>
      </c>
      <c r="I414">
        <v>3262.12</v>
      </c>
      <c r="J414">
        <v>4</v>
      </c>
      <c r="K414">
        <v>0.25</v>
      </c>
      <c r="L414">
        <v>322.81</v>
      </c>
      <c r="M414" t="s">
        <v>29</v>
      </c>
      <c r="N414" t="s">
        <v>80</v>
      </c>
      <c r="O414" t="str">
        <f t="shared" si="12"/>
        <v>Bad</v>
      </c>
      <c r="P414">
        <f t="shared" si="13"/>
        <v>815.53</v>
      </c>
      <c r="Q414">
        <v>45630</v>
      </c>
      <c r="R414">
        <f>YEAR(Table1[[#This Row],[Order_Date_New]])</f>
        <v>2024</v>
      </c>
      <c r="S414">
        <f>MONTH(Table1[[#This Row],[Order_Date_New]])</f>
        <v>12</v>
      </c>
      <c r="T414" t="str">
        <f>TEXT(Table1[[#This Row],[Order_Date_New]],"mmmm")</f>
        <v>December</v>
      </c>
      <c r="U414">
        <f>Table1[[#This Row],[Profit]]/Table1[[#This Row],[Sales]]</f>
        <v>9.895711990975195E-2</v>
      </c>
      <c r="V414" t="str">
        <f>IF(Table1[[#This Row],[Discount]]=0,"No Discount",IF(Table1[[#This Row],[Discount]]&lt;=0.1,"Low",IF(Table1[[#This Row],[Discount]]&lt;=0.2,"medium","high")))</f>
        <v>high</v>
      </c>
    </row>
    <row r="415" spans="1:22" x14ac:dyDescent="0.3">
      <c r="A415" t="s">
        <v>688</v>
      </c>
      <c r="B415" s="6">
        <v>45842</v>
      </c>
      <c r="C415" t="s">
        <v>256</v>
      </c>
      <c r="D415" t="s">
        <v>24</v>
      </c>
      <c r="E415" t="s">
        <v>25</v>
      </c>
      <c r="F415" t="s">
        <v>60</v>
      </c>
      <c r="G415" t="s">
        <v>78</v>
      </c>
      <c r="H415" t="s">
        <v>79</v>
      </c>
      <c r="I415">
        <v>752.89</v>
      </c>
      <c r="J415">
        <v>1</v>
      </c>
      <c r="K415">
        <v>0.25</v>
      </c>
      <c r="L415">
        <v>-149.37</v>
      </c>
      <c r="M415" t="s">
        <v>29</v>
      </c>
      <c r="N415" t="s">
        <v>30</v>
      </c>
      <c r="O415" t="str">
        <f t="shared" si="12"/>
        <v>Bad</v>
      </c>
      <c r="P415">
        <f t="shared" si="13"/>
        <v>752.89</v>
      </c>
      <c r="Q415">
        <v>45842</v>
      </c>
      <c r="R415">
        <f>YEAR(Table1[[#This Row],[Order_Date_New]])</f>
        <v>2025</v>
      </c>
      <c r="S415">
        <f>MONTH(Table1[[#This Row],[Order_Date_New]])</f>
        <v>7</v>
      </c>
      <c r="T415" t="str">
        <f>TEXT(Table1[[#This Row],[Order_Date_New]],"mmmm")</f>
        <v>July</v>
      </c>
      <c r="U415">
        <f>Table1[[#This Row],[Profit]]/Table1[[#This Row],[Sales]]</f>
        <v>-0.19839551594522442</v>
      </c>
      <c r="V415" t="str">
        <f>IF(Table1[[#This Row],[Discount]]=0,"No Discount",IF(Table1[[#This Row],[Discount]]&lt;=0.1,"Low",IF(Table1[[#This Row],[Discount]]&lt;=0.2,"medium","high")))</f>
        <v>high</v>
      </c>
    </row>
    <row r="416" spans="1:22" x14ac:dyDescent="0.3">
      <c r="A416" t="s">
        <v>689</v>
      </c>
      <c r="B416" s="6">
        <v>45872</v>
      </c>
      <c r="C416" t="s">
        <v>248</v>
      </c>
      <c r="D416" t="s">
        <v>33</v>
      </c>
      <c r="E416" t="s">
        <v>48</v>
      </c>
      <c r="F416" t="s">
        <v>60</v>
      </c>
      <c r="G416" t="s">
        <v>78</v>
      </c>
      <c r="H416" t="s">
        <v>222</v>
      </c>
      <c r="I416">
        <v>508.69</v>
      </c>
      <c r="J416">
        <v>1</v>
      </c>
      <c r="K416">
        <v>0.3</v>
      </c>
      <c r="L416">
        <v>74.569999999999993</v>
      </c>
      <c r="M416" t="s">
        <v>105</v>
      </c>
      <c r="N416" t="s">
        <v>44</v>
      </c>
      <c r="O416" t="str">
        <f t="shared" si="12"/>
        <v>Bad</v>
      </c>
      <c r="P416">
        <f t="shared" si="13"/>
        <v>508.69</v>
      </c>
      <c r="Q416">
        <v>45872</v>
      </c>
      <c r="R416">
        <f>YEAR(Table1[[#This Row],[Order_Date_New]])</f>
        <v>2025</v>
      </c>
      <c r="S416">
        <f>MONTH(Table1[[#This Row],[Order_Date_New]])</f>
        <v>8</v>
      </c>
      <c r="T416" t="str">
        <f>TEXT(Table1[[#This Row],[Order_Date_New]],"mmmm")</f>
        <v>August</v>
      </c>
      <c r="U416">
        <f>Table1[[#This Row],[Profit]]/Table1[[#This Row],[Sales]]</f>
        <v>0.14659222709312153</v>
      </c>
      <c r="V416" t="str">
        <f>IF(Table1[[#This Row],[Discount]]=0,"No Discount",IF(Table1[[#This Row],[Discount]]&lt;=0.1,"Low",IF(Table1[[#This Row],[Discount]]&lt;=0.2,"medium","high")))</f>
        <v>high</v>
      </c>
    </row>
    <row r="417" spans="1:22" x14ac:dyDescent="0.3">
      <c r="A417" t="s">
        <v>690</v>
      </c>
      <c r="B417" s="6">
        <v>46013</v>
      </c>
      <c r="C417" t="s">
        <v>242</v>
      </c>
      <c r="D417" t="s">
        <v>33</v>
      </c>
      <c r="E417" t="s">
        <v>48</v>
      </c>
      <c r="F417" t="s">
        <v>26</v>
      </c>
      <c r="G417" t="s">
        <v>27</v>
      </c>
      <c r="H417" t="s">
        <v>28</v>
      </c>
      <c r="I417">
        <v>4004.96</v>
      </c>
      <c r="J417">
        <v>4</v>
      </c>
      <c r="K417">
        <v>0.15</v>
      </c>
      <c r="L417">
        <v>1040.3800000000001</v>
      </c>
      <c r="M417" t="s">
        <v>29</v>
      </c>
      <c r="N417" t="s">
        <v>80</v>
      </c>
      <c r="O417" t="str">
        <f t="shared" si="12"/>
        <v>Bad</v>
      </c>
      <c r="P417">
        <f t="shared" si="13"/>
        <v>1001.24</v>
      </c>
      <c r="Q417">
        <v>46013</v>
      </c>
      <c r="R417">
        <f>YEAR(Table1[[#This Row],[Order_Date_New]])</f>
        <v>2025</v>
      </c>
      <c r="S417">
        <f>MONTH(Table1[[#This Row],[Order_Date_New]])</f>
        <v>12</v>
      </c>
      <c r="T417" t="str">
        <f>TEXT(Table1[[#This Row],[Order_Date_New]],"mmmm")</f>
        <v>December</v>
      </c>
      <c r="U417">
        <f>Table1[[#This Row],[Profit]]/Table1[[#This Row],[Sales]]</f>
        <v>0.2597728816267828</v>
      </c>
      <c r="V417" t="str">
        <f>IF(Table1[[#This Row],[Discount]]=0,"No Discount",IF(Table1[[#This Row],[Discount]]&lt;=0.1,"Low",IF(Table1[[#This Row],[Discount]]&lt;=0.2,"medium","high")))</f>
        <v>medium</v>
      </c>
    </row>
    <row r="418" spans="1:22" x14ac:dyDescent="0.3">
      <c r="A418" t="s">
        <v>691</v>
      </c>
      <c r="B418" s="6">
        <v>45428</v>
      </c>
      <c r="C418" t="s">
        <v>521</v>
      </c>
      <c r="D418" t="s">
        <v>128</v>
      </c>
      <c r="E418" t="s">
        <v>202</v>
      </c>
      <c r="F418" t="s">
        <v>26</v>
      </c>
      <c r="G418" t="s">
        <v>41</v>
      </c>
      <c r="H418" t="s">
        <v>42</v>
      </c>
      <c r="I418">
        <v>902.06</v>
      </c>
      <c r="J418">
        <v>1</v>
      </c>
      <c r="K418">
        <v>0.2</v>
      </c>
      <c r="L418">
        <v>123.53</v>
      </c>
      <c r="M418" t="s">
        <v>29</v>
      </c>
      <c r="N418" t="s">
        <v>30</v>
      </c>
      <c r="O418" t="str">
        <f t="shared" si="12"/>
        <v>Bad</v>
      </c>
      <c r="P418">
        <f t="shared" si="13"/>
        <v>902.06</v>
      </c>
      <c r="Q418">
        <v>45428</v>
      </c>
      <c r="R418">
        <f>YEAR(Table1[[#This Row],[Order_Date_New]])</f>
        <v>2024</v>
      </c>
      <c r="S418">
        <f>MONTH(Table1[[#This Row],[Order_Date_New]])</f>
        <v>5</v>
      </c>
      <c r="T418" t="str">
        <f>TEXT(Table1[[#This Row],[Order_Date_New]],"mmmm")</f>
        <v>May</v>
      </c>
      <c r="U418">
        <f>Table1[[#This Row],[Profit]]/Table1[[#This Row],[Sales]]</f>
        <v>0.13694211028091258</v>
      </c>
      <c r="V418" t="str">
        <f>IF(Table1[[#This Row],[Discount]]=0,"No Discount",IF(Table1[[#This Row],[Discount]]&lt;=0.1,"Low",IF(Table1[[#This Row],[Discount]]&lt;=0.2,"medium","high")))</f>
        <v>medium</v>
      </c>
    </row>
    <row r="419" spans="1:22" x14ac:dyDescent="0.3">
      <c r="A419" t="s">
        <v>692</v>
      </c>
      <c r="B419" s="6">
        <v>45725</v>
      </c>
      <c r="C419" t="s">
        <v>588</v>
      </c>
      <c r="D419" t="s">
        <v>53</v>
      </c>
      <c r="E419" t="s">
        <v>87</v>
      </c>
      <c r="F419" t="s">
        <v>26</v>
      </c>
      <c r="G419" t="s">
        <v>27</v>
      </c>
      <c r="H419" t="s">
        <v>200</v>
      </c>
      <c r="I419">
        <v>408.2</v>
      </c>
      <c r="J419">
        <v>5</v>
      </c>
      <c r="K419">
        <v>0.15</v>
      </c>
      <c r="L419">
        <v>38.76</v>
      </c>
      <c r="M419" t="s">
        <v>105</v>
      </c>
      <c r="N419" t="s">
        <v>38</v>
      </c>
      <c r="O419" t="str">
        <f t="shared" si="12"/>
        <v>Bad</v>
      </c>
      <c r="P419">
        <f t="shared" si="13"/>
        <v>81.64</v>
      </c>
      <c r="Q419">
        <v>45725</v>
      </c>
      <c r="R419">
        <f>YEAR(Table1[[#This Row],[Order_Date_New]])</f>
        <v>2025</v>
      </c>
      <c r="S419">
        <f>MONTH(Table1[[#This Row],[Order_Date_New]])</f>
        <v>3</v>
      </c>
      <c r="T419" t="str">
        <f>TEXT(Table1[[#This Row],[Order_Date_New]],"mmmm")</f>
        <v>March</v>
      </c>
      <c r="U419">
        <f>Table1[[#This Row],[Profit]]/Table1[[#This Row],[Sales]]</f>
        <v>9.4953454189122974E-2</v>
      </c>
      <c r="V419" t="str">
        <f>IF(Table1[[#This Row],[Discount]]=0,"No Discount",IF(Table1[[#This Row],[Discount]]&lt;=0.1,"Low",IF(Table1[[#This Row],[Discount]]&lt;=0.2,"medium","high")))</f>
        <v>medium</v>
      </c>
    </row>
    <row r="420" spans="1:22" x14ac:dyDescent="0.3">
      <c r="A420" t="s">
        <v>693</v>
      </c>
      <c r="B420" s="6">
        <v>45738</v>
      </c>
      <c r="C420" t="s">
        <v>127</v>
      </c>
      <c r="D420" t="s">
        <v>24</v>
      </c>
      <c r="E420" t="s">
        <v>59</v>
      </c>
      <c r="F420" t="s">
        <v>26</v>
      </c>
      <c r="G420" t="s">
        <v>41</v>
      </c>
      <c r="H420" t="s">
        <v>108</v>
      </c>
      <c r="I420">
        <v>3865.2</v>
      </c>
      <c r="J420">
        <v>10</v>
      </c>
      <c r="K420">
        <v>0.05</v>
      </c>
      <c r="L420">
        <v>625.72</v>
      </c>
      <c r="M420" t="s">
        <v>49</v>
      </c>
      <c r="N420" t="s">
        <v>80</v>
      </c>
      <c r="O420" t="str">
        <f t="shared" si="12"/>
        <v>Bad</v>
      </c>
      <c r="P420">
        <f t="shared" si="13"/>
        <v>386.52</v>
      </c>
      <c r="Q420">
        <v>45738</v>
      </c>
      <c r="R420">
        <f>YEAR(Table1[[#This Row],[Order_Date_New]])</f>
        <v>2025</v>
      </c>
      <c r="S420">
        <f>MONTH(Table1[[#This Row],[Order_Date_New]])</f>
        <v>3</v>
      </c>
      <c r="T420" t="str">
        <f>TEXT(Table1[[#This Row],[Order_Date_New]],"mmmm")</f>
        <v>March</v>
      </c>
      <c r="U420">
        <f>Table1[[#This Row],[Profit]]/Table1[[#This Row],[Sales]]</f>
        <v>0.16188554279209358</v>
      </c>
      <c r="V420" t="str">
        <f>IF(Table1[[#This Row],[Discount]]=0,"No Discount",IF(Table1[[#This Row],[Discount]]&lt;=0.1,"Low",IF(Table1[[#This Row],[Discount]]&lt;=0.2,"medium","high")))</f>
        <v>Low</v>
      </c>
    </row>
    <row r="421" spans="1:22" x14ac:dyDescent="0.3">
      <c r="A421" t="s">
        <v>694</v>
      </c>
      <c r="B421" s="6">
        <v>45628</v>
      </c>
      <c r="C421" t="s">
        <v>695</v>
      </c>
      <c r="D421" t="s">
        <v>128</v>
      </c>
      <c r="E421" t="s">
        <v>129</v>
      </c>
      <c r="F421" t="s">
        <v>26</v>
      </c>
      <c r="G421" t="s">
        <v>27</v>
      </c>
      <c r="H421" t="s">
        <v>271</v>
      </c>
      <c r="I421">
        <v>2394.36</v>
      </c>
      <c r="J421">
        <v>3</v>
      </c>
      <c r="K421">
        <v>0</v>
      </c>
      <c r="L421">
        <v>261.64999999999998</v>
      </c>
      <c r="M421" t="s">
        <v>90</v>
      </c>
      <c r="N421" t="s">
        <v>38</v>
      </c>
      <c r="O421" t="str">
        <f t="shared" si="12"/>
        <v>Bad</v>
      </c>
      <c r="P421">
        <f t="shared" si="13"/>
        <v>798.12</v>
      </c>
      <c r="Q421">
        <v>45628</v>
      </c>
      <c r="R421">
        <f>YEAR(Table1[[#This Row],[Order_Date_New]])</f>
        <v>2024</v>
      </c>
      <c r="S421">
        <f>MONTH(Table1[[#This Row],[Order_Date_New]])</f>
        <v>12</v>
      </c>
      <c r="T421" t="str">
        <f>TEXT(Table1[[#This Row],[Order_Date_New]],"mmmm")</f>
        <v>December</v>
      </c>
      <c r="U421">
        <f>Table1[[#This Row],[Profit]]/Table1[[#This Row],[Sales]]</f>
        <v>0.10927763577741023</v>
      </c>
      <c r="V421" t="str">
        <f>IF(Table1[[#This Row],[Discount]]=0,"No Discount",IF(Table1[[#This Row],[Discount]]&lt;=0.1,"Low",IF(Table1[[#This Row],[Discount]]&lt;=0.2,"medium","high")))</f>
        <v>No Discount</v>
      </c>
    </row>
    <row r="422" spans="1:22" x14ac:dyDescent="0.3">
      <c r="A422" t="s">
        <v>696</v>
      </c>
      <c r="B422" s="6">
        <v>45967</v>
      </c>
      <c r="C422" t="s">
        <v>417</v>
      </c>
      <c r="D422" t="s">
        <v>33</v>
      </c>
      <c r="E422" t="s">
        <v>48</v>
      </c>
      <c r="F422" t="s">
        <v>60</v>
      </c>
      <c r="G422" t="s">
        <v>78</v>
      </c>
      <c r="H422" t="s">
        <v>79</v>
      </c>
      <c r="I422">
        <v>146.54</v>
      </c>
      <c r="J422">
        <v>1</v>
      </c>
      <c r="K422">
        <v>0.05</v>
      </c>
      <c r="L422">
        <v>36.44</v>
      </c>
      <c r="M422" t="s">
        <v>133</v>
      </c>
      <c r="N422" t="s">
        <v>44</v>
      </c>
      <c r="O422" t="str">
        <f t="shared" si="12"/>
        <v>Bad</v>
      </c>
      <c r="P422">
        <f t="shared" si="13"/>
        <v>146.54</v>
      </c>
      <c r="Q422">
        <v>45967</v>
      </c>
      <c r="R422">
        <f>YEAR(Table1[[#This Row],[Order_Date_New]])</f>
        <v>2025</v>
      </c>
      <c r="S422">
        <f>MONTH(Table1[[#This Row],[Order_Date_New]])</f>
        <v>11</v>
      </c>
      <c r="T422" t="str">
        <f>TEXT(Table1[[#This Row],[Order_Date_New]],"mmmm")</f>
        <v>November</v>
      </c>
      <c r="U422">
        <f>Table1[[#This Row],[Profit]]/Table1[[#This Row],[Sales]]</f>
        <v>0.24866930530913062</v>
      </c>
      <c r="V422" t="str">
        <f>IF(Table1[[#This Row],[Discount]]=0,"No Discount",IF(Table1[[#This Row],[Discount]]&lt;=0.1,"Low",IF(Table1[[#This Row],[Discount]]&lt;=0.2,"medium","high")))</f>
        <v>Low</v>
      </c>
    </row>
    <row r="423" spans="1:22" x14ac:dyDescent="0.3">
      <c r="A423" t="s">
        <v>697</v>
      </c>
      <c r="B423" s="6">
        <v>45891</v>
      </c>
      <c r="C423" t="s">
        <v>698</v>
      </c>
      <c r="D423" t="s">
        <v>128</v>
      </c>
      <c r="E423" t="s">
        <v>202</v>
      </c>
      <c r="F423" t="s">
        <v>72</v>
      </c>
      <c r="G423" t="s">
        <v>73</v>
      </c>
      <c r="H423" t="s">
        <v>293</v>
      </c>
      <c r="I423">
        <v>5529.66</v>
      </c>
      <c r="J423">
        <v>6</v>
      </c>
      <c r="K423">
        <v>0.05</v>
      </c>
      <c r="L423">
        <v>1605.49</v>
      </c>
      <c r="M423" t="s">
        <v>105</v>
      </c>
      <c r="N423" t="s">
        <v>30</v>
      </c>
      <c r="O423" t="str">
        <f t="shared" si="12"/>
        <v>Bad</v>
      </c>
      <c r="P423">
        <f t="shared" si="13"/>
        <v>921.61</v>
      </c>
      <c r="Q423">
        <v>45891</v>
      </c>
      <c r="R423">
        <f>YEAR(Table1[[#This Row],[Order_Date_New]])</f>
        <v>2025</v>
      </c>
      <c r="S423">
        <f>MONTH(Table1[[#This Row],[Order_Date_New]])</f>
        <v>8</v>
      </c>
      <c r="T423" t="str">
        <f>TEXT(Table1[[#This Row],[Order_Date_New]],"mmmm")</f>
        <v>August</v>
      </c>
      <c r="U423">
        <f>Table1[[#This Row],[Profit]]/Table1[[#This Row],[Sales]]</f>
        <v>0.29034153998618362</v>
      </c>
      <c r="V423" t="str">
        <f>IF(Table1[[#This Row],[Discount]]=0,"No Discount",IF(Table1[[#This Row],[Discount]]&lt;=0.1,"Low",IF(Table1[[#This Row],[Discount]]&lt;=0.2,"medium","high")))</f>
        <v>Low</v>
      </c>
    </row>
    <row r="424" spans="1:22" x14ac:dyDescent="0.3">
      <c r="A424" t="s">
        <v>699</v>
      </c>
      <c r="B424" s="6">
        <v>45791</v>
      </c>
      <c r="C424" t="s">
        <v>268</v>
      </c>
      <c r="D424" t="s">
        <v>128</v>
      </c>
      <c r="E424" t="s">
        <v>132</v>
      </c>
      <c r="F424" t="s">
        <v>72</v>
      </c>
      <c r="G424" t="s">
        <v>111</v>
      </c>
      <c r="H424" t="s">
        <v>112</v>
      </c>
      <c r="I424">
        <v>1571.43</v>
      </c>
      <c r="J424">
        <v>3</v>
      </c>
      <c r="K424">
        <v>0</v>
      </c>
      <c r="L424">
        <v>649.99</v>
      </c>
      <c r="M424" t="s">
        <v>68</v>
      </c>
      <c r="N424" t="s">
        <v>80</v>
      </c>
      <c r="O424" t="str">
        <f t="shared" si="12"/>
        <v>Bad</v>
      </c>
      <c r="P424">
        <f t="shared" si="13"/>
        <v>523.81000000000006</v>
      </c>
      <c r="Q424">
        <v>45791</v>
      </c>
      <c r="R424">
        <f>YEAR(Table1[[#This Row],[Order_Date_New]])</f>
        <v>2025</v>
      </c>
      <c r="S424">
        <f>MONTH(Table1[[#This Row],[Order_Date_New]])</f>
        <v>5</v>
      </c>
      <c r="T424" t="str">
        <f>TEXT(Table1[[#This Row],[Order_Date_New]],"mmmm")</f>
        <v>May</v>
      </c>
      <c r="U424">
        <f>Table1[[#This Row],[Profit]]/Table1[[#This Row],[Sales]]</f>
        <v>0.41362962397306913</v>
      </c>
      <c r="V424" t="str">
        <f>IF(Table1[[#This Row],[Discount]]=0,"No Discount",IF(Table1[[#This Row],[Discount]]&lt;=0.1,"Low",IF(Table1[[#This Row],[Discount]]&lt;=0.2,"medium","high")))</f>
        <v>No Discount</v>
      </c>
    </row>
    <row r="425" spans="1:22" x14ac:dyDescent="0.3">
      <c r="A425" t="s">
        <v>700</v>
      </c>
      <c r="B425" s="6">
        <v>45918</v>
      </c>
      <c r="C425" t="s">
        <v>463</v>
      </c>
      <c r="D425" t="s">
        <v>128</v>
      </c>
      <c r="E425" t="s">
        <v>129</v>
      </c>
      <c r="F425" t="s">
        <v>60</v>
      </c>
      <c r="G425" t="s">
        <v>61</v>
      </c>
      <c r="H425" t="s">
        <v>67</v>
      </c>
      <c r="I425">
        <v>207.7</v>
      </c>
      <c r="J425">
        <v>10</v>
      </c>
      <c r="K425">
        <v>0</v>
      </c>
      <c r="L425">
        <v>43.11</v>
      </c>
      <c r="M425" t="s">
        <v>133</v>
      </c>
      <c r="N425" t="s">
        <v>44</v>
      </c>
      <c r="O425" t="str">
        <f t="shared" si="12"/>
        <v>Bad</v>
      </c>
      <c r="P425">
        <f t="shared" si="13"/>
        <v>20.77</v>
      </c>
      <c r="Q425">
        <v>45918</v>
      </c>
      <c r="R425">
        <f>YEAR(Table1[[#This Row],[Order_Date_New]])</f>
        <v>2025</v>
      </c>
      <c r="S425">
        <f>MONTH(Table1[[#This Row],[Order_Date_New]])</f>
        <v>9</v>
      </c>
      <c r="T425" t="str">
        <f>TEXT(Table1[[#This Row],[Order_Date_New]],"mmmm")</f>
        <v>September</v>
      </c>
      <c r="U425">
        <f>Table1[[#This Row],[Profit]]/Table1[[#This Row],[Sales]]</f>
        <v>0.20755897929706307</v>
      </c>
      <c r="V425" t="str">
        <f>IF(Table1[[#This Row],[Discount]]=0,"No Discount",IF(Table1[[#This Row],[Discount]]&lt;=0.1,"Low",IF(Table1[[#This Row],[Discount]]&lt;=0.2,"medium","high")))</f>
        <v>No Discount</v>
      </c>
    </row>
    <row r="426" spans="1:22" x14ac:dyDescent="0.3">
      <c r="A426" t="s">
        <v>701</v>
      </c>
      <c r="B426" s="6">
        <v>45352</v>
      </c>
      <c r="C426" t="s">
        <v>458</v>
      </c>
      <c r="D426" t="s">
        <v>24</v>
      </c>
      <c r="E426" t="s">
        <v>59</v>
      </c>
      <c r="F426" t="s">
        <v>72</v>
      </c>
      <c r="G426" t="s">
        <v>73</v>
      </c>
      <c r="H426" t="s">
        <v>293</v>
      </c>
      <c r="I426">
        <v>11497.1</v>
      </c>
      <c r="J426">
        <v>10</v>
      </c>
      <c r="K426">
        <v>0</v>
      </c>
      <c r="L426">
        <v>1824.67</v>
      </c>
      <c r="M426" t="s">
        <v>105</v>
      </c>
      <c r="N426" t="s">
        <v>30</v>
      </c>
      <c r="O426" t="str">
        <f t="shared" si="12"/>
        <v>Good</v>
      </c>
      <c r="P426">
        <f t="shared" si="13"/>
        <v>1149.71</v>
      </c>
      <c r="Q426">
        <v>45352</v>
      </c>
      <c r="R426">
        <f>YEAR(Table1[[#This Row],[Order_Date_New]])</f>
        <v>2024</v>
      </c>
      <c r="S426">
        <f>MONTH(Table1[[#This Row],[Order_Date_New]])</f>
        <v>3</v>
      </c>
      <c r="T426" t="str">
        <f>TEXT(Table1[[#This Row],[Order_Date_New]],"mmmm")</f>
        <v>March</v>
      </c>
      <c r="U426">
        <f>Table1[[#This Row],[Profit]]/Table1[[#This Row],[Sales]]</f>
        <v>0.15870697828147967</v>
      </c>
      <c r="V426" t="str">
        <f>IF(Table1[[#This Row],[Discount]]=0,"No Discount",IF(Table1[[#This Row],[Discount]]&lt;=0.1,"Low",IF(Table1[[#This Row],[Discount]]&lt;=0.2,"medium","high")))</f>
        <v>No Discount</v>
      </c>
    </row>
    <row r="427" spans="1:22" x14ac:dyDescent="0.3">
      <c r="A427" t="s">
        <v>702</v>
      </c>
      <c r="B427" s="6">
        <v>45339</v>
      </c>
      <c r="C427" t="s">
        <v>211</v>
      </c>
      <c r="D427" t="s">
        <v>128</v>
      </c>
      <c r="E427" t="s">
        <v>202</v>
      </c>
      <c r="F427" t="s">
        <v>72</v>
      </c>
      <c r="G427" t="s">
        <v>73</v>
      </c>
      <c r="H427" t="s">
        <v>102</v>
      </c>
      <c r="I427">
        <v>507.81</v>
      </c>
      <c r="J427">
        <v>3</v>
      </c>
      <c r="K427">
        <v>0.25</v>
      </c>
      <c r="L427">
        <v>52.99</v>
      </c>
      <c r="M427" t="s">
        <v>37</v>
      </c>
      <c r="N427" t="s">
        <v>30</v>
      </c>
      <c r="O427" t="str">
        <f t="shared" si="12"/>
        <v>Bad</v>
      </c>
      <c r="P427">
        <f t="shared" si="13"/>
        <v>169.27</v>
      </c>
      <c r="Q427">
        <v>45339</v>
      </c>
      <c r="R427">
        <f>YEAR(Table1[[#This Row],[Order_Date_New]])</f>
        <v>2024</v>
      </c>
      <c r="S427">
        <f>MONTH(Table1[[#This Row],[Order_Date_New]])</f>
        <v>2</v>
      </c>
      <c r="T427" t="str">
        <f>TEXT(Table1[[#This Row],[Order_Date_New]],"mmmm")</f>
        <v>February</v>
      </c>
      <c r="U427">
        <f>Table1[[#This Row],[Profit]]/Table1[[#This Row],[Sales]]</f>
        <v>0.1043500521848723</v>
      </c>
      <c r="V427" t="str">
        <f>IF(Table1[[#This Row],[Discount]]=0,"No Discount",IF(Table1[[#This Row],[Discount]]&lt;=0.1,"Low",IF(Table1[[#This Row],[Discount]]&lt;=0.2,"medium","high")))</f>
        <v>high</v>
      </c>
    </row>
    <row r="428" spans="1:22" x14ac:dyDescent="0.3">
      <c r="A428" t="s">
        <v>703</v>
      </c>
      <c r="B428" s="6">
        <v>45397</v>
      </c>
      <c r="C428" t="s">
        <v>704</v>
      </c>
      <c r="D428" t="s">
        <v>53</v>
      </c>
      <c r="E428" t="s">
        <v>107</v>
      </c>
      <c r="F428" t="s">
        <v>72</v>
      </c>
      <c r="G428" t="s">
        <v>88</v>
      </c>
      <c r="H428" t="s">
        <v>119</v>
      </c>
      <c r="I428">
        <v>1157.32</v>
      </c>
      <c r="J428">
        <v>2</v>
      </c>
      <c r="K428">
        <v>0</v>
      </c>
      <c r="L428">
        <v>466.51</v>
      </c>
      <c r="M428" t="s">
        <v>43</v>
      </c>
      <c r="N428" t="s">
        <v>44</v>
      </c>
      <c r="O428" t="str">
        <f t="shared" si="12"/>
        <v>Bad</v>
      </c>
      <c r="P428">
        <f t="shared" si="13"/>
        <v>578.66</v>
      </c>
      <c r="Q428">
        <v>45397</v>
      </c>
      <c r="R428">
        <f>YEAR(Table1[[#This Row],[Order_Date_New]])</f>
        <v>2024</v>
      </c>
      <c r="S428">
        <f>MONTH(Table1[[#This Row],[Order_Date_New]])</f>
        <v>4</v>
      </c>
      <c r="T428" t="str">
        <f>TEXT(Table1[[#This Row],[Order_Date_New]],"mmmm")</f>
        <v>April</v>
      </c>
      <c r="U428">
        <f>Table1[[#This Row],[Profit]]/Table1[[#This Row],[Sales]]</f>
        <v>0.40309508174057307</v>
      </c>
      <c r="V428" t="str">
        <f>IF(Table1[[#This Row],[Discount]]=0,"No Discount",IF(Table1[[#This Row],[Discount]]&lt;=0.1,"Low",IF(Table1[[#This Row],[Discount]]&lt;=0.2,"medium","high")))</f>
        <v>No Discount</v>
      </c>
    </row>
    <row r="429" spans="1:22" x14ac:dyDescent="0.3">
      <c r="A429" t="s">
        <v>705</v>
      </c>
      <c r="B429" s="6">
        <v>45905</v>
      </c>
      <c r="C429" t="s">
        <v>47</v>
      </c>
      <c r="D429" t="s">
        <v>33</v>
      </c>
      <c r="E429" t="s">
        <v>34</v>
      </c>
      <c r="F429" t="s">
        <v>26</v>
      </c>
      <c r="G429" t="s">
        <v>35</v>
      </c>
      <c r="H429" t="s">
        <v>173</v>
      </c>
      <c r="I429">
        <v>3190.4</v>
      </c>
      <c r="J429">
        <v>10</v>
      </c>
      <c r="K429">
        <v>0.1</v>
      </c>
      <c r="L429">
        <v>736.8</v>
      </c>
      <c r="M429" t="s">
        <v>113</v>
      </c>
      <c r="N429" t="s">
        <v>38</v>
      </c>
      <c r="O429" t="str">
        <f t="shared" si="12"/>
        <v>Bad</v>
      </c>
      <c r="P429">
        <f t="shared" si="13"/>
        <v>319.04000000000002</v>
      </c>
      <c r="Q429">
        <v>45905</v>
      </c>
      <c r="R429">
        <f>YEAR(Table1[[#This Row],[Order_Date_New]])</f>
        <v>2025</v>
      </c>
      <c r="S429">
        <f>MONTH(Table1[[#This Row],[Order_Date_New]])</f>
        <v>9</v>
      </c>
      <c r="T429" t="str">
        <f>TEXT(Table1[[#This Row],[Order_Date_New]],"mmmm")</f>
        <v>September</v>
      </c>
      <c r="U429">
        <f>Table1[[#This Row],[Profit]]/Table1[[#This Row],[Sales]]</f>
        <v>0.23094282848545636</v>
      </c>
      <c r="V429" t="str">
        <f>IF(Table1[[#This Row],[Discount]]=0,"No Discount",IF(Table1[[#This Row],[Discount]]&lt;=0.1,"Low",IF(Table1[[#This Row],[Discount]]&lt;=0.2,"medium","high")))</f>
        <v>Low</v>
      </c>
    </row>
    <row r="430" spans="1:22" x14ac:dyDescent="0.3">
      <c r="A430" t="s">
        <v>706</v>
      </c>
      <c r="B430" s="6">
        <v>46021</v>
      </c>
      <c r="C430" t="s">
        <v>707</v>
      </c>
      <c r="D430" t="s">
        <v>53</v>
      </c>
      <c r="E430" t="s">
        <v>107</v>
      </c>
      <c r="F430" t="s">
        <v>72</v>
      </c>
      <c r="G430" t="s">
        <v>111</v>
      </c>
      <c r="H430" t="s">
        <v>112</v>
      </c>
      <c r="I430">
        <v>1805.22</v>
      </c>
      <c r="J430">
        <v>6</v>
      </c>
      <c r="K430">
        <v>0</v>
      </c>
      <c r="L430">
        <v>175.7</v>
      </c>
      <c r="M430" t="s">
        <v>29</v>
      </c>
      <c r="N430" t="s">
        <v>44</v>
      </c>
      <c r="O430" t="str">
        <f t="shared" si="12"/>
        <v>Bad</v>
      </c>
      <c r="P430">
        <f t="shared" si="13"/>
        <v>300.87</v>
      </c>
      <c r="Q430">
        <v>46021</v>
      </c>
      <c r="R430">
        <f>YEAR(Table1[[#This Row],[Order_Date_New]])</f>
        <v>2025</v>
      </c>
      <c r="S430">
        <f>MONTH(Table1[[#This Row],[Order_Date_New]])</f>
        <v>12</v>
      </c>
      <c r="T430" t="str">
        <f>TEXT(Table1[[#This Row],[Order_Date_New]],"mmmm")</f>
        <v>December</v>
      </c>
      <c r="U430">
        <f>Table1[[#This Row],[Profit]]/Table1[[#This Row],[Sales]]</f>
        <v>9.732885742457982E-2</v>
      </c>
      <c r="V430" t="str">
        <f>IF(Table1[[#This Row],[Discount]]=0,"No Discount",IF(Table1[[#This Row],[Discount]]&lt;=0.1,"Low",IF(Table1[[#This Row],[Discount]]&lt;=0.2,"medium","high")))</f>
        <v>No Discount</v>
      </c>
    </row>
    <row r="431" spans="1:22" x14ac:dyDescent="0.3">
      <c r="A431" t="s">
        <v>708</v>
      </c>
      <c r="B431" s="6">
        <v>45815</v>
      </c>
      <c r="C431" t="s">
        <v>224</v>
      </c>
      <c r="D431" t="s">
        <v>53</v>
      </c>
      <c r="E431" t="s">
        <v>87</v>
      </c>
      <c r="F431" t="s">
        <v>26</v>
      </c>
      <c r="G431" t="s">
        <v>27</v>
      </c>
      <c r="H431" t="s">
        <v>271</v>
      </c>
      <c r="I431">
        <v>10047.69</v>
      </c>
      <c r="J431">
        <v>9</v>
      </c>
      <c r="K431">
        <v>0.3</v>
      </c>
      <c r="L431">
        <v>844.44</v>
      </c>
      <c r="M431" t="s">
        <v>113</v>
      </c>
      <c r="N431" t="s">
        <v>80</v>
      </c>
      <c r="O431" t="str">
        <f t="shared" si="12"/>
        <v>Good</v>
      </c>
      <c r="P431">
        <f t="shared" si="13"/>
        <v>1116.4100000000001</v>
      </c>
      <c r="Q431">
        <v>45815</v>
      </c>
      <c r="R431">
        <f>YEAR(Table1[[#This Row],[Order_Date_New]])</f>
        <v>2025</v>
      </c>
      <c r="S431">
        <f>MONTH(Table1[[#This Row],[Order_Date_New]])</f>
        <v>6</v>
      </c>
      <c r="T431" t="str">
        <f>TEXT(Table1[[#This Row],[Order_Date_New]],"mmmm")</f>
        <v>June</v>
      </c>
      <c r="U431">
        <f>Table1[[#This Row],[Profit]]/Table1[[#This Row],[Sales]]</f>
        <v>8.4043197988791452E-2</v>
      </c>
      <c r="V431" t="str">
        <f>IF(Table1[[#This Row],[Discount]]=0,"No Discount",IF(Table1[[#This Row],[Discount]]&lt;=0.1,"Low",IF(Table1[[#This Row],[Discount]]&lt;=0.2,"medium","high")))</f>
        <v>high</v>
      </c>
    </row>
    <row r="432" spans="1:22" x14ac:dyDescent="0.3">
      <c r="A432" t="s">
        <v>709</v>
      </c>
      <c r="B432" s="6">
        <v>45951</v>
      </c>
      <c r="C432" t="s">
        <v>148</v>
      </c>
      <c r="D432" t="s">
        <v>24</v>
      </c>
      <c r="E432" t="s">
        <v>59</v>
      </c>
      <c r="F432" t="s">
        <v>72</v>
      </c>
      <c r="G432" t="s">
        <v>88</v>
      </c>
      <c r="H432" t="s">
        <v>89</v>
      </c>
      <c r="I432">
        <v>1361.52</v>
      </c>
      <c r="J432">
        <v>4</v>
      </c>
      <c r="K432">
        <v>0.25</v>
      </c>
      <c r="L432">
        <v>85.72</v>
      </c>
      <c r="M432" t="s">
        <v>170</v>
      </c>
      <c r="N432" t="s">
        <v>80</v>
      </c>
      <c r="O432" t="str">
        <f t="shared" si="12"/>
        <v>Bad</v>
      </c>
      <c r="P432">
        <f t="shared" si="13"/>
        <v>340.38</v>
      </c>
      <c r="Q432">
        <v>45951</v>
      </c>
      <c r="R432">
        <f>YEAR(Table1[[#This Row],[Order_Date_New]])</f>
        <v>2025</v>
      </c>
      <c r="S432">
        <f>MONTH(Table1[[#This Row],[Order_Date_New]])</f>
        <v>10</v>
      </c>
      <c r="T432" t="str">
        <f>TEXT(Table1[[#This Row],[Order_Date_New]],"mmmm")</f>
        <v>October</v>
      </c>
      <c r="U432">
        <f>Table1[[#This Row],[Profit]]/Table1[[#This Row],[Sales]]</f>
        <v>6.295904577237206E-2</v>
      </c>
      <c r="V432" t="str">
        <f>IF(Table1[[#This Row],[Discount]]=0,"No Discount",IF(Table1[[#This Row],[Discount]]&lt;=0.1,"Low",IF(Table1[[#This Row],[Discount]]&lt;=0.2,"medium","high")))</f>
        <v>high</v>
      </c>
    </row>
    <row r="433" spans="1:22" x14ac:dyDescent="0.3">
      <c r="A433" t="s">
        <v>710</v>
      </c>
      <c r="B433" s="6">
        <v>45396</v>
      </c>
      <c r="C433" t="s">
        <v>384</v>
      </c>
      <c r="D433" t="s">
        <v>128</v>
      </c>
      <c r="E433" t="s">
        <v>146</v>
      </c>
      <c r="F433" t="s">
        <v>60</v>
      </c>
      <c r="G433" t="s">
        <v>78</v>
      </c>
      <c r="H433" t="s">
        <v>222</v>
      </c>
      <c r="I433">
        <v>126.08</v>
      </c>
      <c r="J433">
        <v>8</v>
      </c>
      <c r="K433">
        <v>0</v>
      </c>
      <c r="L433">
        <v>44.9</v>
      </c>
      <c r="M433" t="s">
        <v>68</v>
      </c>
      <c r="N433" t="s">
        <v>38</v>
      </c>
      <c r="O433" t="str">
        <f t="shared" si="12"/>
        <v>Bad</v>
      </c>
      <c r="P433">
        <f t="shared" si="13"/>
        <v>15.76</v>
      </c>
      <c r="Q433">
        <v>45396</v>
      </c>
      <c r="R433">
        <f>YEAR(Table1[[#This Row],[Order_Date_New]])</f>
        <v>2024</v>
      </c>
      <c r="S433">
        <f>MONTH(Table1[[#This Row],[Order_Date_New]])</f>
        <v>4</v>
      </c>
      <c r="T433" t="str">
        <f>TEXT(Table1[[#This Row],[Order_Date_New]],"mmmm")</f>
        <v>April</v>
      </c>
      <c r="U433">
        <f>Table1[[#This Row],[Profit]]/Table1[[#This Row],[Sales]]</f>
        <v>0.35612309644670048</v>
      </c>
      <c r="V433" t="str">
        <f>IF(Table1[[#This Row],[Discount]]=0,"No Discount",IF(Table1[[#This Row],[Discount]]&lt;=0.1,"Low",IF(Table1[[#This Row],[Discount]]&lt;=0.2,"medium","high")))</f>
        <v>No Discount</v>
      </c>
    </row>
    <row r="434" spans="1:22" x14ac:dyDescent="0.3">
      <c r="A434" t="s">
        <v>711</v>
      </c>
      <c r="B434" s="6">
        <v>45643</v>
      </c>
      <c r="C434" t="s">
        <v>427</v>
      </c>
      <c r="D434" t="s">
        <v>53</v>
      </c>
      <c r="E434" t="s">
        <v>107</v>
      </c>
      <c r="F434" t="s">
        <v>72</v>
      </c>
      <c r="G434" t="s">
        <v>73</v>
      </c>
      <c r="H434" t="s">
        <v>293</v>
      </c>
      <c r="I434">
        <v>2997.76</v>
      </c>
      <c r="J434">
        <v>4</v>
      </c>
      <c r="K434">
        <v>0</v>
      </c>
      <c r="L434">
        <v>1220.96</v>
      </c>
      <c r="M434" t="s">
        <v>90</v>
      </c>
      <c r="N434" t="s">
        <v>38</v>
      </c>
      <c r="O434" t="str">
        <f t="shared" si="12"/>
        <v>Bad</v>
      </c>
      <c r="P434">
        <f t="shared" si="13"/>
        <v>749.44</v>
      </c>
      <c r="Q434">
        <v>45643</v>
      </c>
      <c r="R434">
        <f>YEAR(Table1[[#This Row],[Order_Date_New]])</f>
        <v>2024</v>
      </c>
      <c r="S434">
        <f>MONTH(Table1[[#This Row],[Order_Date_New]])</f>
        <v>12</v>
      </c>
      <c r="T434" t="str">
        <f>TEXT(Table1[[#This Row],[Order_Date_New]],"mmmm")</f>
        <v>December</v>
      </c>
      <c r="U434">
        <f>Table1[[#This Row],[Profit]]/Table1[[#This Row],[Sales]]</f>
        <v>0.40729077711357814</v>
      </c>
      <c r="V434" t="str">
        <f>IF(Table1[[#This Row],[Discount]]=0,"No Discount",IF(Table1[[#This Row],[Discount]]&lt;=0.1,"Low",IF(Table1[[#This Row],[Discount]]&lt;=0.2,"medium","high")))</f>
        <v>No Discount</v>
      </c>
    </row>
    <row r="435" spans="1:22" x14ac:dyDescent="0.3">
      <c r="A435" t="s">
        <v>712</v>
      </c>
      <c r="B435" s="6">
        <v>45321</v>
      </c>
      <c r="C435" t="s">
        <v>350</v>
      </c>
      <c r="D435" t="s">
        <v>128</v>
      </c>
      <c r="E435" t="s">
        <v>129</v>
      </c>
      <c r="F435" t="s">
        <v>26</v>
      </c>
      <c r="G435" t="s">
        <v>41</v>
      </c>
      <c r="H435" t="s">
        <v>189</v>
      </c>
      <c r="I435">
        <v>63.45</v>
      </c>
      <c r="J435">
        <v>3</v>
      </c>
      <c r="K435">
        <v>0</v>
      </c>
      <c r="L435">
        <v>11.62</v>
      </c>
      <c r="M435" t="s">
        <v>49</v>
      </c>
      <c r="N435" t="s">
        <v>30</v>
      </c>
      <c r="O435" t="str">
        <f t="shared" si="12"/>
        <v>Bad</v>
      </c>
      <c r="P435">
        <f t="shared" si="13"/>
        <v>21.150000000000002</v>
      </c>
      <c r="Q435">
        <v>45321</v>
      </c>
      <c r="R435">
        <f>YEAR(Table1[[#This Row],[Order_Date_New]])</f>
        <v>2024</v>
      </c>
      <c r="S435">
        <f>MONTH(Table1[[#This Row],[Order_Date_New]])</f>
        <v>1</v>
      </c>
      <c r="T435" t="str">
        <f>TEXT(Table1[[#This Row],[Order_Date_New]],"mmmm")</f>
        <v>January</v>
      </c>
      <c r="U435">
        <f>Table1[[#This Row],[Profit]]/Table1[[#This Row],[Sales]]</f>
        <v>0.18313632781717887</v>
      </c>
      <c r="V435" t="str">
        <f>IF(Table1[[#This Row],[Discount]]=0,"No Discount",IF(Table1[[#This Row],[Discount]]&lt;=0.1,"Low",IF(Table1[[#This Row],[Discount]]&lt;=0.2,"medium","high")))</f>
        <v>No Discount</v>
      </c>
    </row>
    <row r="436" spans="1:22" x14ac:dyDescent="0.3">
      <c r="A436" t="s">
        <v>713</v>
      </c>
      <c r="B436" s="6">
        <v>45693</v>
      </c>
      <c r="C436" t="s">
        <v>197</v>
      </c>
      <c r="D436" t="s">
        <v>33</v>
      </c>
      <c r="E436" t="s">
        <v>48</v>
      </c>
      <c r="F436" t="s">
        <v>72</v>
      </c>
      <c r="G436" t="s">
        <v>73</v>
      </c>
      <c r="H436" t="s">
        <v>293</v>
      </c>
      <c r="I436">
        <v>1024.6099999999999</v>
      </c>
      <c r="J436">
        <v>1</v>
      </c>
      <c r="K436">
        <v>0.1</v>
      </c>
      <c r="L436">
        <v>-12.82</v>
      </c>
      <c r="M436" t="s">
        <v>170</v>
      </c>
      <c r="N436" t="s">
        <v>30</v>
      </c>
      <c r="O436" t="str">
        <f t="shared" si="12"/>
        <v>Bad</v>
      </c>
      <c r="P436">
        <f t="shared" si="13"/>
        <v>1024.6099999999999</v>
      </c>
      <c r="Q436">
        <v>45693</v>
      </c>
      <c r="R436">
        <f>YEAR(Table1[[#This Row],[Order_Date_New]])</f>
        <v>2025</v>
      </c>
      <c r="S436">
        <f>MONTH(Table1[[#This Row],[Order_Date_New]])</f>
        <v>2</v>
      </c>
      <c r="T436" t="str">
        <f>TEXT(Table1[[#This Row],[Order_Date_New]],"mmmm")</f>
        <v>February</v>
      </c>
      <c r="U436">
        <f>Table1[[#This Row],[Profit]]/Table1[[#This Row],[Sales]]</f>
        <v>-1.2512077766174448E-2</v>
      </c>
      <c r="V436" t="str">
        <f>IF(Table1[[#This Row],[Discount]]=0,"No Discount",IF(Table1[[#This Row],[Discount]]&lt;=0.1,"Low",IF(Table1[[#This Row],[Discount]]&lt;=0.2,"medium","high")))</f>
        <v>Low</v>
      </c>
    </row>
    <row r="437" spans="1:22" x14ac:dyDescent="0.3">
      <c r="A437" t="s">
        <v>714</v>
      </c>
      <c r="B437" s="6">
        <v>45451</v>
      </c>
      <c r="C437" t="s">
        <v>263</v>
      </c>
      <c r="D437" t="s">
        <v>53</v>
      </c>
      <c r="E437" t="s">
        <v>54</v>
      </c>
      <c r="F437" t="s">
        <v>26</v>
      </c>
      <c r="G437" t="s">
        <v>27</v>
      </c>
      <c r="H437" t="s">
        <v>28</v>
      </c>
      <c r="I437">
        <v>2362.48</v>
      </c>
      <c r="J437">
        <v>2</v>
      </c>
      <c r="K437">
        <v>0.25</v>
      </c>
      <c r="L437">
        <v>418.07</v>
      </c>
      <c r="M437" t="s">
        <v>37</v>
      </c>
      <c r="N437" t="s">
        <v>38</v>
      </c>
      <c r="O437" t="str">
        <f t="shared" si="12"/>
        <v>Bad</v>
      </c>
      <c r="P437">
        <f t="shared" si="13"/>
        <v>1181.24</v>
      </c>
      <c r="Q437">
        <v>45451</v>
      </c>
      <c r="R437">
        <f>YEAR(Table1[[#This Row],[Order_Date_New]])</f>
        <v>2024</v>
      </c>
      <c r="S437">
        <f>MONTH(Table1[[#This Row],[Order_Date_New]])</f>
        <v>6</v>
      </c>
      <c r="T437" t="str">
        <f>TEXT(Table1[[#This Row],[Order_Date_New]],"mmmm")</f>
        <v>June</v>
      </c>
      <c r="U437">
        <f>Table1[[#This Row],[Profit]]/Table1[[#This Row],[Sales]]</f>
        <v>0.17696234465476957</v>
      </c>
      <c r="V437" t="str">
        <f>IF(Table1[[#This Row],[Discount]]=0,"No Discount",IF(Table1[[#This Row],[Discount]]&lt;=0.1,"Low",IF(Table1[[#This Row],[Discount]]&lt;=0.2,"medium","high")))</f>
        <v>high</v>
      </c>
    </row>
    <row r="438" spans="1:22" x14ac:dyDescent="0.3">
      <c r="A438" t="s">
        <v>715</v>
      </c>
      <c r="B438" s="6">
        <v>45532</v>
      </c>
      <c r="C438" t="s">
        <v>161</v>
      </c>
      <c r="D438" t="s">
        <v>33</v>
      </c>
      <c r="E438" t="s">
        <v>118</v>
      </c>
      <c r="F438" t="s">
        <v>60</v>
      </c>
      <c r="G438" t="s">
        <v>98</v>
      </c>
      <c r="H438" t="s">
        <v>141</v>
      </c>
      <c r="I438">
        <v>9152.64</v>
      </c>
      <c r="J438">
        <v>9</v>
      </c>
      <c r="K438">
        <v>0.15</v>
      </c>
      <c r="L438">
        <v>1847.76</v>
      </c>
      <c r="M438" t="s">
        <v>90</v>
      </c>
      <c r="N438" t="s">
        <v>44</v>
      </c>
      <c r="O438" t="str">
        <f t="shared" si="12"/>
        <v>Good</v>
      </c>
      <c r="P438">
        <f t="shared" si="13"/>
        <v>1016.9599999999999</v>
      </c>
      <c r="Q438">
        <v>45532</v>
      </c>
      <c r="R438">
        <f>YEAR(Table1[[#This Row],[Order_Date_New]])</f>
        <v>2024</v>
      </c>
      <c r="S438">
        <f>MONTH(Table1[[#This Row],[Order_Date_New]])</f>
        <v>8</v>
      </c>
      <c r="T438" t="str">
        <f>TEXT(Table1[[#This Row],[Order_Date_New]],"mmmm")</f>
        <v>August</v>
      </c>
      <c r="U438">
        <f>Table1[[#This Row],[Profit]]/Table1[[#This Row],[Sales]]</f>
        <v>0.20188273547304386</v>
      </c>
      <c r="V438" t="str">
        <f>IF(Table1[[#This Row],[Discount]]=0,"No Discount",IF(Table1[[#This Row],[Discount]]&lt;=0.1,"Low",IF(Table1[[#This Row],[Discount]]&lt;=0.2,"medium","high")))</f>
        <v>medium</v>
      </c>
    </row>
    <row r="439" spans="1:22" x14ac:dyDescent="0.3">
      <c r="A439" t="s">
        <v>716</v>
      </c>
      <c r="B439" s="6">
        <v>45437</v>
      </c>
      <c r="C439" t="s">
        <v>556</v>
      </c>
      <c r="D439" t="s">
        <v>128</v>
      </c>
      <c r="E439" t="s">
        <v>146</v>
      </c>
      <c r="F439" t="s">
        <v>72</v>
      </c>
      <c r="G439" t="s">
        <v>88</v>
      </c>
      <c r="H439" t="s">
        <v>89</v>
      </c>
      <c r="I439">
        <v>4602.1499999999996</v>
      </c>
      <c r="J439">
        <v>5</v>
      </c>
      <c r="K439">
        <v>0</v>
      </c>
      <c r="L439">
        <v>310.10000000000002</v>
      </c>
      <c r="M439" t="s">
        <v>133</v>
      </c>
      <c r="N439" t="s">
        <v>80</v>
      </c>
      <c r="O439" t="str">
        <f t="shared" si="12"/>
        <v>Bad</v>
      </c>
      <c r="P439">
        <f t="shared" si="13"/>
        <v>920.43</v>
      </c>
      <c r="Q439">
        <v>45437</v>
      </c>
      <c r="R439">
        <f>YEAR(Table1[[#This Row],[Order_Date_New]])</f>
        <v>2024</v>
      </c>
      <c r="S439">
        <f>MONTH(Table1[[#This Row],[Order_Date_New]])</f>
        <v>5</v>
      </c>
      <c r="T439" t="str">
        <f>TEXT(Table1[[#This Row],[Order_Date_New]],"mmmm")</f>
        <v>May</v>
      </c>
      <c r="U439">
        <f>Table1[[#This Row],[Profit]]/Table1[[#This Row],[Sales]]</f>
        <v>6.7381549927751166E-2</v>
      </c>
      <c r="V439" t="str">
        <f>IF(Table1[[#This Row],[Discount]]=0,"No Discount",IF(Table1[[#This Row],[Discount]]&lt;=0.1,"Low",IF(Table1[[#This Row],[Discount]]&lt;=0.2,"medium","high")))</f>
        <v>No Discount</v>
      </c>
    </row>
    <row r="440" spans="1:22" x14ac:dyDescent="0.3">
      <c r="A440" t="s">
        <v>717</v>
      </c>
      <c r="B440" s="6">
        <v>45325</v>
      </c>
      <c r="C440" t="s">
        <v>71</v>
      </c>
      <c r="D440" t="s">
        <v>128</v>
      </c>
      <c r="E440" t="s">
        <v>132</v>
      </c>
      <c r="F440" t="s">
        <v>26</v>
      </c>
      <c r="G440" t="s">
        <v>41</v>
      </c>
      <c r="H440" t="s">
        <v>108</v>
      </c>
      <c r="I440">
        <v>6929.34</v>
      </c>
      <c r="J440">
        <v>6</v>
      </c>
      <c r="K440">
        <v>0.1</v>
      </c>
      <c r="L440">
        <v>487.61</v>
      </c>
      <c r="M440" t="s">
        <v>113</v>
      </c>
      <c r="N440" t="s">
        <v>38</v>
      </c>
      <c r="O440" t="str">
        <f t="shared" si="12"/>
        <v>Bad</v>
      </c>
      <c r="P440">
        <f t="shared" si="13"/>
        <v>1154.8900000000001</v>
      </c>
      <c r="Q440">
        <v>45325</v>
      </c>
      <c r="R440">
        <f>YEAR(Table1[[#This Row],[Order_Date_New]])</f>
        <v>2024</v>
      </c>
      <c r="S440">
        <f>MONTH(Table1[[#This Row],[Order_Date_New]])</f>
        <v>2</v>
      </c>
      <c r="T440" t="str">
        <f>TEXT(Table1[[#This Row],[Order_Date_New]],"mmmm")</f>
        <v>February</v>
      </c>
      <c r="U440">
        <f>Table1[[#This Row],[Profit]]/Table1[[#This Row],[Sales]]</f>
        <v>7.0368895161732573E-2</v>
      </c>
      <c r="V440" t="str">
        <f>IF(Table1[[#This Row],[Discount]]=0,"No Discount",IF(Table1[[#This Row],[Discount]]&lt;=0.1,"Low",IF(Table1[[#This Row],[Discount]]&lt;=0.2,"medium","high")))</f>
        <v>Low</v>
      </c>
    </row>
    <row r="441" spans="1:22" x14ac:dyDescent="0.3">
      <c r="A441" t="s">
        <v>718</v>
      </c>
      <c r="B441" s="6">
        <v>45604</v>
      </c>
      <c r="C441" t="s">
        <v>588</v>
      </c>
      <c r="D441" t="s">
        <v>53</v>
      </c>
      <c r="E441" t="s">
        <v>77</v>
      </c>
      <c r="F441" t="s">
        <v>60</v>
      </c>
      <c r="G441" t="s">
        <v>61</v>
      </c>
      <c r="H441" t="s">
        <v>122</v>
      </c>
      <c r="I441">
        <v>75.260000000000005</v>
      </c>
      <c r="J441">
        <v>2</v>
      </c>
      <c r="K441">
        <v>0.3</v>
      </c>
      <c r="L441">
        <v>5.72</v>
      </c>
      <c r="M441" t="s">
        <v>29</v>
      </c>
      <c r="N441" t="s">
        <v>44</v>
      </c>
      <c r="O441" t="str">
        <f t="shared" si="12"/>
        <v>Bad</v>
      </c>
      <c r="P441">
        <f t="shared" si="13"/>
        <v>37.630000000000003</v>
      </c>
      <c r="Q441">
        <v>45604</v>
      </c>
      <c r="R441">
        <f>YEAR(Table1[[#This Row],[Order_Date_New]])</f>
        <v>2024</v>
      </c>
      <c r="S441">
        <f>MONTH(Table1[[#This Row],[Order_Date_New]])</f>
        <v>11</v>
      </c>
      <c r="T441" t="str">
        <f>TEXT(Table1[[#This Row],[Order_Date_New]],"mmmm")</f>
        <v>November</v>
      </c>
      <c r="U441">
        <f>Table1[[#This Row],[Profit]]/Table1[[#This Row],[Sales]]</f>
        <v>7.6003188944990696E-2</v>
      </c>
      <c r="V441" t="str">
        <f>IF(Table1[[#This Row],[Discount]]=0,"No Discount",IF(Table1[[#This Row],[Discount]]&lt;=0.1,"Low",IF(Table1[[#This Row],[Discount]]&lt;=0.2,"medium","high")))</f>
        <v>high</v>
      </c>
    </row>
    <row r="442" spans="1:22" x14ac:dyDescent="0.3">
      <c r="A442" t="s">
        <v>719</v>
      </c>
      <c r="B442" s="6">
        <v>45988</v>
      </c>
      <c r="C442" t="s">
        <v>206</v>
      </c>
      <c r="D442" t="s">
        <v>33</v>
      </c>
      <c r="E442" t="s">
        <v>118</v>
      </c>
      <c r="F442" t="s">
        <v>72</v>
      </c>
      <c r="G442" t="s">
        <v>88</v>
      </c>
      <c r="H442" t="s">
        <v>209</v>
      </c>
      <c r="I442">
        <v>1335.36</v>
      </c>
      <c r="J442">
        <v>8</v>
      </c>
      <c r="K442">
        <v>0.25</v>
      </c>
      <c r="L442">
        <v>-219.81</v>
      </c>
      <c r="M442" t="s">
        <v>170</v>
      </c>
      <c r="N442" t="s">
        <v>30</v>
      </c>
      <c r="O442" t="str">
        <f t="shared" si="12"/>
        <v>Bad</v>
      </c>
      <c r="P442">
        <f t="shared" si="13"/>
        <v>166.92</v>
      </c>
      <c r="Q442">
        <v>45988</v>
      </c>
      <c r="R442">
        <f>YEAR(Table1[[#This Row],[Order_Date_New]])</f>
        <v>2025</v>
      </c>
      <c r="S442">
        <f>MONTH(Table1[[#This Row],[Order_Date_New]])</f>
        <v>11</v>
      </c>
      <c r="T442" t="str">
        <f>TEXT(Table1[[#This Row],[Order_Date_New]],"mmmm")</f>
        <v>November</v>
      </c>
      <c r="U442">
        <f>Table1[[#This Row],[Profit]]/Table1[[#This Row],[Sales]]</f>
        <v>-0.1646072969086988</v>
      </c>
      <c r="V442" t="str">
        <f>IF(Table1[[#This Row],[Discount]]=0,"No Discount",IF(Table1[[#This Row],[Discount]]&lt;=0.1,"Low",IF(Table1[[#This Row],[Discount]]&lt;=0.2,"medium","high")))</f>
        <v>high</v>
      </c>
    </row>
    <row r="443" spans="1:22" x14ac:dyDescent="0.3">
      <c r="A443" t="s">
        <v>720</v>
      </c>
      <c r="B443" s="6">
        <v>45471</v>
      </c>
      <c r="C443" t="s">
        <v>315</v>
      </c>
      <c r="D443" t="s">
        <v>24</v>
      </c>
      <c r="E443" t="s">
        <v>84</v>
      </c>
      <c r="F443" t="s">
        <v>60</v>
      </c>
      <c r="G443" t="s">
        <v>78</v>
      </c>
      <c r="H443" t="s">
        <v>125</v>
      </c>
      <c r="I443">
        <v>4524.84</v>
      </c>
      <c r="J443">
        <v>6</v>
      </c>
      <c r="K443">
        <v>0.1</v>
      </c>
      <c r="L443">
        <v>1406.57</v>
      </c>
      <c r="M443" t="s">
        <v>133</v>
      </c>
      <c r="N443" t="s">
        <v>30</v>
      </c>
      <c r="O443" t="str">
        <f t="shared" si="12"/>
        <v>Bad</v>
      </c>
      <c r="P443">
        <f t="shared" si="13"/>
        <v>754.14</v>
      </c>
      <c r="Q443">
        <v>45471</v>
      </c>
      <c r="R443">
        <f>YEAR(Table1[[#This Row],[Order_Date_New]])</f>
        <v>2024</v>
      </c>
      <c r="S443">
        <f>MONTH(Table1[[#This Row],[Order_Date_New]])</f>
        <v>6</v>
      </c>
      <c r="T443" t="str">
        <f>TEXT(Table1[[#This Row],[Order_Date_New]],"mmmm")</f>
        <v>June</v>
      </c>
      <c r="U443">
        <f>Table1[[#This Row],[Profit]]/Table1[[#This Row],[Sales]]</f>
        <v>0.31085519045977311</v>
      </c>
      <c r="V443" t="str">
        <f>IF(Table1[[#This Row],[Discount]]=0,"No Discount",IF(Table1[[#This Row],[Discount]]&lt;=0.1,"Low",IF(Table1[[#This Row],[Discount]]&lt;=0.2,"medium","high")))</f>
        <v>Low</v>
      </c>
    </row>
    <row r="444" spans="1:22" x14ac:dyDescent="0.3">
      <c r="A444" t="s">
        <v>721</v>
      </c>
      <c r="B444" s="6">
        <v>45906</v>
      </c>
      <c r="C444" t="s">
        <v>215</v>
      </c>
      <c r="D444" t="s">
        <v>53</v>
      </c>
      <c r="E444" t="s">
        <v>107</v>
      </c>
      <c r="F444" t="s">
        <v>26</v>
      </c>
      <c r="G444" t="s">
        <v>41</v>
      </c>
      <c r="H444" t="s">
        <v>189</v>
      </c>
      <c r="I444">
        <v>430.1</v>
      </c>
      <c r="J444">
        <v>5</v>
      </c>
      <c r="K444">
        <v>0</v>
      </c>
      <c r="L444">
        <v>67.08</v>
      </c>
      <c r="M444" t="s">
        <v>37</v>
      </c>
      <c r="N444" t="s">
        <v>30</v>
      </c>
      <c r="O444" t="str">
        <f t="shared" si="12"/>
        <v>Bad</v>
      </c>
      <c r="P444">
        <f t="shared" si="13"/>
        <v>86.02000000000001</v>
      </c>
      <c r="Q444">
        <v>45906</v>
      </c>
      <c r="R444">
        <f>YEAR(Table1[[#This Row],[Order_Date_New]])</f>
        <v>2025</v>
      </c>
      <c r="S444">
        <f>MONTH(Table1[[#This Row],[Order_Date_New]])</f>
        <v>9</v>
      </c>
      <c r="T444" t="str">
        <f>TEXT(Table1[[#This Row],[Order_Date_New]],"mmmm")</f>
        <v>September</v>
      </c>
      <c r="U444">
        <f>Table1[[#This Row],[Profit]]/Table1[[#This Row],[Sales]]</f>
        <v>0.15596372936526387</v>
      </c>
      <c r="V444" t="str">
        <f>IF(Table1[[#This Row],[Discount]]=0,"No Discount",IF(Table1[[#This Row],[Discount]]&lt;=0.1,"Low",IF(Table1[[#This Row],[Discount]]&lt;=0.2,"medium","high")))</f>
        <v>No Discount</v>
      </c>
    </row>
    <row r="445" spans="1:22" x14ac:dyDescent="0.3">
      <c r="A445" t="s">
        <v>722</v>
      </c>
      <c r="B445" s="6">
        <v>45856</v>
      </c>
      <c r="C445" t="s">
        <v>152</v>
      </c>
      <c r="D445" t="s">
        <v>128</v>
      </c>
      <c r="E445" t="s">
        <v>146</v>
      </c>
      <c r="F445" t="s">
        <v>72</v>
      </c>
      <c r="G445" t="s">
        <v>73</v>
      </c>
      <c r="H445" t="s">
        <v>102</v>
      </c>
      <c r="I445">
        <v>1966.5</v>
      </c>
      <c r="J445">
        <v>6</v>
      </c>
      <c r="K445">
        <v>0</v>
      </c>
      <c r="L445">
        <v>320.10000000000002</v>
      </c>
      <c r="M445" t="s">
        <v>43</v>
      </c>
      <c r="N445" t="s">
        <v>80</v>
      </c>
      <c r="O445" t="str">
        <f t="shared" si="12"/>
        <v>Bad</v>
      </c>
      <c r="P445">
        <f t="shared" si="13"/>
        <v>327.75</v>
      </c>
      <c r="Q445">
        <v>45856</v>
      </c>
      <c r="R445">
        <f>YEAR(Table1[[#This Row],[Order_Date_New]])</f>
        <v>2025</v>
      </c>
      <c r="S445">
        <f>MONTH(Table1[[#This Row],[Order_Date_New]])</f>
        <v>7</v>
      </c>
      <c r="T445" t="str">
        <f>TEXT(Table1[[#This Row],[Order_Date_New]],"mmmm")</f>
        <v>July</v>
      </c>
      <c r="U445">
        <f>Table1[[#This Row],[Profit]]/Table1[[#This Row],[Sales]]</f>
        <v>0.16277650648360031</v>
      </c>
      <c r="V445" t="str">
        <f>IF(Table1[[#This Row],[Discount]]=0,"No Discount",IF(Table1[[#This Row],[Discount]]&lt;=0.1,"Low",IF(Table1[[#This Row],[Discount]]&lt;=0.2,"medium","high")))</f>
        <v>No Discount</v>
      </c>
    </row>
    <row r="446" spans="1:22" x14ac:dyDescent="0.3">
      <c r="A446" t="s">
        <v>723</v>
      </c>
      <c r="B446" s="6">
        <v>45350</v>
      </c>
      <c r="C446" t="s">
        <v>431</v>
      </c>
      <c r="D446" t="s">
        <v>33</v>
      </c>
      <c r="E446" t="s">
        <v>48</v>
      </c>
      <c r="F446" t="s">
        <v>60</v>
      </c>
      <c r="G446" t="s">
        <v>78</v>
      </c>
      <c r="H446" t="s">
        <v>79</v>
      </c>
      <c r="I446">
        <v>1505.16</v>
      </c>
      <c r="J446">
        <v>3</v>
      </c>
      <c r="K446">
        <v>0.25</v>
      </c>
      <c r="L446">
        <v>193.35</v>
      </c>
      <c r="M446" t="s">
        <v>90</v>
      </c>
      <c r="N446" t="s">
        <v>38</v>
      </c>
      <c r="O446" t="str">
        <f t="shared" si="12"/>
        <v>Bad</v>
      </c>
      <c r="P446">
        <f t="shared" si="13"/>
        <v>501.72</v>
      </c>
      <c r="Q446">
        <v>45350</v>
      </c>
      <c r="R446">
        <f>YEAR(Table1[[#This Row],[Order_Date_New]])</f>
        <v>2024</v>
      </c>
      <c r="S446">
        <f>MONTH(Table1[[#This Row],[Order_Date_New]])</f>
        <v>2</v>
      </c>
      <c r="T446" t="str">
        <f>TEXT(Table1[[#This Row],[Order_Date_New]],"mmmm")</f>
        <v>February</v>
      </c>
      <c r="U446">
        <f>Table1[[#This Row],[Profit]]/Table1[[#This Row],[Sales]]</f>
        <v>0.12845810412182093</v>
      </c>
      <c r="V446" t="str">
        <f>IF(Table1[[#This Row],[Discount]]=0,"No Discount",IF(Table1[[#This Row],[Discount]]&lt;=0.1,"Low",IF(Table1[[#This Row],[Discount]]&lt;=0.2,"medium","high")))</f>
        <v>high</v>
      </c>
    </row>
    <row r="447" spans="1:22" x14ac:dyDescent="0.3">
      <c r="A447" t="s">
        <v>724</v>
      </c>
      <c r="B447" s="6">
        <v>45686</v>
      </c>
      <c r="C447" t="s">
        <v>193</v>
      </c>
      <c r="D447" t="s">
        <v>24</v>
      </c>
      <c r="E447" t="s">
        <v>84</v>
      </c>
      <c r="F447" t="s">
        <v>60</v>
      </c>
      <c r="G447" t="s">
        <v>78</v>
      </c>
      <c r="H447" t="s">
        <v>79</v>
      </c>
      <c r="I447">
        <v>2534.1999999999998</v>
      </c>
      <c r="J447">
        <v>4</v>
      </c>
      <c r="K447">
        <v>0</v>
      </c>
      <c r="L447">
        <v>671.25</v>
      </c>
      <c r="M447" t="s">
        <v>90</v>
      </c>
      <c r="N447" t="s">
        <v>80</v>
      </c>
      <c r="O447" t="str">
        <f t="shared" si="12"/>
        <v>Bad</v>
      </c>
      <c r="P447">
        <f t="shared" si="13"/>
        <v>633.54999999999995</v>
      </c>
      <c r="Q447">
        <v>45686</v>
      </c>
      <c r="R447">
        <f>YEAR(Table1[[#This Row],[Order_Date_New]])</f>
        <v>2025</v>
      </c>
      <c r="S447">
        <f>MONTH(Table1[[#This Row],[Order_Date_New]])</f>
        <v>1</v>
      </c>
      <c r="T447" t="str">
        <f>TEXT(Table1[[#This Row],[Order_Date_New]],"mmmm")</f>
        <v>January</v>
      </c>
      <c r="U447">
        <f>Table1[[#This Row],[Profit]]/Table1[[#This Row],[Sales]]</f>
        <v>0.26487648962197147</v>
      </c>
      <c r="V447" t="str">
        <f>IF(Table1[[#This Row],[Discount]]=0,"No Discount",IF(Table1[[#This Row],[Discount]]&lt;=0.1,"Low",IF(Table1[[#This Row],[Discount]]&lt;=0.2,"medium","high")))</f>
        <v>No Discount</v>
      </c>
    </row>
    <row r="448" spans="1:22" x14ac:dyDescent="0.3">
      <c r="A448" t="s">
        <v>725</v>
      </c>
      <c r="B448" s="6">
        <v>45764</v>
      </c>
      <c r="C448" t="s">
        <v>101</v>
      </c>
      <c r="D448" t="s">
        <v>24</v>
      </c>
      <c r="E448" t="s">
        <v>25</v>
      </c>
      <c r="F448" t="s">
        <v>72</v>
      </c>
      <c r="G448" t="s">
        <v>73</v>
      </c>
      <c r="H448" t="s">
        <v>102</v>
      </c>
      <c r="I448">
        <v>4651.3</v>
      </c>
      <c r="J448">
        <v>5</v>
      </c>
      <c r="K448">
        <v>0.1</v>
      </c>
      <c r="L448">
        <v>821.47</v>
      </c>
      <c r="M448" t="s">
        <v>105</v>
      </c>
      <c r="N448" t="s">
        <v>38</v>
      </c>
      <c r="O448" t="str">
        <f t="shared" si="12"/>
        <v>Bad</v>
      </c>
      <c r="P448">
        <f t="shared" si="13"/>
        <v>930.26</v>
      </c>
      <c r="Q448">
        <v>45764</v>
      </c>
      <c r="R448">
        <f>YEAR(Table1[[#This Row],[Order_Date_New]])</f>
        <v>2025</v>
      </c>
      <c r="S448">
        <f>MONTH(Table1[[#This Row],[Order_Date_New]])</f>
        <v>4</v>
      </c>
      <c r="T448" t="str">
        <f>TEXT(Table1[[#This Row],[Order_Date_New]],"mmmm")</f>
        <v>April</v>
      </c>
      <c r="U448">
        <f>Table1[[#This Row],[Profit]]/Table1[[#This Row],[Sales]]</f>
        <v>0.17661083998022059</v>
      </c>
      <c r="V448" t="str">
        <f>IF(Table1[[#This Row],[Discount]]=0,"No Discount",IF(Table1[[#This Row],[Discount]]&lt;=0.1,"Low",IF(Table1[[#This Row],[Discount]]&lt;=0.2,"medium","high")))</f>
        <v>Low</v>
      </c>
    </row>
    <row r="449" spans="1:22" x14ac:dyDescent="0.3">
      <c r="A449" t="s">
        <v>726</v>
      </c>
      <c r="B449" s="6">
        <v>45444</v>
      </c>
      <c r="C449" t="s">
        <v>101</v>
      </c>
      <c r="D449" t="s">
        <v>53</v>
      </c>
      <c r="E449" t="s">
        <v>87</v>
      </c>
      <c r="F449" t="s">
        <v>60</v>
      </c>
      <c r="G449" t="s">
        <v>98</v>
      </c>
      <c r="H449" t="s">
        <v>138</v>
      </c>
      <c r="I449">
        <v>1077.27</v>
      </c>
      <c r="J449">
        <v>1</v>
      </c>
      <c r="K449">
        <v>0.05</v>
      </c>
      <c r="L449">
        <v>312.87</v>
      </c>
      <c r="M449" t="s">
        <v>90</v>
      </c>
      <c r="N449" t="s">
        <v>30</v>
      </c>
      <c r="O449" t="str">
        <f t="shared" si="12"/>
        <v>Bad</v>
      </c>
      <c r="P449">
        <f t="shared" si="13"/>
        <v>1077.27</v>
      </c>
      <c r="Q449">
        <v>45444</v>
      </c>
      <c r="R449">
        <f>YEAR(Table1[[#This Row],[Order_Date_New]])</f>
        <v>2024</v>
      </c>
      <c r="S449">
        <f>MONTH(Table1[[#This Row],[Order_Date_New]])</f>
        <v>6</v>
      </c>
      <c r="T449" t="str">
        <f>TEXT(Table1[[#This Row],[Order_Date_New]],"mmmm")</f>
        <v>June</v>
      </c>
      <c r="U449">
        <f>Table1[[#This Row],[Profit]]/Table1[[#This Row],[Sales]]</f>
        <v>0.29042858336350219</v>
      </c>
      <c r="V449" t="str">
        <f>IF(Table1[[#This Row],[Discount]]=0,"No Discount",IF(Table1[[#This Row],[Discount]]&lt;=0.1,"Low",IF(Table1[[#This Row],[Discount]]&lt;=0.2,"medium","high")))</f>
        <v>Low</v>
      </c>
    </row>
    <row r="450" spans="1:22" x14ac:dyDescent="0.3">
      <c r="A450" t="s">
        <v>727</v>
      </c>
      <c r="B450" s="6">
        <v>45613</v>
      </c>
      <c r="C450" t="s">
        <v>263</v>
      </c>
      <c r="D450" t="s">
        <v>24</v>
      </c>
      <c r="E450" t="s">
        <v>25</v>
      </c>
      <c r="F450" t="s">
        <v>60</v>
      </c>
      <c r="G450" t="s">
        <v>98</v>
      </c>
      <c r="H450" t="s">
        <v>138</v>
      </c>
      <c r="I450">
        <v>1477.42</v>
      </c>
      <c r="J450">
        <v>7</v>
      </c>
      <c r="K450">
        <v>0.1</v>
      </c>
      <c r="L450">
        <v>-62.15</v>
      </c>
      <c r="M450" t="s">
        <v>68</v>
      </c>
      <c r="N450" t="s">
        <v>38</v>
      </c>
      <c r="O450" t="str">
        <f t="shared" ref="O450:O513" si="14">IF(AND(I450&gt;5000,J450&gt;7),"Good","Bad")</f>
        <v>Bad</v>
      </c>
      <c r="P450">
        <f t="shared" ref="P450:P513" si="15">I450/J450</f>
        <v>211.06</v>
      </c>
      <c r="Q450">
        <v>45613</v>
      </c>
      <c r="R450">
        <f>YEAR(Table1[[#This Row],[Order_Date_New]])</f>
        <v>2024</v>
      </c>
      <c r="S450">
        <f>MONTH(Table1[[#This Row],[Order_Date_New]])</f>
        <v>11</v>
      </c>
      <c r="T450" t="str">
        <f>TEXT(Table1[[#This Row],[Order_Date_New]],"mmmm")</f>
        <v>November</v>
      </c>
      <c r="U450">
        <f>Table1[[#This Row],[Profit]]/Table1[[#This Row],[Sales]]</f>
        <v>-4.2066575516779246E-2</v>
      </c>
      <c r="V450" t="str">
        <f>IF(Table1[[#This Row],[Discount]]=0,"No Discount",IF(Table1[[#This Row],[Discount]]&lt;=0.1,"Low",IF(Table1[[#This Row],[Discount]]&lt;=0.2,"medium","high")))</f>
        <v>Low</v>
      </c>
    </row>
    <row r="451" spans="1:22" x14ac:dyDescent="0.3">
      <c r="A451" t="s">
        <v>728</v>
      </c>
      <c r="B451" s="6">
        <v>45788</v>
      </c>
      <c r="C451" t="s">
        <v>729</v>
      </c>
      <c r="D451" t="s">
        <v>53</v>
      </c>
      <c r="E451" t="s">
        <v>77</v>
      </c>
      <c r="F451" t="s">
        <v>26</v>
      </c>
      <c r="G451" t="s">
        <v>35</v>
      </c>
      <c r="H451" t="s">
        <v>36</v>
      </c>
      <c r="I451">
        <v>4982.25</v>
      </c>
      <c r="J451">
        <v>5</v>
      </c>
      <c r="K451">
        <v>0.2</v>
      </c>
      <c r="L451">
        <v>572.66999999999996</v>
      </c>
      <c r="M451" t="s">
        <v>170</v>
      </c>
      <c r="N451" t="s">
        <v>44</v>
      </c>
      <c r="O451" t="str">
        <f t="shared" si="14"/>
        <v>Bad</v>
      </c>
      <c r="P451">
        <f t="shared" si="15"/>
        <v>996.45</v>
      </c>
      <c r="Q451">
        <v>45788</v>
      </c>
      <c r="R451">
        <f>YEAR(Table1[[#This Row],[Order_Date_New]])</f>
        <v>2025</v>
      </c>
      <c r="S451">
        <f>MONTH(Table1[[#This Row],[Order_Date_New]])</f>
        <v>5</v>
      </c>
      <c r="T451" t="str">
        <f>TEXT(Table1[[#This Row],[Order_Date_New]],"mmmm")</f>
        <v>May</v>
      </c>
      <c r="U451">
        <f>Table1[[#This Row],[Profit]]/Table1[[#This Row],[Sales]]</f>
        <v>0.11494204425711274</v>
      </c>
      <c r="V451" t="str">
        <f>IF(Table1[[#This Row],[Discount]]=0,"No Discount",IF(Table1[[#This Row],[Discount]]&lt;=0.1,"Low",IF(Table1[[#This Row],[Discount]]&lt;=0.2,"medium","high")))</f>
        <v>medium</v>
      </c>
    </row>
    <row r="452" spans="1:22" x14ac:dyDescent="0.3">
      <c r="A452" t="s">
        <v>730</v>
      </c>
      <c r="B452" s="6">
        <v>45624</v>
      </c>
      <c r="C452" t="s">
        <v>590</v>
      </c>
      <c r="D452" t="s">
        <v>128</v>
      </c>
      <c r="E452" t="s">
        <v>132</v>
      </c>
      <c r="F452" t="s">
        <v>72</v>
      </c>
      <c r="G452" t="s">
        <v>73</v>
      </c>
      <c r="H452" t="s">
        <v>74</v>
      </c>
      <c r="I452">
        <v>6558.93</v>
      </c>
      <c r="J452">
        <v>7</v>
      </c>
      <c r="K452">
        <v>0</v>
      </c>
      <c r="L452">
        <v>1672.78</v>
      </c>
      <c r="M452" t="s">
        <v>133</v>
      </c>
      <c r="N452" t="s">
        <v>38</v>
      </c>
      <c r="O452" t="str">
        <f t="shared" si="14"/>
        <v>Bad</v>
      </c>
      <c r="P452">
        <f t="shared" si="15"/>
        <v>936.99</v>
      </c>
      <c r="Q452">
        <v>45624</v>
      </c>
      <c r="R452">
        <f>YEAR(Table1[[#This Row],[Order_Date_New]])</f>
        <v>2024</v>
      </c>
      <c r="S452">
        <f>MONTH(Table1[[#This Row],[Order_Date_New]])</f>
        <v>11</v>
      </c>
      <c r="T452" t="str">
        <f>TEXT(Table1[[#This Row],[Order_Date_New]],"mmmm")</f>
        <v>November</v>
      </c>
      <c r="U452">
        <f>Table1[[#This Row],[Profit]]/Table1[[#This Row],[Sales]]</f>
        <v>0.25503855049527896</v>
      </c>
      <c r="V452" t="str">
        <f>IF(Table1[[#This Row],[Discount]]=0,"No Discount",IF(Table1[[#This Row],[Discount]]&lt;=0.1,"Low",IF(Table1[[#This Row],[Discount]]&lt;=0.2,"medium","high")))</f>
        <v>No Discount</v>
      </c>
    </row>
    <row r="453" spans="1:22" x14ac:dyDescent="0.3">
      <c r="A453" t="s">
        <v>731</v>
      </c>
      <c r="B453" s="6">
        <v>45381</v>
      </c>
      <c r="C453" t="s">
        <v>169</v>
      </c>
      <c r="D453" t="s">
        <v>53</v>
      </c>
      <c r="E453" t="s">
        <v>77</v>
      </c>
      <c r="F453" t="s">
        <v>72</v>
      </c>
      <c r="G453" t="s">
        <v>88</v>
      </c>
      <c r="H453" t="s">
        <v>89</v>
      </c>
      <c r="I453">
        <v>6373.86</v>
      </c>
      <c r="J453">
        <v>6</v>
      </c>
      <c r="K453">
        <v>0.2</v>
      </c>
      <c r="L453">
        <v>1428.36</v>
      </c>
      <c r="M453" t="s">
        <v>37</v>
      </c>
      <c r="N453" t="s">
        <v>44</v>
      </c>
      <c r="O453" t="str">
        <f t="shared" si="14"/>
        <v>Bad</v>
      </c>
      <c r="P453">
        <f t="shared" si="15"/>
        <v>1062.31</v>
      </c>
      <c r="Q453">
        <v>45381</v>
      </c>
      <c r="R453">
        <f>YEAR(Table1[[#This Row],[Order_Date_New]])</f>
        <v>2024</v>
      </c>
      <c r="S453">
        <f>MONTH(Table1[[#This Row],[Order_Date_New]])</f>
        <v>3</v>
      </c>
      <c r="T453" t="str">
        <f>TEXT(Table1[[#This Row],[Order_Date_New]],"mmmm")</f>
        <v>March</v>
      </c>
      <c r="U453">
        <f>Table1[[#This Row],[Profit]]/Table1[[#This Row],[Sales]]</f>
        <v>0.22409654432322015</v>
      </c>
      <c r="V453" t="str">
        <f>IF(Table1[[#This Row],[Discount]]=0,"No Discount",IF(Table1[[#This Row],[Discount]]&lt;=0.1,"Low",IF(Table1[[#This Row],[Discount]]&lt;=0.2,"medium","high")))</f>
        <v>medium</v>
      </c>
    </row>
    <row r="454" spans="1:22" x14ac:dyDescent="0.3">
      <c r="A454" t="s">
        <v>732</v>
      </c>
      <c r="B454" s="6">
        <v>45639</v>
      </c>
      <c r="C454" t="s">
        <v>733</v>
      </c>
      <c r="D454" t="s">
        <v>33</v>
      </c>
      <c r="E454" t="s">
        <v>34</v>
      </c>
      <c r="F454" t="s">
        <v>26</v>
      </c>
      <c r="G454" t="s">
        <v>41</v>
      </c>
      <c r="H454" t="s">
        <v>189</v>
      </c>
      <c r="I454">
        <v>4868.58</v>
      </c>
      <c r="J454">
        <v>6</v>
      </c>
      <c r="K454">
        <v>0.05</v>
      </c>
      <c r="L454">
        <v>1377.81</v>
      </c>
      <c r="M454" t="s">
        <v>105</v>
      </c>
      <c r="N454" t="s">
        <v>44</v>
      </c>
      <c r="O454" t="str">
        <f t="shared" si="14"/>
        <v>Bad</v>
      </c>
      <c r="P454">
        <f t="shared" si="15"/>
        <v>811.43</v>
      </c>
      <c r="Q454">
        <v>45639</v>
      </c>
      <c r="R454">
        <f>YEAR(Table1[[#This Row],[Order_Date_New]])</f>
        <v>2024</v>
      </c>
      <c r="S454">
        <f>MONTH(Table1[[#This Row],[Order_Date_New]])</f>
        <v>12</v>
      </c>
      <c r="T454" t="str">
        <f>TEXT(Table1[[#This Row],[Order_Date_New]],"mmmm")</f>
        <v>December</v>
      </c>
      <c r="U454">
        <f>Table1[[#This Row],[Profit]]/Table1[[#This Row],[Sales]]</f>
        <v>0.2830003820415809</v>
      </c>
      <c r="V454" t="str">
        <f>IF(Table1[[#This Row],[Discount]]=0,"No Discount",IF(Table1[[#This Row],[Discount]]&lt;=0.1,"Low",IF(Table1[[#This Row],[Discount]]&lt;=0.2,"medium","high")))</f>
        <v>Low</v>
      </c>
    </row>
    <row r="455" spans="1:22" x14ac:dyDescent="0.3">
      <c r="A455" t="s">
        <v>734</v>
      </c>
      <c r="B455" s="6">
        <v>45522</v>
      </c>
      <c r="C455" t="s">
        <v>179</v>
      </c>
      <c r="D455" t="s">
        <v>24</v>
      </c>
      <c r="E455" t="s">
        <v>97</v>
      </c>
      <c r="F455" t="s">
        <v>72</v>
      </c>
      <c r="G455" t="s">
        <v>111</v>
      </c>
      <c r="H455" t="s">
        <v>182</v>
      </c>
      <c r="I455">
        <v>5996.94</v>
      </c>
      <c r="J455">
        <v>6</v>
      </c>
      <c r="K455">
        <v>0.25</v>
      </c>
      <c r="L455">
        <v>368.3</v>
      </c>
      <c r="M455" t="s">
        <v>133</v>
      </c>
      <c r="N455" t="s">
        <v>44</v>
      </c>
      <c r="O455" t="str">
        <f t="shared" si="14"/>
        <v>Bad</v>
      </c>
      <c r="P455">
        <f t="shared" si="15"/>
        <v>999.4899999999999</v>
      </c>
      <c r="Q455">
        <v>45522</v>
      </c>
      <c r="R455">
        <f>YEAR(Table1[[#This Row],[Order_Date_New]])</f>
        <v>2024</v>
      </c>
      <c r="S455">
        <f>MONTH(Table1[[#This Row],[Order_Date_New]])</f>
        <v>8</v>
      </c>
      <c r="T455" t="str">
        <f>TEXT(Table1[[#This Row],[Order_Date_New]],"mmmm")</f>
        <v>August</v>
      </c>
      <c r="U455">
        <f>Table1[[#This Row],[Profit]]/Table1[[#This Row],[Sales]]</f>
        <v>6.1414654807285057E-2</v>
      </c>
      <c r="V455" t="str">
        <f>IF(Table1[[#This Row],[Discount]]=0,"No Discount",IF(Table1[[#This Row],[Discount]]&lt;=0.1,"Low",IF(Table1[[#This Row],[Discount]]&lt;=0.2,"medium","high")))</f>
        <v>high</v>
      </c>
    </row>
    <row r="456" spans="1:22" x14ac:dyDescent="0.3">
      <c r="A456" t="s">
        <v>735</v>
      </c>
      <c r="B456" s="6">
        <v>45733</v>
      </c>
      <c r="C456" t="s">
        <v>65</v>
      </c>
      <c r="D456" t="s">
        <v>53</v>
      </c>
      <c r="E456" t="s">
        <v>107</v>
      </c>
      <c r="F456" t="s">
        <v>72</v>
      </c>
      <c r="G456" t="s">
        <v>88</v>
      </c>
      <c r="H456" t="s">
        <v>119</v>
      </c>
      <c r="I456">
        <v>1033.98</v>
      </c>
      <c r="J456">
        <v>2</v>
      </c>
      <c r="K456">
        <v>0.3</v>
      </c>
      <c r="L456">
        <v>-142.01</v>
      </c>
      <c r="M456" t="s">
        <v>170</v>
      </c>
      <c r="N456" t="s">
        <v>44</v>
      </c>
      <c r="O456" t="str">
        <f t="shared" si="14"/>
        <v>Bad</v>
      </c>
      <c r="P456">
        <f t="shared" si="15"/>
        <v>516.99</v>
      </c>
      <c r="Q456">
        <v>45733</v>
      </c>
      <c r="R456">
        <f>YEAR(Table1[[#This Row],[Order_Date_New]])</f>
        <v>2025</v>
      </c>
      <c r="S456">
        <f>MONTH(Table1[[#This Row],[Order_Date_New]])</f>
        <v>3</v>
      </c>
      <c r="T456" t="str">
        <f>TEXT(Table1[[#This Row],[Order_Date_New]],"mmmm")</f>
        <v>March</v>
      </c>
      <c r="U456">
        <f>Table1[[#This Row],[Profit]]/Table1[[#This Row],[Sales]]</f>
        <v>-0.13734308207121992</v>
      </c>
      <c r="V456" t="str">
        <f>IF(Table1[[#This Row],[Discount]]=0,"No Discount",IF(Table1[[#This Row],[Discount]]&lt;=0.1,"Low",IF(Table1[[#This Row],[Discount]]&lt;=0.2,"medium","high")))</f>
        <v>high</v>
      </c>
    </row>
    <row r="457" spans="1:22" x14ac:dyDescent="0.3">
      <c r="A457" t="s">
        <v>736</v>
      </c>
      <c r="B457" s="6">
        <v>45480</v>
      </c>
      <c r="C457" t="s">
        <v>177</v>
      </c>
      <c r="D457" t="s">
        <v>128</v>
      </c>
      <c r="E457" t="s">
        <v>202</v>
      </c>
      <c r="F457" t="s">
        <v>60</v>
      </c>
      <c r="G457" t="s">
        <v>78</v>
      </c>
      <c r="H457" t="s">
        <v>79</v>
      </c>
      <c r="I457">
        <v>3852.17</v>
      </c>
      <c r="J457">
        <v>7</v>
      </c>
      <c r="K457">
        <v>0.15</v>
      </c>
      <c r="L457">
        <v>521.28</v>
      </c>
      <c r="M457" t="s">
        <v>37</v>
      </c>
      <c r="N457" t="s">
        <v>38</v>
      </c>
      <c r="O457" t="str">
        <f t="shared" si="14"/>
        <v>Bad</v>
      </c>
      <c r="P457">
        <f t="shared" si="15"/>
        <v>550.31000000000006</v>
      </c>
      <c r="Q457">
        <v>45480</v>
      </c>
      <c r="R457">
        <f>YEAR(Table1[[#This Row],[Order_Date_New]])</f>
        <v>2024</v>
      </c>
      <c r="S457">
        <f>MONTH(Table1[[#This Row],[Order_Date_New]])</f>
        <v>7</v>
      </c>
      <c r="T457" t="str">
        <f>TEXT(Table1[[#This Row],[Order_Date_New]],"mmmm")</f>
        <v>July</v>
      </c>
      <c r="U457">
        <f>Table1[[#This Row],[Profit]]/Table1[[#This Row],[Sales]]</f>
        <v>0.1353211306873788</v>
      </c>
      <c r="V457" t="str">
        <f>IF(Table1[[#This Row],[Discount]]=0,"No Discount",IF(Table1[[#This Row],[Discount]]&lt;=0.1,"Low",IF(Table1[[#This Row],[Discount]]&lt;=0.2,"medium","high")))</f>
        <v>medium</v>
      </c>
    </row>
    <row r="458" spans="1:22" x14ac:dyDescent="0.3">
      <c r="A458" t="s">
        <v>737</v>
      </c>
      <c r="B458" s="6">
        <v>45879</v>
      </c>
      <c r="C458" t="s">
        <v>378</v>
      </c>
      <c r="D458" t="s">
        <v>128</v>
      </c>
      <c r="E458" t="s">
        <v>132</v>
      </c>
      <c r="F458" t="s">
        <v>26</v>
      </c>
      <c r="G458" t="s">
        <v>41</v>
      </c>
      <c r="H458" t="s">
        <v>42</v>
      </c>
      <c r="I458">
        <v>7674.6</v>
      </c>
      <c r="J458">
        <v>10</v>
      </c>
      <c r="K458">
        <v>0.2</v>
      </c>
      <c r="L458">
        <v>8.93</v>
      </c>
      <c r="M458" t="s">
        <v>37</v>
      </c>
      <c r="N458" t="s">
        <v>30</v>
      </c>
      <c r="O458" t="str">
        <f t="shared" si="14"/>
        <v>Good</v>
      </c>
      <c r="P458">
        <f t="shared" si="15"/>
        <v>767.46</v>
      </c>
      <c r="Q458">
        <v>45879</v>
      </c>
      <c r="R458">
        <f>YEAR(Table1[[#This Row],[Order_Date_New]])</f>
        <v>2025</v>
      </c>
      <c r="S458">
        <f>MONTH(Table1[[#This Row],[Order_Date_New]])</f>
        <v>8</v>
      </c>
      <c r="T458" t="str">
        <f>TEXT(Table1[[#This Row],[Order_Date_New]],"mmmm")</f>
        <v>August</v>
      </c>
      <c r="U458">
        <f>Table1[[#This Row],[Profit]]/Table1[[#This Row],[Sales]]</f>
        <v>1.163578557840148E-3</v>
      </c>
      <c r="V458" t="str">
        <f>IF(Table1[[#This Row],[Discount]]=0,"No Discount",IF(Table1[[#This Row],[Discount]]&lt;=0.1,"Low",IF(Table1[[#This Row],[Discount]]&lt;=0.2,"medium","high")))</f>
        <v>medium</v>
      </c>
    </row>
    <row r="459" spans="1:22" x14ac:dyDescent="0.3">
      <c r="A459" t="s">
        <v>738</v>
      </c>
      <c r="B459" s="6">
        <v>45588</v>
      </c>
      <c r="C459" t="s">
        <v>739</v>
      </c>
      <c r="D459" t="s">
        <v>128</v>
      </c>
      <c r="E459" t="s">
        <v>129</v>
      </c>
      <c r="F459" t="s">
        <v>60</v>
      </c>
      <c r="G459" t="s">
        <v>61</v>
      </c>
      <c r="H459" t="s">
        <v>122</v>
      </c>
      <c r="I459">
        <v>608.88</v>
      </c>
      <c r="J459">
        <v>1</v>
      </c>
      <c r="K459">
        <v>0</v>
      </c>
      <c r="L459">
        <v>92.36</v>
      </c>
      <c r="M459" t="s">
        <v>43</v>
      </c>
      <c r="N459" t="s">
        <v>30</v>
      </c>
      <c r="O459" t="str">
        <f t="shared" si="14"/>
        <v>Bad</v>
      </c>
      <c r="P459">
        <f t="shared" si="15"/>
        <v>608.88</v>
      </c>
      <c r="Q459">
        <v>45588</v>
      </c>
      <c r="R459">
        <f>YEAR(Table1[[#This Row],[Order_Date_New]])</f>
        <v>2024</v>
      </c>
      <c r="S459">
        <f>MONTH(Table1[[#This Row],[Order_Date_New]])</f>
        <v>10</v>
      </c>
      <c r="T459" t="str">
        <f>TEXT(Table1[[#This Row],[Order_Date_New]],"mmmm")</f>
        <v>October</v>
      </c>
      <c r="U459">
        <f>Table1[[#This Row],[Profit]]/Table1[[#This Row],[Sales]]</f>
        <v>0.15168834581526738</v>
      </c>
      <c r="V459" t="str">
        <f>IF(Table1[[#This Row],[Discount]]=0,"No Discount",IF(Table1[[#This Row],[Discount]]&lt;=0.1,"Low",IF(Table1[[#This Row],[Discount]]&lt;=0.2,"medium","high")))</f>
        <v>No Discount</v>
      </c>
    </row>
    <row r="460" spans="1:22" x14ac:dyDescent="0.3">
      <c r="A460" t="s">
        <v>740</v>
      </c>
      <c r="B460" s="6">
        <v>45452</v>
      </c>
      <c r="C460" t="s">
        <v>741</v>
      </c>
      <c r="D460" t="s">
        <v>128</v>
      </c>
      <c r="E460" t="s">
        <v>129</v>
      </c>
      <c r="F460" t="s">
        <v>60</v>
      </c>
      <c r="G460" t="s">
        <v>61</v>
      </c>
      <c r="H460" t="s">
        <v>122</v>
      </c>
      <c r="I460">
        <v>1004.37</v>
      </c>
      <c r="J460">
        <v>3</v>
      </c>
      <c r="K460">
        <v>0.25</v>
      </c>
      <c r="L460">
        <v>-124.84</v>
      </c>
      <c r="M460" t="s">
        <v>68</v>
      </c>
      <c r="N460" t="s">
        <v>80</v>
      </c>
      <c r="O460" t="str">
        <f t="shared" si="14"/>
        <v>Bad</v>
      </c>
      <c r="P460">
        <f t="shared" si="15"/>
        <v>334.79</v>
      </c>
      <c r="Q460">
        <v>45452</v>
      </c>
      <c r="R460">
        <f>YEAR(Table1[[#This Row],[Order_Date_New]])</f>
        <v>2024</v>
      </c>
      <c r="S460">
        <f>MONTH(Table1[[#This Row],[Order_Date_New]])</f>
        <v>6</v>
      </c>
      <c r="T460" t="str">
        <f>TEXT(Table1[[#This Row],[Order_Date_New]],"mmmm")</f>
        <v>June</v>
      </c>
      <c r="U460">
        <f>Table1[[#This Row],[Profit]]/Table1[[#This Row],[Sales]]</f>
        <v>-0.12429682288399693</v>
      </c>
      <c r="V460" t="str">
        <f>IF(Table1[[#This Row],[Discount]]=0,"No Discount",IF(Table1[[#This Row],[Discount]]&lt;=0.1,"Low",IF(Table1[[#This Row],[Discount]]&lt;=0.2,"medium","high")))</f>
        <v>high</v>
      </c>
    </row>
    <row r="461" spans="1:22" x14ac:dyDescent="0.3">
      <c r="A461" t="s">
        <v>742</v>
      </c>
      <c r="B461" s="6">
        <v>45826</v>
      </c>
      <c r="C461" t="s">
        <v>437</v>
      </c>
      <c r="D461" t="s">
        <v>53</v>
      </c>
      <c r="E461" t="s">
        <v>87</v>
      </c>
      <c r="F461" t="s">
        <v>72</v>
      </c>
      <c r="G461" t="s">
        <v>88</v>
      </c>
      <c r="H461" t="s">
        <v>89</v>
      </c>
      <c r="I461">
        <v>3914.56</v>
      </c>
      <c r="J461">
        <v>4</v>
      </c>
      <c r="K461">
        <v>0.25</v>
      </c>
      <c r="L461">
        <v>650.58000000000004</v>
      </c>
      <c r="M461" t="s">
        <v>43</v>
      </c>
      <c r="N461" t="s">
        <v>30</v>
      </c>
      <c r="O461" t="str">
        <f t="shared" si="14"/>
        <v>Bad</v>
      </c>
      <c r="P461">
        <f t="shared" si="15"/>
        <v>978.64</v>
      </c>
      <c r="Q461">
        <v>45826</v>
      </c>
      <c r="R461">
        <f>YEAR(Table1[[#This Row],[Order_Date_New]])</f>
        <v>2025</v>
      </c>
      <c r="S461">
        <f>MONTH(Table1[[#This Row],[Order_Date_New]])</f>
        <v>6</v>
      </c>
      <c r="T461" t="str">
        <f>TEXT(Table1[[#This Row],[Order_Date_New]],"mmmm")</f>
        <v>June</v>
      </c>
      <c r="U461">
        <f>Table1[[#This Row],[Profit]]/Table1[[#This Row],[Sales]]</f>
        <v>0.16619492356739968</v>
      </c>
      <c r="V461" t="str">
        <f>IF(Table1[[#This Row],[Discount]]=0,"No Discount",IF(Table1[[#This Row],[Discount]]&lt;=0.1,"Low",IF(Table1[[#This Row],[Discount]]&lt;=0.2,"medium","high")))</f>
        <v>high</v>
      </c>
    </row>
    <row r="462" spans="1:22" x14ac:dyDescent="0.3">
      <c r="A462" t="s">
        <v>743</v>
      </c>
      <c r="B462" s="6">
        <v>45836</v>
      </c>
      <c r="C462" t="s">
        <v>161</v>
      </c>
      <c r="D462" t="s">
        <v>53</v>
      </c>
      <c r="E462" t="s">
        <v>107</v>
      </c>
      <c r="F462" t="s">
        <v>72</v>
      </c>
      <c r="G462" t="s">
        <v>88</v>
      </c>
      <c r="H462" t="s">
        <v>209</v>
      </c>
      <c r="I462">
        <v>4566.7299999999996</v>
      </c>
      <c r="J462">
        <v>7</v>
      </c>
      <c r="K462">
        <v>0.2</v>
      </c>
      <c r="L462">
        <v>391.04</v>
      </c>
      <c r="M462" t="s">
        <v>49</v>
      </c>
      <c r="N462" t="s">
        <v>80</v>
      </c>
      <c r="O462" t="str">
        <f t="shared" si="14"/>
        <v>Bad</v>
      </c>
      <c r="P462">
        <f t="shared" si="15"/>
        <v>652.39</v>
      </c>
      <c r="Q462">
        <v>45836</v>
      </c>
      <c r="R462">
        <f>YEAR(Table1[[#This Row],[Order_Date_New]])</f>
        <v>2025</v>
      </c>
      <c r="S462">
        <f>MONTH(Table1[[#This Row],[Order_Date_New]])</f>
        <v>6</v>
      </c>
      <c r="T462" t="str">
        <f>TEXT(Table1[[#This Row],[Order_Date_New]],"mmmm")</f>
        <v>June</v>
      </c>
      <c r="U462">
        <f>Table1[[#This Row],[Profit]]/Table1[[#This Row],[Sales]]</f>
        <v>8.5628009538553859E-2</v>
      </c>
      <c r="V462" t="str">
        <f>IF(Table1[[#This Row],[Discount]]=0,"No Discount",IF(Table1[[#This Row],[Discount]]&lt;=0.1,"Low",IF(Table1[[#This Row],[Discount]]&lt;=0.2,"medium","high")))</f>
        <v>medium</v>
      </c>
    </row>
    <row r="463" spans="1:22" x14ac:dyDescent="0.3">
      <c r="A463" t="s">
        <v>744</v>
      </c>
      <c r="B463" s="6">
        <v>45293</v>
      </c>
      <c r="C463" t="s">
        <v>163</v>
      </c>
      <c r="D463" t="s">
        <v>33</v>
      </c>
      <c r="E463" t="s">
        <v>66</v>
      </c>
      <c r="F463" t="s">
        <v>72</v>
      </c>
      <c r="G463" t="s">
        <v>111</v>
      </c>
      <c r="H463" t="s">
        <v>182</v>
      </c>
      <c r="I463">
        <v>695.28</v>
      </c>
      <c r="J463">
        <v>6</v>
      </c>
      <c r="K463">
        <v>0.1</v>
      </c>
      <c r="L463">
        <v>140.46</v>
      </c>
      <c r="M463" t="s">
        <v>49</v>
      </c>
      <c r="N463" t="s">
        <v>80</v>
      </c>
      <c r="O463" t="str">
        <f t="shared" si="14"/>
        <v>Bad</v>
      </c>
      <c r="P463">
        <f t="shared" si="15"/>
        <v>115.88</v>
      </c>
      <c r="Q463">
        <v>45293</v>
      </c>
      <c r="R463">
        <f>YEAR(Table1[[#This Row],[Order_Date_New]])</f>
        <v>2024</v>
      </c>
      <c r="S463">
        <f>MONTH(Table1[[#This Row],[Order_Date_New]])</f>
        <v>1</v>
      </c>
      <c r="T463" t="str">
        <f>TEXT(Table1[[#This Row],[Order_Date_New]],"mmmm")</f>
        <v>January</v>
      </c>
      <c r="U463">
        <f>Table1[[#This Row],[Profit]]/Table1[[#This Row],[Sales]]</f>
        <v>0.20201933034173283</v>
      </c>
      <c r="V463" t="str">
        <f>IF(Table1[[#This Row],[Discount]]=0,"No Discount",IF(Table1[[#This Row],[Discount]]&lt;=0.1,"Low",IF(Table1[[#This Row],[Discount]]&lt;=0.2,"medium","high")))</f>
        <v>Low</v>
      </c>
    </row>
    <row r="464" spans="1:22" x14ac:dyDescent="0.3">
      <c r="A464" t="s">
        <v>745</v>
      </c>
      <c r="B464" s="6">
        <v>45803</v>
      </c>
      <c r="C464" t="s">
        <v>521</v>
      </c>
      <c r="D464" t="s">
        <v>33</v>
      </c>
      <c r="E464" t="s">
        <v>66</v>
      </c>
      <c r="F464" t="s">
        <v>60</v>
      </c>
      <c r="G464" t="s">
        <v>78</v>
      </c>
      <c r="H464" t="s">
        <v>222</v>
      </c>
      <c r="I464">
        <v>5915.65</v>
      </c>
      <c r="J464">
        <v>5</v>
      </c>
      <c r="K464">
        <v>0.05</v>
      </c>
      <c r="L464">
        <v>1116.51</v>
      </c>
      <c r="M464" t="s">
        <v>43</v>
      </c>
      <c r="N464" t="s">
        <v>44</v>
      </c>
      <c r="O464" t="str">
        <f t="shared" si="14"/>
        <v>Bad</v>
      </c>
      <c r="P464">
        <f t="shared" si="15"/>
        <v>1183.1299999999999</v>
      </c>
      <c r="Q464">
        <v>45803</v>
      </c>
      <c r="R464">
        <f>YEAR(Table1[[#This Row],[Order_Date_New]])</f>
        <v>2025</v>
      </c>
      <c r="S464">
        <f>MONTH(Table1[[#This Row],[Order_Date_New]])</f>
        <v>5</v>
      </c>
      <c r="T464" t="str">
        <f>TEXT(Table1[[#This Row],[Order_Date_New]],"mmmm")</f>
        <v>May</v>
      </c>
      <c r="U464">
        <f>Table1[[#This Row],[Profit]]/Table1[[#This Row],[Sales]]</f>
        <v>0.18873834658913222</v>
      </c>
      <c r="V464" t="str">
        <f>IF(Table1[[#This Row],[Discount]]=0,"No Discount",IF(Table1[[#This Row],[Discount]]&lt;=0.1,"Low",IF(Table1[[#This Row],[Discount]]&lt;=0.2,"medium","high")))</f>
        <v>Low</v>
      </c>
    </row>
    <row r="465" spans="1:22" x14ac:dyDescent="0.3">
      <c r="A465" t="s">
        <v>746</v>
      </c>
      <c r="B465" s="6">
        <v>45706</v>
      </c>
      <c r="C465" t="s">
        <v>137</v>
      </c>
      <c r="D465" t="s">
        <v>33</v>
      </c>
      <c r="E465" t="s">
        <v>34</v>
      </c>
      <c r="F465" t="s">
        <v>72</v>
      </c>
      <c r="G465" t="s">
        <v>73</v>
      </c>
      <c r="H465" t="s">
        <v>102</v>
      </c>
      <c r="I465">
        <v>4114.3900000000003</v>
      </c>
      <c r="J465">
        <v>7</v>
      </c>
      <c r="K465">
        <v>0.1</v>
      </c>
      <c r="L465">
        <v>1110.8900000000001</v>
      </c>
      <c r="M465" t="s">
        <v>68</v>
      </c>
      <c r="N465" t="s">
        <v>80</v>
      </c>
      <c r="O465" t="str">
        <f t="shared" si="14"/>
        <v>Bad</v>
      </c>
      <c r="P465">
        <f t="shared" si="15"/>
        <v>587.7700000000001</v>
      </c>
      <c r="Q465">
        <v>45706</v>
      </c>
      <c r="R465">
        <f>YEAR(Table1[[#This Row],[Order_Date_New]])</f>
        <v>2025</v>
      </c>
      <c r="S465">
        <f>MONTH(Table1[[#This Row],[Order_Date_New]])</f>
        <v>2</v>
      </c>
      <c r="T465" t="str">
        <f>TEXT(Table1[[#This Row],[Order_Date_New]],"mmmm")</f>
        <v>February</v>
      </c>
      <c r="U465">
        <f>Table1[[#This Row],[Profit]]/Table1[[#This Row],[Sales]]</f>
        <v>0.27000114233215616</v>
      </c>
      <c r="V465" t="str">
        <f>IF(Table1[[#This Row],[Discount]]=0,"No Discount",IF(Table1[[#This Row],[Discount]]&lt;=0.1,"Low",IF(Table1[[#This Row],[Discount]]&lt;=0.2,"medium","high")))</f>
        <v>Low</v>
      </c>
    </row>
    <row r="466" spans="1:22" x14ac:dyDescent="0.3">
      <c r="A466" t="s">
        <v>747</v>
      </c>
      <c r="B466" s="6">
        <v>45324</v>
      </c>
      <c r="C466" t="s">
        <v>23</v>
      </c>
      <c r="D466" t="s">
        <v>33</v>
      </c>
      <c r="E466" t="s">
        <v>66</v>
      </c>
      <c r="F466" t="s">
        <v>26</v>
      </c>
      <c r="G466" t="s">
        <v>41</v>
      </c>
      <c r="H466" t="s">
        <v>189</v>
      </c>
      <c r="I466">
        <v>3093.75</v>
      </c>
      <c r="J466">
        <v>5</v>
      </c>
      <c r="K466">
        <v>0.2</v>
      </c>
      <c r="L466">
        <v>53.99</v>
      </c>
      <c r="M466" t="s">
        <v>170</v>
      </c>
      <c r="N466" t="s">
        <v>80</v>
      </c>
      <c r="O466" t="str">
        <f t="shared" si="14"/>
        <v>Bad</v>
      </c>
      <c r="P466">
        <f t="shared" si="15"/>
        <v>618.75</v>
      </c>
      <c r="Q466">
        <v>45324</v>
      </c>
      <c r="R466">
        <f>YEAR(Table1[[#This Row],[Order_Date_New]])</f>
        <v>2024</v>
      </c>
      <c r="S466">
        <f>MONTH(Table1[[#This Row],[Order_Date_New]])</f>
        <v>2</v>
      </c>
      <c r="T466" t="str">
        <f>TEXT(Table1[[#This Row],[Order_Date_New]],"mmmm")</f>
        <v>February</v>
      </c>
      <c r="U466">
        <f>Table1[[#This Row],[Profit]]/Table1[[#This Row],[Sales]]</f>
        <v>1.7451313131313134E-2</v>
      </c>
      <c r="V466" t="str">
        <f>IF(Table1[[#This Row],[Discount]]=0,"No Discount",IF(Table1[[#This Row],[Discount]]&lt;=0.1,"Low",IF(Table1[[#This Row],[Discount]]&lt;=0.2,"medium","high")))</f>
        <v>medium</v>
      </c>
    </row>
    <row r="467" spans="1:22" x14ac:dyDescent="0.3">
      <c r="A467" t="s">
        <v>748</v>
      </c>
      <c r="B467" s="6">
        <v>45896</v>
      </c>
      <c r="C467" t="s">
        <v>427</v>
      </c>
      <c r="D467" t="s">
        <v>33</v>
      </c>
      <c r="E467" t="s">
        <v>66</v>
      </c>
      <c r="F467" t="s">
        <v>26</v>
      </c>
      <c r="G467" t="s">
        <v>27</v>
      </c>
      <c r="H467" t="s">
        <v>28</v>
      </c>
      <c r="I467">
        <v>3486.8</v>
      </c>
      <c r="J467">
        <v>4</v>
      </c>
      <c r="K467">
        <v>0.1</v>
      </c>
      <c r="L467">
        <v>983.16</v>
      </c>
      <c r="M467" t="s">
        <v>68</v>
      </c>
      <c r="N467" t="s">
        <v>30</v>
      </c>
      <c r="O467" t="str">
        <f t="shared" si="14"/>
        <v>Bad</v>
      </c>
      <c r="P467">
        <f t="shared" si="15"/>
        <v>871.7</v>
      </c>
      <c r="Q467">
        <v>45896</v>
      </c>
      <c r="R467">
        <f>YEAR(Table1[[#This Row],[Order_Date_New]])</f>
        <v>2025</v>
      </c>
      <c r="S467">
        <f>MONTH(Table1[[#This Row],[Order_Date_New]])</f>
        <v>8</v>
      </c>
      <c r="T467" t="str">
        <f>TEXT(Table1[[#This Row],[Order_Date_New]],"mmmm")</f>
        <v>August</v>
      </c>
      <c r="U467">
        <f>Table1[[#This Row],[Profit]]/Table1[[#This Row],[Sales]]</f>
        <v>0.28196627280027531</v>
      </c>
      <c r="V467" t="str">
        <f>IF(Table1[[#This Row],[Discount]]=0,"No Discount",IF(Table1[[#This Row],[Discount]]&lt;=0.1,"Low",IF(Table1[[#This Row],[Discount]]&lt;=0.2,"medium","high")))</f>
        <v>Low</v>
      </c>
    </row>
    <row r="468" spans="1:22" x14ac:dyDescent="0.3">
      <c r="A468" t="s">
        <v>749</v>
      </c>
      <c r="B468" s="6">
        <v>45592</v>
      </c>
      <c r="C468" t="s">
        <v>270</v>
      </c>
      <c r="D468" t="s">
        <v>33</v>
      </c>
      <c r="E468" t="s">
        <v>48</v>
      </c>
      <c r="F468" t="s">
        <v>26</v>
      </c>
      <c r="G468" t="s">
        <v>35</v>
      </c>
      <c r="H468" t="s">
        <v>173</v>
      </c>
      <c r="I468">
        <v>788.4</v>
      </c>
      <c r="J468">
        <v>1</v>
      </c>
      <c r="K468">
        <v>0</v>
      </c>
      <c r="L468">
        <v>166.57</v>
      </c>
      <c r="M468" t="s">
        <v>113</v>
      </c>
      <c r="N468" t="s">
        <v>30</v>
      </c>
      <c r="O468" t="str">
        <f t="shared" si="14"/>
        <v>Bad</v>
      </c>
      <c r="P468">
        <f t="shared" si="15"/>
        <v>788.4</v>
      </c>
      <c r="Q468">
        <v>45592</v>
      </c>
      <c r="R468">
        <f>YEAR(Table1[[#This Row],[Order_Date_New]])</f>
        <v>2024</v>
      </c>
      <c r="S468">
        <f>MONTH(Table1[[#This Row],[Order_Date_New]])</f>
        <v>10</v>
      </c>
      <c r="T468" t="str">
        <f>TEXT(Table1[[#This Row],[Order_Date_New]],"mmmm")</f>
        <v>October</v>
      </c>
      <c r="U468">
        <f>Table1[[#This Row],[Profit]]/Table1[[#This Row],[Sales]]</f>
        <v>0.21127600202942667</v>
      </c>
      <c r="V468" t="str">
        <f>IF(Table1[[#This Row],[Discount]]=0,"No Discount",IF(Table1[[#This Row],[Discount]]&lt;=0.1,"Low",IF(Table1[[#This Row],[Discount]]&lt;=0.2,"medium","high")))</f>
        <v>No Discount</v>
      </c>
    </row>
    <row r="469" spans="1:22" x14ac:dyDescent="0.3">
      <c r="A469" t="s">
        <v>750</v>
      </c>
      <c r="B469" s="6">
        <v>45369</v>
      </c>
      <c r="C469" t="s">
        <v>751</v>
      </c>
      <c r="D469" t="s">
        <v>24</v>
      </c>
      <c r="E469" t="s">
        <v>25</v>
      </c>
      <c r="F469" t="s">
        <v>26</v>
      </c>
      <c r="G469" t="s">
        <v>27</v>
      </c>
      <c r="H469" t="s">
        <v>200</v>
      </c>
      <c r="I469">
        <v>10166.4</v>
      </c>
      <c r="J469">
        <v>10</v>
      </c>
      <c r="K469">
        <v>0.15</v>
      </c>
      <c r="L469">
        <v>333.35</v>
      </c>
      <c r="M469" t="s">
        <v>90</v>
      </c>
      <c r="N469" t="s">
        <v>38</v>
      </c>
      <c r="O469" t="str">
        <f t="shared" si="14"/>
        <v>Good</v>
      </c>
      <c r="P469">
        <f t="shared" si="15"/>
        <v>1016.64</v>
      </c>
      <c r="Q469">
        <v>45369</v>
      </c>
      <c r="R469">
        <f>YEAR(Table1[[#This Row],[Order_Date_New]])</f>
        <v>2024</v>
      </c>
      <c r="S469">
        <f>MONTH(Table1[[#This Row],[Order_Date_New]])</f>
        <v>3</v>
      </c>
      <c r="T469" t="str">
        <f>TEXT(Table1[[#This Row],[Order_Date_New]],"mmmm")</f>
        <v>March</v>
      </c>
      <c r="U469">
        <f>Table1[[#This Row],[Profit]]/Table1[[#This Row],[Sales]]</f>
        <v>3.2789384639597109E-2</v>
      </c>
      <c r="V469" t="str">
        <f>IF(Table1[[#This Row],[Discount]]=0,"No Discount",IF(Table1[[#This Row],[Discount]]&lt;=0.1,"Low",IF(Table1[[#This Row],[Discount]]&lt;=0.2,"medium","high")))</f>
        <v>medium</v>
      </c>
    </row>
    <row r="470" spans="1:22" x14ac:dyDescent="0.3">
      <c r="A470" t="s">
        <v>752</v>
      </c>
      <c r="B470" s="6">
        <v>45594</v>
      </c>
      <c r="C470" t="s">
        <v>664</v>
      </c>
      <c r="D470" t="s">
        <v>24</v>
      </c>
      <c r="E470" t="s">
        <v>97</v>
      </c>
      <c r="F470" t="s">
        <v>72</v>
      </c>
      <c r="G470" t="s">
        <v>73</v>
      </c>
      <c r="H470" t="s">
        <v>102</v>
      </c>
      <c r="I470">
        <v>1423.02</v>
      </c>
      <c r="J470">
        <v>3</v>
      </c>
      <c r="K470">
        <v>0.1</v>
      </c>
      <c r="L470">
        <v>-21.26</v>
      </c>
      <c r="M470" t="s">
        <v>29</v>
      </c>
      <c r="N470" t="s">
        <v>30</v>
      </c>
      <c r="O470" t="str">
        <f t="shared" si="14"/>
        <v>Bad</v>
      </c>
      <c r="P470">
        <f t="shared" si="15"/>
        <v>474.34</v>
      </c>
      <c r="Q470">
        <v>45594</v>
      </c>
      <c r="R470">
        <f>YEAR(Table1[[#This Row],[Order_Date_New]])</f>
        <v>2024</v>
      </c>
      <c r="S470">
        <f>MONTH(Table1[[#This Row],[Order_Date_New]])</f>
        <v>10</v>
      </c>
      <c r="T470" t="str">
        <f>TEXT(Table1[[#This Row],[Order_Date_New]],"mmmm")</f>
        <v>October</v>
      </c>
      <c r="U470">
        <f>Table1[[#This Row],[Profit]]/Table1[[#This Row],[Sales]]</f>
        <v>-1.4940057061741931E-2</v>
      </c>
      <c r="V470" t="str">
        <f>IF(Table1[[#This Row],[Discount]]=0,"No Discount",IF(Table1[[#This Row],[Discount]]&lt;=0.1,"Low",IF(Table1[[#This Row],[Discount]]&lt;=0.2,"medium","high")))</f>
        <v>Low</v>
      </c>
    </row>
    <row r="471" spans="1:22" x14ac:dyDescent="0.3">
      <c r="A471" t="s">
        <v>753</v>
      </c>
      <c r="B471" s="6">
        <v>45602</v>
      </c>
      <c r="C471" t="s">
        <v>490</v>
      </c>
      <c r="D471" t="s">
        <v>53</v>
      </c>
      <c r="E471" t="s">
        <v>77</v>
      </c>
      <c r="F471" t="s">
        <v>26</v>
      </c>
      <c r="G471" t="s">
        <v>41</v>
      </c>
      <c r="H471" t="s">
        <v>189</v>
      </c>
      <c r="I471">
        <v>1286.01</v>
      </c>
      <c r="J471">
        <v>3</v>
      </c>
      <c r="K471">
        <v>0.25</v>
      </c>
      <c r="L471">
        <v>103.06</v>
      </c>
      <c r="M471" t="s">
        <v>105</v>
      </c>
      <c r="N471" t="s">
        <v>38</v>
      </c>
      <c r="O471" t="str">
        <f t="shared" si="14"/>
        <v>Bad</v>
      </c>
      <c r="P471">
        <f t="shared" si="15"/>
        <v>428.67</v>
      </c>
      <c r="Q471">
        <v>45602</v>
      </c>
      <c r="R471">
        <f>YEAR(Table1[[#This Row],[Order_Date_New]])</f>
        <v>2024</v>
      </c>
      <c r="S471">
        <f>MONTH(Table1[[#This Row],[Order_Date_New]])</f>
        <v>11</v>
      </c>
      <c r="T471" t="str">
        <f>TEXT(Table1[[#This Row],[Order_Date_New]],"mmmm")</f>
        <v>November</v>
      </c>
      <c r="U471">
        <f>Table1[[#This Row],[Profit]]/Table1[[#This Row],[Sales]]</f>
        <v>8.0139345728260286E-2</v>
      </c>
      <c r="V471" t="str">
        <f>IF(Table1[[#This Row],[Discount]]=0,"No Discount",IF(Table1[[#This Row],[Discount]]&lt;=0.1,"Low",IF(Table1[[#This Row],[Discount]]&lt;=0.2,"medium","high")))</f>
        <v>high</v>
      </c>
    </row>
    <row r="472" spans="1:22" x14ac:dyDescent="0.3">
      <c r="A472" t="s">
        <v>754</v>
      </c>
      <c r="B472" s="6">
        <v>45395</v>
      </c>
      <c r="C472" t="s">
        <v>588</v>
      </c>
      <c r="D472" t="s">
        <v>128</v>
      </c>
      <c r="E472" t="s">
        <v>132</v>
      </c>
      <c r="F472" t="s">
        <v>26</v>
      </c>
      <c r="G472" t="s">
        <v>27</v>
      </c>
      <c r="H472" t="s">
        <v>271</v>
      </c>
      <c r="I472">
        <v>8850.6</v>
      </c>
      <c r="J472">
        <v>9</v>
      </c>
      <c r="K472">
        <v>0.25</v>
      </c>
      <c r="L472">
        <v>1647.86</v>
      </c>
      <c r="M472" t="s">
        <v>170</v>
      </c>
      <c r="N472" t="s">
        <v>38</v>
      </c>
      <c r="O472" t="str">
        <f t="shared" si="14"/>
        <v>Good</v>
      </c>
      <c r="P472">
        <f t="shared" si="15"/>
        <v>983.40000000000009</v>
      </c>
      <c r="Q472">
        <v>45395</v>
      </c>
      <c r="R472">
        <f>YEAR(Table1[[#This Row],[Order_Date_New]])</f>
        <v>2024</v>
      </c>
      <c r="S472">
        <f>MONTH(Table1[[#This Row],[Order_Date_New]])</f>
        <v>4</v>
      </c>
      <c r="T472" t="str">
        <f>TEXT(Table1[[#This Row],[Order_Date_New]],"mmmm")</f>
        <v>April</v>
      </c>
      <c r="U472">
        <f>Table1[[#This Row],[Profit]]/Table1[[#This Row],[Sales]]</f>
        <v>0.18618624726007274</v>
      </c>
      <c r="V472" t="str">
        <f>IF(Table1[[#This Row],[Discount]]=0,"No Discount",IF(Table1[[#This Row],[Discount]]&lt;=0.1,"Low",IF(Table1[[#This Row],[Discount]]&lt;=0.2,"medium","high")))</f>
        <v>high</v>
      </c>
    </row>
    <row r="473" spans="1:22" x14ac:dyDescent="0.3">
      <c r="A473" t="s">
        <v>755</v>
      </c>
      <c r="B473" s="6">
        <v>45417</v>
      </c>
      <c r="C473" t="s">
        <v>533</v>
      </c>
      <c r="D473" t="s">
        <v>33</v>
      </c>
      <c r="E473" t="s">
        <v>66</v>
      </c>
      <c r="F473" t="s">
        <v>72</v>
      </c>
      <c r="G473" t="s">
        <v>88</v>
      </c>
      <c r="H473" t="s">
        <v>89</v>
      </c>
      <c r="I473">
        <v>1180.1400000000001</v>
      </c>
      <c r="J473">
        <v>3</v>
      </c>
      <c r="K473">
        <v>0.05</v>
      </c>
      <c r="L473">
        <v>81.94</v>
      </c>
      <c r="M473" t="s">
        <v>68</v>
      </c>
      <c r="N473" t="s">
        <v>80</v>
      </c>
      <c r="O473" t="str">
        <f t="shared" si="14"/>
        <v>Bad</v>
      </c>
      <c r="P473">
        <f t="shared" si="15"/>
        <v>393.38000000000005</v>
      </c>
      <c r="Q473">
        <v>45417</v>
      </c>
      <c r="R473">
        <f>YEAR(Table1[[#This Row],[Order_Date_New]])</f>
        <v>2024</v>
      </c>
      <c r="S473">
        <f>MONTH(Table1[[#This Row],[Order_Date_New]])</f>
        <v>5</v>
      </c>
      <c r="T473" t="str">
        <f>TEXT(Table1[[#This Row],[Order_Date_New]],"mmmm")</f>
        <v>May</v>
      </c>
      <c r="U473">
        <f>Table1[[#This Row],[Profit]]/Table1[[#This Row],[Sales]]</f>
        <v>6.9432440218957059E-2</v>
      </c>
      <c r="V473" t="str">
        <f>IF(Table1[[#This Row],[Discount]]=0,"No Discount",IF(Table1[[#This Row],[Discount]]&lt;=0.1,"Low",IF(Table1[[#This Row],[Discount]]&lt;=0.2,"medium","high")))</f>
        <v>Low</v>
      </c>
    </row>
    <row r="474" spans="1:22" x14ac:dyDescent="0.3">
      <c r="A474" t="s">
        <v>756</v>
      </c>
      <c r="B474" s="6">
        <v>45501</v>
      </c>
      <c r="C474" t="s">
        <v>235</v>
      </c>
      <c r="D474" t="s">
        <v>53</v>
      </c>
      <c r="E474" t="s">
        <v>54</v>
      </c>
      <c r="F474" t="s">
        <v>60</v>
      </c>
      <c r="G474" t="s">
        <v>98</v>
      </c>
      <c r="H474" t="s">
        <v>138</v>
      </c>
      <c r="I474">
        <v>7931.61</v>
      </c>
      <c r="J474">
        <v>9</v>
      </c>
      <c r="K474">
        <v>0</v>
      </c>
      <c r="L474">
        <v>1564.09</v>
      </c>
      <c r="M474" t="s">
        <v>43</v>
      </c>
      <c r="N474" t="s">
        <v>38</v>
      </c>
      <c r="O474" t="str">
        <f t="shared" si="14"/>
        <v>Good</v>
      </c>
      <c r="P474">
        <f t="shared" si="15"/>
        <v>881.29</v>
      </c>
      <c r="Q474">
        <v>45501</v>
      </c>
      <c r="R474">
        <f>YEAR(Table1[[#This Row],[Order_Date_New]])</f>
        <v>2024</v>
      </c>
      <c r="S474">
        <f>MONTH(Table1[[#This Row],[Order_Date_New]])</f>
        <v>7</v>
      </c>
      <c r="T474" t="str">
        <f>TEXT(Table1[[#This Row],[Order_Date_New]],"mmmm")</f>
        <v>July</v>
      </c>
      <c r="U474">
        <f>Table1[[#This Row],[Profit]]/Table1[[#This Row],[Sales]]</f>
        <v>0.1971970381801425</v>
      </c>
      <c r="V474" t="str">
        <f>IF(Table1[[#This Row],[Discount]]=0,"No Discount",IF(Table1[[#This Row],[Discount]]&lt;=0.1,"Low",IF(Table1[[#This Row],[Discount]]&lt;=0.2,"medium","high")))</f>
        <v>No Discount</v>
      </c>
    </row>
    <row r="475" spans="1:22" x14ac:dyDescent="0.3">
      <c r="A475" t="s">
        <v>757</v>
      </c>
      <c r="B475" s="6">
        <v>45867</v>
      </c>
      <c r="C475" t="s">
        <v>253</v>
      </c>
      <c r="D475" t="s">
        <v>53</v>
      </c>
      <c r="E475" t="s">
        <v>107</v>
      </c>
      <c r="F475" t="s">
        <v>72</v>
      </c>
      <c r="G475" t="s">
        <v>88</v>
      </c>
      <c r="H475" t="s">
        <v>119</v>
      </c>
      <c r="I475">
        <v>9247.41</v>
      </c>
      <c r="J475">
        <v>9</v>
      </c>
      <c r="K475">
        <v>0.15</v>
      </c>
      <c r="L475">
        <v>381.51</v>
      </c>
      <c r="M475" t="s">
        <v>68</v>
      </c>
      <c r="N475" t="s">
        <v>44</v>
      </c>
      <c r="O475" t="str">
        <f t="shared" si="14"/>
        <v>Good</v>
      </c>
      <c r="P475">
        <f t="shared" si="15"/>
        <v>1027.49</v>
      </c>
      <c r="Q475">
        <v>45867</v>
      </c>
      <c r="R475">
        <f>YEAR(Table1[[#This Row],[Order_Date_New]])</f>
        <v>2025</v>
      </c>
      <c r="S475">
        <f>MONTH(Table1[[#This Row],[Order_Date_New]])</f>
        <v>7</v>
      </c>
      <c r="T475" t="str">
        <f>TEXT(Table1[[#This Row],[Order_Date_New]],"mmmm")</f>
        <v>July</v>
      </c>
      <c r="U475">
        <f>Table1[[#This Row],[Profit]]/Table1[[#This Row],[Sales]]</f>
        <v>4.1255875969595811E-2</v>
      </c>
      <c r="V475" t="str">
        <f>IF(Table1[[#This Row],[Discount]]=0,"No Discount",IF(Table1[[#This Row],[Discount]]&lt;=0.1,"Low",IF(Table1[[#This Row],[Discount]]&lt;=0.2,"medium","high")))</f>
        <v>medium</v>
      </c>
    </row>
    <row r="476" spans="1:22" x14ac:dyDescent="0.3">
      <c r="A476" t="s">
        <v>758</v>
      </c>
      <c r="B476" s="6">
        <v>45659</v>
      </c>
      <c r="C476" t="s">
        <v>601</v>
      </c>
      <c r="D476" t="s">
        <v>33</v>
      </c>
      <c r="E476" t="s">
        <v>34</v>
      </c>
      <c r="F476" t="s">
        <v>60</v>
      </c>
      <c r="G476" t="s">
        <v>61</v>
      </c>
      <c r="H476" t="s">
        <v>62</v>
      </c>
      <c r="I476">
        <v>2335.48</v>
      </c>
      <c r="J476">
        <v>4</v>
      </c>
      <c r="K476">
        <v>0.15</v>
      </c>
      <c r="L476">
        <v>59.81</v>
      </c>
      <c r="M476" t="s">
        <v>170</v>
      </c>
      <c r="N476" t="s">
        <v>38</v>
      </c>
      <c r="O476" t="str">
        <f t="shared" si="14"/>
        <v>Bad</v>
      </c>
      <c r="P476">
        <f t="shared" si="15"/>
        <v>583.87</v>
      </c>
      <c r="Q476">
        <v>45659</v>
      </c>
      <c r="R476">
        <f>YEAR(Table1[[#This Row],[Order_Date_New]])</f>
        <v>2025</v>
      </c>
      <c r="S476">
        <f>MONTH(Table1[[#This Row],[Order_Date_New]])</f>
        <v>1</v>
      </c>
      <c r="T476" t="str">
        <f>TEXT(Table1[[#This Row],[Order_Date_New]],"mmmm")</f>
        <v>January</v>
      </c>
      <c r="U476">
        <f>Table1[[#This Row],[Profit]]/Table1[[#This Row],[Sales]]</f>
        <v>2.5609296589994349E-2</v>
      </c>
      <c r="V476" t="str">
        <f>IF(Table1[[#This Row],[Discount]]=0,"No Discount",IF(Table1[[#This Row],[Discount]]&lt;=0.1,"Low",IF(Table1[[#This Row],[Discount]]&lt;=0.2,"medium","high")))</f>
        <v>medium</v>
      </c>
    </row>
    <row r="477" spans="1:22" x14ac:dyDescent="0.3">
      <c r="A477" t="s">
        <v>759</v>
      </c>
      <c r="B477" s="6">
        <v>45640</v>
      </c>
      <c r="C477" t="s">
        <v>760</v>
      </c>
      <c r="D477" t="s">
        <v>128</v>
      </c>
      <c r="E477" t="s">
        <v>132</v>
      </c>
      <c r="F477" t="s">
        <v>60</v>
      </c>
      <c r="G477" t="s">
        <v>61</v>
      </c>
      <c r="H477" t="s">
        <v>122</v>
      </c>
      <c r="I477">
        <v>1310.76</v>
      </c>
      <c r="J477">
        <v>2</v>
      </c>
      <c r="K477">
        <v>0.3</v>
      </c>
      <c r="L477">
        <v>-102.92</v>
      </c>
      <c r="M477" t="s">
        <v>170</v>
      </c>
      <c r="N477" t="s">
        <v>38</v>
      </c>
      <c r="O477" t="str">
        <f t="shared" si="14"/>
        <v>Bad</v>
      </c>
      <c r="P477">
        <f t="shared" si="15"/>
        <v>655.38</v>
      </c>
      <c r="Q477">
        <v>45640</v>
      </c>
      <c r="R477">
        <f>YEAR(Table1[[#This Row],[Order_Date_New]])</f>
        <v>2024</v>
      </c>
      <c r="S477">
        <f>MONTH(Table1[[#This Row],[Order_Date_New]])</f>
        <v>12</v>
      </c>
      <c r="T477" t="str">
        <f>TEXT(Table1[[#This Row],[Order_Date_New]],"mmmm")</f>
        <v>December</v>
      </c>
      <c r="U477">
        <f>Table1[[#This Row],[Profit]]/Table1[[#This Row],[Sales]]</f>
        <v>-7.8519332295767338E-2</v>
      </c>
      <c r="V477" t="str">
        <f>IF(Table1[[#This Row],[Discount]]=0,"No Discount",IF(Table1[[#This Row],[Discount]]&lt;=0.1,"Low",IF(Table1[[#This Row],[Discount]]&lt;=0.2,"medium","high")))</f>
        <v>high</v>
      </c>
    </row>
    <row r="478" spans="1:22" x14ac:dyDescent="0.3">
      <c r="A478" t="s">
        <v>761</v>
      </c>
      <c r="B478" s="6">
        <v>45551</v>
      </c>
      <c r="C478" t="s">
        <v>186</v>
      </c>
      <c r="D478" t="s">
        <v>53</v>
      </c>
      <c r="E478" t="s">
        <v>107</v>
      </c>
      <c r="F478" t="s">
        <v>72</v>
      </c>
      <c r="G478" t="s">
        <v>111</v>
      </c>
      <c r="H478" t="s">
        <v>182</v>
      </c>
      <c r="I478">
        <v>1003.82</v>
      </c>
      <c r="J478">
        <v>1</v>
      </c>
      <c r="K478">
        <v>0.3</v>
      </c>
      <c r="L478">
        <v>-33.39</v>
      </c>
      <c r="M478" t="s">
        <v>37</v>
      </c>
      <c r="N478" t="s">
        <v>38</v>
      </c>
      <c r="O478" t="str">
        <f t="shared" si="14"/>
        <v>Bad</v>
      </c>
      <c r="P478">
        <f t="shared" si="15"/>
        <v>1003.82</v>
      </c>
      <c r="Q478">
        <v>45551</v>
      </c>
      <c r="R478">
        <f>YEAR(Table1[[#This Row],[Order_Date_New]])</f>
        <v>2024</v>
      </c>
      <c r="S478">
        <f>MONTH(Table1[[#This Row],[Order_Date_New]])</f>
        <v>9</v>
      </c>
      <c r="T478" t="str">
        <f>TEXT(Table1[[#This Row],[Order_Date_New]],"mmmm")</f>
        <v>September</v>
      </c>
      <c r="U478">
        <f>Table1[[#This Row],[Profit]]/Table1[[#This Row],[Sales]]</f>
        <v>-3.3262935586061242E-2</v>
      </c>
      <c r="V478" t="str">
        <f>IF(Table1[[#This Row],[Discount]]=0,"No Discount",IF(Table1[[#This Row],[Discount]]&lt;=0.1,"Low",IF(Table1[[#This Row],[Discount]]&lt;=0.2,"medium","high")))</f>
        <v>high</v>
      </c>
    </row>
    <row r="479" spans="1:22" x14ac:dyDescent="0.3">
      <c r="A479" t="s">
        <v>762</v>
      </c>
      <c r="B479" s="6">
        <v>45540</v>
      </c>
      <c r="C479" t="s">
        <v>96</v>
      </c>
      <c r="D479" t="s">
        <v>128</v>
      </c>
      <c r="E479" t="s">
        <v>129</v>
      </c>
      <c r="F479" t="s">
        <v>72</v>
      </c>
      <c r="G479" t="s">
        <v>111</v>
      </c>
      <c r="H479" t="s">
        <v>158</v>
      </c>
      <c r="I479">
        <v>1354.74</v>
      </c>
      <c r="J479">
        <v>2</v>
      </c>
      <c r="K479">
        <v>0.2</v>
      </c>
      <c r="L479">
        <v>-69.84</v>
      </c>
      <c r="M479" t="s">
        <v>49</v>
      </c>
      <c r="N479" t="s">
        <v>44</v>
      </c>
      <c r="O479" t="str">
        <f t="shared" si="14"/>
        <v>Bad</v>
      </c>
      <c r="P479">
        <f t="shared" si="15"/>
        <v>677.37</v>
      </c>
      <c r="Q479">
        <v>45540</v>
      </c>
      <c r="R479">
        <f>YEAR(Table1[[#This Row],[Order_Date_New]])</f>
        <v>2024</v>
      </c>
      <c r="S479">
        <f>MONTH(Table1[[#This Row],[Order_Date_New]])</f>
        <v>9</v>
      </c>
      <c r="T479" t="str">
        <f>TEXT(Table1[[#This Row],[Order_Date_New]],"mmmm")</f>
        <v>September</v>
      </c>
      <c r="U479">
        <f>Table1[[#This Row],[Profit]]/Table1[[#This Row],[Sales]]</f>
        <v>-5.1552327383852257E-2</v>
      </c>
      <c r="V479" t="str">
        <f>IF(Table1[[#This Row],[Discount]]=0,"No Discount",IF(Table1[[#This Row],[Discount]]&lt;=0.1,"Low",IF(Table1[[#This Row],[Discount]]&lt;=0.2,"medium","high")))</f>
        <v>medium</v>
      </c>
    </row>
    <row r="480" spans="1:22" x14ac:dyDescent="0.3">
      <c r="A480" t="s">
        <v>763</v>
      </c>
      <c r="B480" s="6">
        <v>45400</v>
      </c>
      <c r="C480" t="s">
        <v>764</v>
      </c>
      <c r="D480" t="s">
        <v>33</v>
      </c>
      <c r="E480" t="s">
        <v>48</v>
      </c>
      <c r="F480" t="s">
        <v>60</v>
      </c>
      <c r="G480" t="s">
        <v>98</v>
      </c>
      <c r="H480" t="s">
        <v>141</v>
      </c>
      <c r="I480">
        <v>5809.86</v>
      </c>
      <c r="J480">
        <v>6</v>
      </c>
      <c r="K480">
        <v>0.15</v>
      </c>
      <c r="L480">
        <v>-469.45</v>
      </c>
      <c r="M480" t="s">
        <v>37</v>
      </c>
      <c r="N480" t="s">
        <v>80</v>
      </c>
      <c r="O480" t="str">
        <f t="shared" si="14"/>
        <v>Bad</v>
      </c>
      <c r="P480">
        <f t="shared" si="15"/>
        <v>968.31</v>
      </c>
      <c r="Q480">
        <v>45400</v>
      </c>
      <c r="R480">
        <f>YEAR(Table1[[#This Row],[Order_Date_New]])</f>
        <v>2024</v>
      </c>
      <c r="S480">
        <f>MONTH(Table1[[#This Row],[Order_Date_New]])</f>
        <v>4</v>
      </c>
      <c r="T480" t="str">
        <f>TEXT(Table1[[#This Row],[Order_Date_New]],"mmmm")</f>
        <v>April</v>
      </c>
      <c r="U480">
        <f>Table1[[#This Row],[Profit]]/Table1[[#This Row],[Sales]]</f>
        <v>-8.0802291277242477E-2</v>
      </c>
      <c r="V480" t="str">
        <f>IF(Table1[[#This Row],[Discount]]=0,"No Discount",IF(Table1[[#This Row],[Discount]]&lt;=0.1,"Low",IF(Table1[[#This Row],[Discount]]&lt;=0.2,"medium","high")))</f>
        <v>medium</v>
      </c>
    </row>
    <row r="481" spans="1:22" x14ac:dyDescent="0.3">
      <c r="A481" t="s">
        <v>765</v>
      </c>
      <c r="B481" s="6">
        <v>45440</v>
      </c>
      <c r="C481" t="s">
        <v>601</v>
      </c>
      <c r="D481" t="s">
        <v>53</v>
      </c>
      <c r="E481" t="s">
        <v>77</v>
      </c>
      <c r="F481" t="s">
        <v>26</v>
      </c>
      <c r="G481" t="s">
        <v>27</v>
      </c>
      <c r="H481" t="s">
        <v>271</v>
      </c>
      <c r="I481">
        <v>1242.6400000000001</v>
      </c>
      <c r="J481">
        <v>8</v>
      </c>
      <c r="K481">
        <v>0.05</v>
      </c>
      <c r="L481">
        <v>58.03</v>
      </c>
      <c r="M481" t="s">
        <v>43</v>
      </c>
      <c r="N481" t="s">
        <v>38</v>
      </c>
      <c r="O481" t="str">
        <f t="shared" si="14"/>
        <v>Bad</v>
      </c>
      <c r="P481">
        <f t="shared" si="15"/>
        <v>155.33000000000001</v>
      </c>
      <c r="Q481">
        <v>45440</v>
      </c>
      <c r="R481">
        <f>YEAR(Table1[[#This Row],[Order_Date_New]])</f>
        <v>2024</v>
      </c>
      <c r="S481">
        <f>MONTH(Table1[[#This Row],[Order_Date_New]])</f>
        <v>5</v>
      </c>
      <c r="T481" t="str">
        <f>TEXT(Table1[[#This Row],[Order_Date_New]],"mmmm")</f>
        <v>May</v>
      </c>
      <c r="U481">
        <f>Table1[[#This Row],[Profit]]/Table1[[#This Row],[Sales]]</f>
        <v>4.6698963497070749E-2</v>
      </c>
      <c r="V481" t="str">
        <f>IF(Table1[[#This Row],[Discount]]=0,"No Discount",IF(Table1[[#This Row],[Discount]]&lt;=0.1,"Low",IF(Table1[[#This Row],[Discount]]&lt;=0.2,"medium","high")))</f>
        <v>Low</v>
      </c>
    </row>
    <row r="482" spans="1:22" x14ac:dyDescent="0.3">
      <c r="A482" t="s">
        <v>766</v>
      </c>
      <c r="B482" s="6">
        <v>45958</v>
      </c>
      <c r="C482" t="s">
        <v>110</v>
      </c>
      <c r="D482" t="s">
        <v>128</v>
      </c>
      <c r="E482" t="s">
        <v>202</v>
      </c>
      <c r="F482" t="s">
        <v>72</v>
      </c>
      <c r="G482" t="s">
        <v>111</v>
      </c>
      <c r="H482" t="s">
        <v>112</v>
      </c>
      <c r="I482">
        <v>2919.12</v>
      </c>
      <c r="J482">
        <v>3</v>
      </c>
      <c r="K482">
        <v>0.15</v>
      </c>
      <c r="L482">
        <v>140.53</v>
      </c>
      <c r="M482" t="s">
        <v>105</v>
      </c>
      <c r="N482" t="s">
        <v>30</v>
      </c>
      <c r="O482" t="str">
        <f t="shared" si="14"/>
        <v>Bad</v>
      </c>
      <c r="P482">
        <f t="shared" si="15"/>
        <v>973.04</v>
      </c>
      <c r="Q482">
        <v>45958</v>
      </c>
      <c r="R482">
        <f>YEAR(Table1[[#This Row],[Order_Date_New]])</f>
        <v>2025</v>
      </c>
      <c r="S482">
        <f>MONTH(Table1[[#This Row],[Order_Date_New]])</f>
        <v>10</v>
      </c>
      <c r="T482" t="str">
        <f>TEXT(Table1[[#This Row],[Order_Date_New]],"mmmm")</f>
        <v>October</v>
      </c>
      <c r="U482">
        <f>Table1[[#This Row],[Profit]]/Table1[[#This Row],[Sales]]</f>
        <v>4.8141220641837269E-2</v>
      </c>
      <c r="V482" t="str">
        <f>IF(Table1[[#This Row],[Discount]]=0,"No Discount",IF(Table1[[#This Row],[Discount]]&lt;=0.1,"Low",IF(Table1[[#This Row],[Discount]]&lt;=0.2,"medium","high")))</f>
        <v>medium</v>
      </c>
    </row>
    <row r="483" spans="1:22" x14ac:dyDescent="0.3">
      <c r="A483" t="s">
        <v>767</v>
      </c>
      <c r="B483" s="6">
        <v>45599</v>
      </c>
      <c r="C483" t="s">
        <v>231</v>
      </c>
      <c r="D483" t="s">
        <v>53</v>
      </c>
      <c r="E483" t="s">
        <v>107</v>
      </c>
      <c r="F483" t="s">
        <v>60</v>
      </c>
      <c r="G483" t="s">
        <v>98</v>
      </c>
      <c r="H483" t="s">
        <v>141</v>
      </c>
      <c r="I483">
        <v>2424.39</v>
      </c>
      <c r="J483">
        <v>3</v>
      </c>
      <c r="K483">
        <v>0.1</v>
      </c>
      <c r="L483">
        <v>370.12</v>
      </c>
      <c r="M483" t="s">
        <v>170</v>
      </c>
      <c r="N483" t="s">
        <v>38</v>
      </c>
      <c r="O483" t="str">
        <f t="shared" si="14"/>
        <v>Bad</v>
      </c>
      <c r="P483">
        <f t="shared" si="15"/>
        <v>808.13</v>
      </c>
      <c r="Q483">
        <v>45599</v>
      </c>
      <c r="R483">
        <f>YEAR(Table1[[#This Row],[Order_Date_New]])</f>
        <v>2024</v>
      </c>
      <c r="S483">
        <f>MONTH(Table1[[#This Row],[Order_Date_New]])</f>
        <v>11</v>
      </c>
      <c r="T483" t="str">
        <f>TEXT(Table1[[#This Row],[Order_Date_New]],"mmmm")</f>
        <v>November</v>
      </c>
      <c r="U483">
        <f>Table1[[#This Row],[Profit]]/Table1[[#This Row],[Sales]]</f>
        <v>0.15266520650555399</v>
      </c>
      <c r="V483" t="str">
        <f>IF(Table1[[#This Row],[Discount]]=0,"No Discount",IF(Table1[[#This Row],[Discount]]&lt;=0.1,"Low",IF(Table1[[#This Row],[Discount]]&lt;=0.2,"medium","high")))</f>
        <v>Low</v>
      </c>
    </row>
    <row r="484" spans="1:22" x14ac:dyDescent="0.3">
      <c r="A484" t="s">
        <v>768</v>
      </c>
      <c r="B484" s="6">
        <v>45592</v>
      </c>
      <c r="C484" t="s">
        <v>104</v>
      </c>
      <c r="D484" t="s">
        <v>128</v>
      </c>
      <c r="E484" t="s">
        <v>202</v>
      </c>
      <c r="F484" t="s">
        <v>60</v>
      </c>
      <c r="G484" t="s">
        <v>78</v>
      </c>
      <c r="H484" t="s">
        <v>222</v>
      </c>
      <c r="I484">
        <v>4942.5</v>
      </c>
      <c r="J484">
        <v>5</v>
      </c>
      <c r="K484">
        <v>0.05</v>
      </c>
      <c r="L484">
        <v>1137.3699999999999</v>
      </c>
      <c r="M484" t="s">
        <v>43</v>
      </c>
      <c r="N484" t="s">
        <v>80</v>
      </c>
      <c r="O484" t="str">
        <f t="shared" si="14"/>
        <v>Bad</v>
      </c>
      <c r="P484">
        <f t="shared" si="15"/>
        <v>988.5</v>
      </c>
      <c r="Q484">
        <v>45592</v>
      </c>
      <c r="R484">
        <f>YEAR(Table1[[#This Row],[Order_Date_New]])</f>
        <v>2024</v>
      </c>
      <c r="S484">
        <f>MONTH(Table1[[#This Row],[Order_Date_New]])</f>
        <v>10</v>
      </c>
      <c r="T484" t="str">
        <f>TEXT(Table1[[#This Row],[Order_Date_New]],"mmmm")</f>
        <v>October</v>
      </c>
      <c r="U484">
        <f>Table1[[#This Row],[Profit]]/Table1[[#This Row],[Sales]]</f>
        <v>0.23012038442083962</v>
      </c>
      <c r="V484" t="str">
        <f>IF(Table1[[#This Row],[Discount]]=0,"No Discount",IF(Table1[[#This Row],[Discount]]&lt;=0.1,"Low",IF(Table1[[#This Row],[Discount]]&lt;=0.2,"medium","high")))</f>
        <v>Low</v>
      </c>
    </row>
    <row r="485" spans="1:22" x14ac:dyDescent="0.3">
      <c r="A485" t="s">
        <v>769</v>
      </c>
      <c r="B485" s="6">
        <v>45662</v>
      </c>
      <c r="C485" t="s">
        <v>601</v>
      </c>
      <c r="D485" t="s">
        <v>24</v>
      </c>
      <c r="E485" t="s">
        <v>97</v>
      </c>
      <c r="F485" t="s">
        <v>60</v>
      </c>
      <c r="G485" t="s">
        <v>98</v>
      </c>
      <c r="H485" t="s">
        <v>141</v>
      </c>
      <c r="I485">
        <v>6463.38</v>
      </c>
      <c r="J485">
        <v>7</v>
      </c>
      <c r="K485">
        <v>0</v>
      </c>
      <c r="L485">
        <v>2258.39</v>
      </c>
      <c r="M485" t="s">
        <v>29</v>
      </c>
      <c r="N485" t="s">
        <v>38</v>
      </c>
      <c r="O485" t="str">
        <f t="shared" si="14"/>
        <v>Bad</v>
      </c>
      <c r="P485">
        <f t="shared" si="15"/>
        <v>923.34</v>
      </c>
      <c r="Q485">
        <v>45662</v>
      </c>
      <c r="R485">
        <f>YEAR(Table1[[#This Row],[Order_Date_New]])</f>
        <v>2025</v>
      </c>
      <c r="S485">
        <f>MONTH(Table1[[#This Row],[Order_Date_New]])</f>
        <v>1</v>
      </c>
      <c r="T485" t="str">
        <f>TEXT(Table1[[#This Row],[Order_Date_New]],"mmmm")</f>
        <v>January</v>
      </c>
      <c r="U485">
        <f>Table1[[#This Row],[Profit]]/Table1[[#This Row],[Sales]]</f>
        <v>0.34941315534596445</v>
      </c>
      <c r="V485" t="str">
        <f>IF(Table1[[#This Row],[Discount]]=0,"No Discount",IF(Table1[[#This Row],[Discount]]&lt;=0.1,"Low",IF(Table1[[#This Row],[Discount]]&lt;=0.2,"medium","high")))</f>
        <v>No Discount</v>
      </c>
    </row>
    <row r="486" spans="1:22" x14ac:dyDescent="0.3">
      <c r="A486" t="s">
        <v>770</v>
      </c>
      <c r="B486" s="6">
        <v>45487</v>
      </c>
      <c r="C486" t="s">
        <v>239</v>
      </c>
      <c r="D486" t="s">
        <v>33</v>
      </c>
      <c r="E486" t="s">
        <v>34</v>
      </c>
      <c r="F486" t="s">
        <v>60</v>
      </c>
      <c r="G486" t="s">
        <v>98</v>
      </c>
      <c r="H486" t="s">
        <v>99</v>
      </c>
      <c r="I486">
        <v>239.2</v>
      </c>
      <c r="J486">
        <v>10</v>
      </c>
      <c r="K486">
        <v>0</v>
      </c>
      <c r="L486">
        <v>95.36</v>
      </c>
      <c r="M486" t="s">
        <v>68</v>
      </c>
      <c r="N486" t="s">
        <v>80</v>
      </c>
      <c r="O486" t="str">
        <f t="shared" si="14"/>
        <v>Bad</v>
      </c>
      <c r="P486">
        <f t="shared" si="15"/>
        <v>23.919999999999998</v>
      </c>
      <c r="Q486">
        <v>45487</v>
      </c>
      <c r="R486">
        <f>YEAR(Table1[[#This Row],[Order_Date_New]])</f>
        <v>2024</v>
      </c>
      <c r="S486">
        <f>MONTH(Table1[[#This Row],[Order_Date_New]])</f>
        <v>7</v>
      </c>
      <c r="T486" t="str">
        <f>TEXT(Table1[[#This Row],[Order_Date_New]],"mmmm")</f>
        <v>July</v>
      </c>
      <c r="U486">
        <f>Table1[[#This Row],[Profit]]/Table1[[#This Row],[Sales]]</f>
        <v>0.39866220735785957</v>
      </c>
      <c r="V486" t="str">
        <f>IF(Table1[[#This Row],[Discount]]=0,"No Discount",IF(Table1[[#This Row],[Discount]]&lt;=0.1,"Low",IF(Table1[[#This Row],[Discount]]&lt;=0.2,"medium","high")))</f>
        <v>No Discount</v>
      </c>
    </row>
    <row r="487" spans="1:22" x14ac:dyDescent="0.3">
      <c r="A487" t="s">
        <v>771</v>
      </c>
      <c r="B487" s="6">
        <v>45797</v>
      </c>
      <c r="C487" t="s">
        <v>161</v>
      </c>
      <c r="D487" t="s">
        <v>33</v>
      </c>
      <c r="E487" t="s">
        <v>48</v>
      </c>
      <c r="F487" t="s">
        <v>26</v>
      </c>
      <c r="G487" t="s">
        <v>41</v>
      </c>
      <c r="H487" t="s">
        <v>108</v>
      </c>
      <c r="I487">
        <v>8023.4</v>
      </c>
      <c r="J487">
        <v>10</v>
      </c>
      <c r="K487">
        <v>0.15</v>
      </c>
      <c r="L487">
        <v>273.51</v>
      </c>
      <c r="M487" t="s">
        <v>113</v>
      </c>
      <c r="N487" t="s">
        <v>38</v>
      </c>
      <c r="O487" t="str">
        <f t="shared" si="14"/>
        <v>Good</v>
      </c>
      <c r="P487">
        <f t="shared" si="15"/>
        <v>802.33999999999992</v>
      </c>
      <c r="Q487">
        <v>45797</v>
      </c>
      <c r="R487">
        <f>YEAR(Table1[[#This Row],[Order_Date_New]])</f>
        <v>2025</v>
      </c>
      <c r="S487">
        <f>MONTH(Table1[[#This Row],[Order_Date_New]])</f>
        <v>5</v>
      </c>
      <c r="T487" t="str">
        <f>TEXT(Table1[[#This Row],[Order_Date_New]],"mmmm")</f>
        <v>May</v>
      </c>
      <c r="U487">
        <f>Table1[[#This Row],[Profit]]/Table1[[#This Row],[Sales]]</f>
        <v>3.4089039559289082E-2</v>
      </c>
      <c r="V487" t="str">
        <f>IF(Table1[[#This Row],[Discount]]=0,"No Discount",IF(Table1[[#This Row],[Discount]]&lt;=0.1,"Low",IF(Table1[[#This Row],[Discount]]&lt;=0.2,"medium","high")))</f>
        <v>medium</v>
      </c>
    </row>
    <row r="488" spans="1:22" x14ac:dyDescent="0.3">
      <c r="A488" t="s">
        <v>772</v>
      </c>
      <c r="B488" s="6">
        <v>45761</v>
      </c>
      <c r="C488" t="s">
        <v>224</v>
      </c>
      <c r="D488" t="s">
        <v>128</v>
      </c>
      <c r="E488" t="s">
        <v>146</v>
      </c>
      <c r="F488" t="s">
        <v>26</v>
      </c>
      <c r="G488" t="s">
        <v>35</v>
      </c>
      <c r="H488" t="s">
        <v>36</v>
      </c>
      <c r="I488">
        <v>4682.45</v>
      </c>
      <c r="J488">
        <v>5</v>
      </c>
      <c r="K488">
        <v>0.05</v>
      </c>
      <c r="L488">
        <v>395.89</v>
      </c>
      <c r="M488" t="s">
        <v>68</v>
      </c>
      <c r="N488" t="s">
        <v>38</v>
      </c>
      <c r="O488" t="str">
        <f t="shared" si="14"/>
        <v>Bad</v>
      </c>
      <c r="P488">
        <f t="shared" si="15"/>
        <v>936.49</v>
      </c>
      <c r="Q488">
        <v>45761</v>
      </c>
      <c r="R488">
        <f>YEAR(Table1[[#This Row],[Order_Date_New]])</f>
        <v>2025</v>
      </c>
      <c r="S488">
        <f>MONTH(Table1[[#This Row],[Order_Date_New]])</f>
        <v>4</v>
      </c>
      <c r="T488" t="str">
        <f>TEXT(Table1[[#This Row],[Order_Date_New]],"mmmm")</f>
        <v>April</v>
      </c>
      <c r="U488">
        <f>Table1[[#This Row],[Profit]]/Table1[[#This Row],[Sales]]</f>
        <v>8.4547619301861207E-2</v>
      </c>
      <c r="V488" t="str">
        <f>IF(Table1[[#This Row],[Discount]]=0,"No Discount",IF(Table1[[#This Row],[Discount]]&lt;=0.1,"Low",IF(Table1[[#This Row],[Discount]]&lt;=0.2,"medium","high")))</f>
        <v>Low</v>
      </c>
    </row>
    <row r="489" spans="1:22" x14ac:dyDescent="0.3">
      <c r="A489" t="s">
        <v>773</v>
      </c>
      <c r="B489" s="6">
        <v>45673</v>
      </c>
      <c r="C489" t="s">
        <v>228</v>
      </c>
      <c r="D489" t="s">
        <v>53</v>
      </c>
      <c r="E489" t="s">
        <v>87</v>
      </c>
      <c r="F489" t="s">
        <v>72</v>
      </c>
      <c r="G489" t="s">
        <v>111</v>
      </c>
      <c r="H489" t="s">
        <v>182</v>
      </c>
      <c r="I489">
        <v>1015.16</v>
      </c>
      <c r="J489">
        <v>1</v>
      </c>
      <c r="K489">
        <v>0.25</v>
      </c>
      <c r="L489">
        <v>2.0299999999999998</v>
      </c>
      <c r="M489" t="s">
        <v>105</v>
      </c>
      <c r="N489" t="s">
        <v>80</v>
      </c>
      <c r="O489" t="str">
        <f t="shared" si="14"/>
        <v>Bad</v>
      </c>
      <c r="P489">
        <f t="shared" si="15"/>
        <v>1015.16</v>
      </c>
      <c r="Q489">
        <v>45673</v>
      </c>
      <c r="R489">
        <f>YEAR(Table1[[#This Row],[Order_Date_New]])</f>
        <v>2025</v>
      </c>
      <c r="S489">
        <f>MONTH(Table1[[#This Row],[Order_Date_New]])</f>
        <v>1</v>
      </c>
      <c r="T489" t="str">
        <f>TEXT(Table1[[#This Row],[Order_Date_New]],"mmmm")</f>
        <v>January</v>
      </c>
      <c r="U489">
        <f>Table1[[#This Row],[Profit]]/Table1[[#This Row],[Sales]]</f>
        <v>1.999684778754088E-3</v>
      </c>
      <c r="V489" t="str">
        <f>IF(Table1[[#This Row],[Discount]]=0,"No Discount",IF(Table1[[#This Row],[Discount]]&lt;=0.1,"Low",IF(Table1[[#This Row],[Discount]]&lt;=0.2,"medium","high")))</f>
        <v>high</v>
      </c>
    </row>
    <row r="490" spans="1:22" x14ac:dyDescent="0.3">
      <c r="A490" t="s">
        <v>774</v>
      </c>
      <c r="B490" s="6">
        <v>45424</v>
      </c>
      <c r="C490" t="s">
        <v>687</v>
      </c>
      <c r="D490" t="s">
        <v>33</v>
      </c>
      <c r="E490" t="s">
        <v>34</v>
      </c>
      <c r="F490" t="s">
        <v>72</v>
      </c>
      <c r="G490" t="s">
        <v>73</v>
      </c>
      <c r="H490" t="s">
        <v>74</v>
      </c>
      <c r="I490">
        <v>4673.55</v>
      </c>
      <c r="J490">
        <v>5</v>
      </c>
      <c r="K490">
        <v>0.15</v>
      </c>
      <c r="L490">
        <v>-435.35</v>
      </c>
      <c r="M490" t="s">
        <v>49</v>
      </c>
      <c r="N490" t="s">
        <v>44</v>
      </c>
      <c r="O490" t="str">
        <f t="shared" si="14"/>
        <v>Bad</v>
      </c>
      <c r="P490">
        <f t="shared" si="15"/>
        <v>934.71</v>
      </c>
      <c r="Q490">
        <v>45424</v>
      </c>
      <c r="R490">
        <f>YEAR(Table1[[#This Row],[Order_Date_New]])</f>
        <v>2024</v>
      </c>
      <c r="S490">
        <f>MONTH(Table1[[#This Row],[Order_Date_New]])</f>
        <v>5</v>
      </c>
      <c r="T490" t="str">
        <f>TEXT(Table1[[#This Row],[Order_Date_New]],"mmmm")</f>
        <v>May</v>
      </c>
      <c r="U490">
        <f>Table1[[#This Row],[Profit]]/Table1[[#This Row],[Sales]]</f>
        <v>-9.315188668143061E-2</v>
      </c>
      <c r="V490" t="str">
        <f>IF(Table1[[#This Row],[Discount]]=0,"No Discount",IF(Table1[[#This Row],[Discount]]&lt;=0.1,"Low",IF(Table1[[#This Row],[Discount]]&lt;=0.2,"medium","high")))</f>
        <v>medium</v>
      </c>
    </row>
    <row r="491" spans="1:22" x14ac:dyDescent="0.3">
      <c r="A491" t="s">
        <v>775</v>
      </c>
      <c r="B491" s="6">
        <v>45514</v>
      </c>
      <c r="C491" t="s">
        <v>698</v>
      </c>
      <c r="D491" t="s">
        <v>33</v>
      </c>
      <c r="E491" t="s">
        <v>34</v>
      </c>
      <c r="F491" t="s">
        <v>26</v>
      </c>
      <c r="G491" t="s">
        <v>35</v>
      </c>
      <c r="H491" t="s">
        <v>36</v>
      </c>
      <c r="I491">
        <v>2475.9</v>
      </c>
      <c r="J491">
        <v>3</v>
      </c>
      <c r="K491">
        <v>0.25</v>
      </c>
      <c r="L491">
        <v>-76.069999999999993</v>
      </c>
      <c r="M491" t="s">
        <v>29</v>
      </c>
      <c r="N491" t="s">
        <v>80</v>
      </c>
      <c r="O491" t="str">
        <f t="shared" si="14"/>
        <v>Bad</v>
      </c>
      <c r="P491">
        <f t="shared" si="15"/>
        <v>825.30000000000007</v>
      </c>
      <c r="Q491">
        <v>45514</v>
      </c>
      <c r="R491">
        <f>YEAR(Table1[[#This Row],[Order_Date_New]])</f>
        <v>2024</v>
      </c>
      <c r="S491">
        <f>MONTH(Table1[[#This Row],[Order_Date_New]])</f>
        <v>8</v>
      </c>
      <c r="T491" t="str">
        <f>TEXT(Table1[[#This Row],[Order_Date_New]],"mmmm")</f>
        <v>August</v>
      </c>
      <c r="U491">
        <f>Table1[[#This Row],[Profit]]/Table1[[#This Row],[Sales]]</f>
        <v>-3.072418110586049E-2</v>
      </c>
      <c r="V491" t="str">
        <f>IF(Table1[[#This Row],[Discount]]=0,"No Discount",IF(Table1[[#This Row],[Discount]]&lt;=0.1,"Low",IF(Table1[[#This Row],[Discount]]&lt;=0.2,"medium","high")))</f>
        <v>high</v>
      </c>
    </row>
    <row r="492" spans="1:22" x14ac:dyDescent="0.3">
      <c r="A492" t="s">
        <v>776</v>
      </c>
      <c r="B492" s="6">
        <v>45747</v>
      </c>
      <c r="C492" t="s">
        <v>592</v>
      </c>
      <c r="D492" t="s">
        <v>33</v>
      </c>
      <c r="E492" t="s">
        <v>34</v>
      </c>
      <c r="F492" t="s">
        <v>60</v>
      </c>
      <c r="G492" t="s">
        <v>98</v>
      </c>
      <c r="H492" t="s">
        <v>138</v>
      </c>
      <c r="I492">
        <v>609.57000000000005</v>
      </c>
      <c r="J492">
        <v>1</v>
      </c>
      <c r="K492">
        <v>0.05</v>
      </c>
      <c r="L492">
        <v>118.43</v>
      </c>
      <c r="M492" t="s">
        <v>113</v>
      </c>
      <c r="N492" t="s">
        <v>30</v>
      </c>
      <c r="O492" t="str">
        <f t="shared" si="14"/>
        <v>Bad</v>
      </c>
      <c r="P492">
        <f t="shared" si="15"/>
        <v>609.57000000000005</v>
      </c>
      <c r="Q492">
        <v>45747</v>
      </c>
      <c r="R492">
        <f>YEAR(Table1[[#This Row],[Order_Date_New]])</f>
        <v>2025</v>
      </c>
      <c r="S492">
        <f>MONTH(Table1[[#This Row],[Order_Date_New]])</f>
        <v>3</v>
      </c>
      <c r="T492" t="str">
        <f>TEXT(Table1[[#This Row],[Order_Date_New]],"mmmm")</f>
        <v>March</v>
      </c>
      <c r="U492">
        <f>Table1[[#This Row],[Profit]]/Table1[[#This Row],[Sales]]</f>
        <v>0.19428449562806568</v>
      </c>
      <c r="V492" t="str">
        <f>IF(Table1[[#This Row],[Discount]]=0,"No Discount",IF(Table1[[#This Row],[Discount]]&lt;=0.1,"Low",IF(Table1[[#This Row],[Discount]]&lt;=0.2,"medium","high")))</f>
        <v>Low</v>
      </c>
    </row>
    <row r="493" spans="1:22" x14ac:dyDescent="0.3">
      <c r="A493" t="s">
        <v>777</v>
      </c>
      <c r="B493" s="6">
        <v>45925</v>
      </c>
      <c r="C493" t="s">
        <v>197</v>
      </c>
      <c r="D493" t="s">
        <v>53</v>
      </c>
      <c r="E493" t="s">
        <v>77</v>
      </c>
      <c r="F493" t="s">
        <v>72</v>
      </c>
      <c r="G493" t="s">
        <v>73</v>
      </c>
      <c r="H493" t="s">
        <v>74</v>
      </c>
      <c r="I493">
        <v>1613.16</v>
      </c>
      <c r="J493">
        <v>3</v>
      </c>
      <c r="K493">
        <v>0</v>
      </c>
      <c r="L493">
        <v>481.21</v>
      </c>
      <c r="M493" t="s">
        <v>68</v>
      </c>
      <c r="N493" t="s">
        <v>80</v>
      </c>
      <c r="O493" t="str">
        <f t="shared" si="14"/>
        <v>Bad</v>
      </c>
      <c r="P493">
        <f t="shared" si="15"/>
        <v>537.72</v>
      </c>
      <c r="Q493">
        <v>45925</v>
      </c>
      <c r="R493">
        <f>YEAR(Table1[[#This Row],[Order_Date_New]])</f>
        <v>2025</v>
      </c>
      <c r="S493">
        <f>MONTH(Table1[[#This Row],[Order_Date_New]])</f>
        <v>9</v>
      </c>
      <c r="T493" t="str">
        <f>TEXT(Table1[[#This Row],[Order_Date_New]],"mmmm")</f>
        <v>September</v>
      </c>
      <c r="U493">
        <f>Table1[[#This Row],[Profit]]/Table1[[#This Row],[Sales]]</f>
        <v>0.29830271020853477</v>
      </c>
      <c r="V493" t="str">
        <f>IF(Table1[[#This Row],[Discount]]=0,"No Discount",IF(Table1[[#This Row],[Discount]]&lt;=0.1,"Low",IF(Table1[[#This Row],[Discount]]&lt;=0.2,"medium","high")))</f>
        <v>No Discount</v>
      </c>
    </row>
    <row r="494" spans="1:22" x14ac:dyDescent="0.3">
      <c r="A494" t="s">
        <v>778</v>
      </c>
      <c r="B494" s="6">
        <v>45974</v>
      </c>
      <c r="C494" t="s">
        <v>347</v>
      </c>
      <c r="D494" t="s">
        <v>24</v>
      </c>
      <c r="E494" t="s">
        <v>59</v>
      </c>
      <c r="F494" t="s">
        <v>60</v>
      </c>
      <c r="G494" t="s">
        <v>61</v>
      </c>
      <c r="H494" t="s">
        <v>122</v>
      </c>
      <c r="I494">
        <v>4130.5600000000004</v>
      </c>
      <c r="J494">
        <v>8</v>
      </c>
      <c r="K494">
        <v>0.3</v>
      </c>
      <c r="L494">
        <v>530.76</v>
      </c>
      <c r="M494" t="s">
        <v>113</v>
      </c>
      <c r="N494" t="s">
        <v>80</v>
      </c>
      <c r="O494" t="str">
        <f t="shared" si="14"/>
        <v>Bad</v>
      </c>
      <c r="P494">
        <f t="shared" si="15"/>
        <v>516.32000000000005</v>
      </c>
      <c r="Q494">
        <v>45974</v>
      </c>
      <c r="R494">
        <f>YEAR(Table1[[#This Row],[Order_Date_New]])</f>
        <v>2025</v>
      </c>
      <c r="S494">
        <f>MONTH(Table1[[#This Row],[Order_Date_New]])</f>
        <v>11</v>
      </c>
      <c r="T494" t="str">
        <f>TEXT(Table1[[#This Row],[Order_Date_New]],"mmmm")</f>
        <v>November</v>
      </c>
      <c r="U494">
        <f>Table1[[#This Row],[Profit]]/Table1[[#This Row],[Sales]]</f>
        <v>0.12849589401921288</v>
      </c>
      <c r="V494" t="str">
        <f>IF(Table1[[#This Row],[Discount]]=0,"No Discount",IF(Table1[[#This Row],[Discount]]&lt;=0.1,"Low",IF(Table1[[#This Row],[Discount]]&lt;=0.2,"medium","high")))</f>
        <v>high</v>
      </c>
    </row>
    <row r="495" spans="1:22" x14ac:dyDescent="0.3">
      <c r="A495" t="s">
        <v>779</v>
      </c>
      <c r="B495" s="6">
        <v>45363</v>
      </c>
      <c r="C495" t="s">
        <v>729</v>
      </c>
      <c r="D495" t="s">
        <v>128</v>
      </c>
      <c r="E495" t="s">
        <v>129</v>
      </c>
      <c r="F495" t="s">
        <v>60</v>
      </c>
      <c r="G495" t="s">
        <v>78</v>
      </c>
      <c r="H495" t="s">
        <v>222</v>
      </c>
      <c r="I495">
        <v>928.89</v>
      </c>
      <c r="J495">
        <v>9</v>
      </c>
      <c r="K495">
        <v>0.1</v>
      </c>
      <c r="L495">
        <v>272</v>
      </c>
      <c r="M495" t="s">
        <v>133</v>
      </c>
      <c r="N495" t="s">
        <v>80</v>
      </c>
      <c r="O495" t="str">
        <f t="shared" si="14"/>
        <v>Bad</v>
      </c>
      <c r="P495">
        <f t="shared" si="15"/>
        <v>103.21</v>
      </c>
      <c r="Q495">
        <v>45363</v>
      </c>
      <c r="R495">
        <f>YEAR(Table1[[#This Row],[Order_Date_New]])</f>
        <v>2024</v>
      </c>
      <c r="S495">
        <f>MONTH(Table1[[#This Row],[Order_Date_New]])</f>
        <v>3</v>
      </c>
      <c r="T495" t="str">
        <f>TEXT(Table1[[#This Row],[Order_Date_New]],"mmmm")</f>
        <v>March</v>
      </c>
      <c r="U495">
        <f>Table1[[#This Row],[Profit]]/Table1[[#This Row],[Sales]]</f>
        <v>0.29282261624088968</v>
      </c>
      <c r="V495" t="str">
        <f>IF(Table1[[#This Row],[Discount]]=0,"No Discount",IF(Table1[[#This Row],[Discount]]&lt;=0.1,"Low",IF(Table1[[#This Row],[Discount]]&lt;=0.2,"medium","high")))</f>
        <v>Low</v>
      </c>
    </row>
    <row r="496" spans="1:22" x14ac:dyDescent="0.3">
      <c r="A496" t="s">
        <v>780</v>
      </c>
      <c r="B496" s="6">
        <v>45821</v>
      </c>
      <c r="C496" t="s">
        <v>388</v>
      </c>
      <c r="D496" t="s">
        <v>24</v>
      </c>
      <c r="E496" t="s">
        <v>59</v>
      </c>
      <c r="F496" t="s">
        <v>26</v>
      </c>
      <c r="G496" t="s">
        <v>35</v>
      </c>
      <c r="H496" t="s">
        <v>55</v>
      </c>
      <c r="I496">
        <v>2542.86</v>
      </c>
      <c r="J496">
        <v>9</v>
      </c>
      <c r="K496">
        <v>0.15</v>
      </c>
      <c r="L496">
        <v>-171.97</v>
      </c>
      <c r="M496" t="s">
        <v>105</v>
      </c>
      <c r="N496" t="s">
        <v>38</v>
      </c>
      <c r="O496" t="str">
        <f t="shared" si="14"/>
        <v>Bad</v>
      </c>
      <c r="P496">
        <f t="shared" si="15"/>
        <v>282.54000000000002</v>
      </c>
      <c r="Q496">
        <v>45821</v>
      </c>
      <c r="R496">
        <f>YEAR(Table1[[#This Row],[Order_Date_New]])</f>
        <v>2025</v>
      </c>
      <c r="S496">
        <f>MONTH(Table1[[#This Row],[Order_Date_New]])</f>
        <v>6</v>
      </c>
      <c r="T496" t="str">
        <f>TEXT(Table1[[#This Row],[Order_Date_New]],"mmmm")</f>
        <v>June</v>
      </c>
      <c r="U496">
        <f>Table1[[#This Row],[Profit]]/Table1[[#This Row],[Sales]]</f>
        <v>-6.7628575698229554E-2</v>
      </c>
      <c r="V496" t="str">
        <f>IF(Table1[[#This Row],[Discount]]=0,"No Discount",IF(Table1[[#This Row],[Discount]]&lt;=0.1,"Low",IF(Table1[[#This Row],[Discount]]&lt;=0.2,"medium","high")))</f>
        <v>medium</v>
      </c>
    </row>
    <row r="497" spans="1:22" x14ac:dyDescent="0.3">
      <c r="A497" t="s">
        <v>781</v>
      </c>
      <c r="B497" s="6">
        <v>45531</v>
      </c>
      <c r="C497" t="s">
        <v>228</v>
      </c>
      <c r="D497" t="s">
        <v>24</v>
      </c>
      <c r="E497" t="s">
        <v>59</v>
      </c>
      <c r="F497" t="s">
        <v>26</v>
      </c>
      <c r="G497" t="s">
        <v>35</v>
      </c>
      <c r="H497" t="s">
        <v>55</v>
      </c>
      <c r="I497">
        <v>2045.12</v>
      </c>
      <c r="J497">
        <v>2</v>
      </c>
      <c r="K497">
        <v>0.1</v>
      </c>
      <c r="L497">
        <v>224.35</v>
      </c>
      <c r="M497" t="s">
        <v>49</v>
      </c>
      <c r="N497" t="s">
        <v>80</v>
      </c>
      <c r="O497" t="str">
        <f t="shared" si="14"/>
        <v>Bad</v>
      </c>
      <c r="P497">
        <f t="shared" si="15"/>
        <v>1022.56</v>
      </c>
      <c r="Q497">
        <v>45531</v>
      </c>
      <c r="R497">
        <f>YEAR(Table1[[#This Row],[Order_Date_New]])</f>
        <v>2024</v>
      </c>
      <c r="S497">
        <f>MONTH(Table1[[#This Row],[Order_Date_New]])</f>
        <v>8</v>
      </c>
      <c r="T497" t="str">
        <f>TEXT(Table1[[#This Row],[Order_Date_New]],"mmmm")</f>
        <v>August</v>
      </c>
      <c r="U497">
        <f>Table1[[#This Row],[Profit]]/Table1[[#This Row],[Sales]]</f>
        <v>0.10970016429353779</v>
      </c>
      <c r="V497" t="str">
        <f>IF(Table1[[#This Row],[Discount]]=0,"No Discount",IF(Table1[[#This Row],[Discount]]&lt;=0.1,"Low",IF(Table1[[#This Row],[Discount]]&lt;=0.2,"medium","high")))</f>
        <v>Low</v>
      </c>
    </row>
    <row r="498" spans="1:22" x14ac:dyDescent="0.3">
      <c r="A498" t="s">
        <v>782</v>
      </c>
      <c r="B498" s="6">
        <v>45620</v>
      </c>
      <c r="C498" t="s">
        <v>338</v>
      </c>
      <c r="D498" t="s">
        <v>128</v>
      </c>
      <c r="E498" t="s">
        <v>132</v>
      </c>
      <c r="F498" t="s">
        <v>72</v>
      </c>
      <c r="G498" t="s">
        <v>111</v>
      </c>
      <c r="H498" t="s">
        <v>158</v>
      </c>
      <c r="I498">
        <v>259.10000000000002</v>
      </c>
      <c r="J498">
        <v>5</v>
      </c>
      <c r="K498">
        <v>0.05</v>
      </c>
      <c r="L498">
        <v>52.34</v>
      </c>
      <c r="M498" t="s">
        <v>170</v>
      </c>
      <c r="N498" t="s">
        <v>44</v>
      </c>
      <c r="O498" t="str">
        <f t="shared" si="14"/>
        <v>Bad</v>
      </c>
      <c r="P498">
        <f t="shared" si="15"/>
        <v>51.820000000000007</v>
      </c>
      <c r="Q498">
        <v>45620</v>
      </c>
      <c r="R498">
        <f>YEAR(Table1[[#This Row],[Order_Date_New]])</f>
        <v>2024</v>
      </c>
      <c r="S498">
        <f>MONTH(Table1[[#This Row],[Order_Date_New]])</f>
        <v>11</v>
      </c>
      <c r="T498" t="str">
        <f>TEXT(Table1[[#This Row],[Order_Date_New]],"mmmm")</f>
        <v>November</v>
      </c>
      <c r="U498">
        <f>Table1[[#This Row],[Profit]]/Table1[[#This Row],[Sales]]</f>
        <v>0.2020069471246623</v>
      </c>
      <c r="V498" t="str">
        <f>IF(Table1[[#This Row],[Discount]]=0,"No Discount",IF(Table1[[#This Row],[Discount]]&lt;=0.1,"Low",IF(Table1[[#This Row],[Discount]]&lt;=0.2,"medium","high")))</f>
        <v>Low</v>
      </c>
    </row>
    <row r="499" spans="1:22" x14ac:dyDescent="0.3">
      <c r="A499" t="s">
        <v>783</v>
      </c>
      <c r="B499" s="6">
        <v>45637</v>
      </c>
      <c r="C499" t="s">
        <v>556</v>
      </c>
      <c r="D499" t="s">
        <v>24</v>
      </c>
      <c r="E499" t="s">
        <v>97</v>
      </c>
      <c r="F499" t="s">
        <v>72</v>
      </c>
      <c r="G499" t="s">
        <v>111</v>
      </c>
      <c r="H499" t="s">
        <v>158</v>
      </c>
      <c r="I499">
        <v>3064.02</v>
      </c>
      <c r="J499">
        <v>6</v>
      </c>
      <c r="K499">
        <v>0.25</v>
      </c>
      <c r="L499">
        <v>-445.34</v>
      </c>
      <c r="M499" t="s">
        <v>37</v>
      </c>
      <c r="N499" t="s">
        <v>44</v>
      </c>
      <c r="O499" t="str">
        <f t="shared" si="14"/>
        <v>Bad</v>
      </c>
      <c r="P499">
        <f t="shared" si="15"/>
        <v>510.67</v>
      </c>
      <c r="Q499">
        <v>45637</v>
      </c>
      <c r="R499">
        <f>YEAR(Table1[[#This Row],[Order_Date_New]])</f>
        <v>2024</v>
      </c>
      <c r="S499">
        <f>MONTH(Table1[[#This Row],[Order_Date_New]])</f>
        <v>12</v>
      </c>
      <c r="T499" t="str">
        <f>TEXT(Table1[[#This Row],[Order_Date_New]],"mmmm")</f>
        <v>December</v>
      </c>
      <c r="U499">
        <f>Table1[[#This Row],[Profit]]/Table1[[#This Row],[Sales]]</f>
        <v>-0.14534500427542901</v>
      </c>
      <c r="V499" t="str">
        <f>IF(Table1[[#This Row],[Discount]]=0,"No Discount",IF(Table1[[#This Row],[Discount]]&lt;=0.1,"Low",IF(Table1[[#This Row],[Discount]]&lt;=0.2,"medium","high")))</f>
        <v>high</v>
      </c>
    </row>
    <row r="500" spans="1:22" x14ac:dyDescent="0.3">
      <c r="A500" t="s">
        <v>784</v>
      </c>
      <c r="B500" s="6">
        <v>45381</v>
      </c>
      <c r="C500" t="s">
        <v>324</v>
      </c>
      <c r="D500" t="s">
        <v>128</v>
      </c>
      <c r="E500" t="s">
        <v>146</v>
      </c>
      <c r="F500" t="s">
        <v>26</v>
      </c>
      <c r="G500" t="s">
        <v>27</v>
      </c>
      <c r="H500" t="s">
        <v>200</v>
      </c>
      <c r="I500">
        <v>4347.55</v>
      </c>
      <c r="J500">
        <v>5</v>
      </c>
      <c r="K500">
        <v>0.3</v>
      </c>
      <c r="L500">
        <v>427.34</v>
      </c>
      <c r="M500" t="s">
        <v>113</v>
      </c>
      <c r="N500" t="s">
        <v>80</v>
      </c>
      <c r="O500" t="str">
        <f t="shared" si="14"/>
        <v>Bad</v>
      </c>
      <c r="P500">
        <f t="shared" si="15"/>
        <v>869.51</v>
      </c>
      <c r="Q500">
        <v>45381</v>
      </c>
      <c r="R500">
        <f>YEAR(Table1[[#This Row],[Order_Date_New]])</f>
        <v>2024</v>
      </c>
      <c r="S500">
        <f>MONTH(Table1[[#This Row],[Order_Date_New]])</f>
        <v>3</v>
      </c>
      <c r="T500" t="str">
        <f>TEXT(Table1[[#This Row],[Order_Date_New]],"mmmm")</f>
        <v>March</v>
      </c>
      <c r="U500">
        <f>Table1[[#This Row],[Profit]]/Table1[[#This Row],[Sales]]</f>
        <v>9.8294441697047749E-2</v>
      </c>
      <c r="V500" t="str">
        <f>IF(Table1[[#This Row],[Discount]]=0,"No Discount",IF(Table1[[#This Row],[Discount]]&lt;=0.1,"Low",IF(Table1[[#This Row],[Discount]]&lt;=0.2,"medium","high")))</f>
        <v>high</v>
      </c>
    </row>
    <row r="501" spans="1:22" x14ac:dyDescent="0.3">
      <c r="A501" t="s">
        <v>785</v>
      </c>
      <c r="B501" s="6">
        <v>45805</v>
      </c>
      <c r="C501" t="s">
        <v>654</v>
      </c>
      <c r="D501" t="s">
        <v>53</v>
      </c>
      <c r="E501" t="s">
        <v>107</v>
      </c>
      <c r="F501" t="s">
        <v>26</v>
      </c>
      <c r="G501" t="s">
        <v>35</v>
      </c>
      <c r="H501" t="s">
        <v>36</v>
      </c>
      <c r="I501">
        <v>524.20000000000005</v>
      </c>
      <c r="J501">
        <v>2</v>
      </c>
      <c r="K501">
        <v>0.1</v>
      </c>
      <c r="L501">
        <v>107.96</v>
      </c>
      <c r="M501" t="s">
        <v>49</v>
      </c>
      <c r="N501" t="s">
        <v>44</v>
      </c>
      <c r="O501" t="str">
        <f t="shared" si="14"/>
        <v>Bad</v>
      </c>
      <c r="P501">
        <f t="shared" si="15"/>
        <v>262.10000000000002</v>
      </c>
      <c r="Q501">
        <v>45805</v>
      </c>
      <c r="R501">
        <f>YEAR(Table1[[#This Row],[Order_Date_New]])</f>
        <v>2025</v>
      </c>
      <c r="S501">
        <f>MONTH(Table1[[#This Row],[Order_Date_New]])</f>
        <v>5</v>
      </c>
      <c r="T501" t="str">
        <f>TEXT(Table1[[#This Row],[Order_Date_New]],"mmmm")</f>
        <v>May</v>
      </c>
      <c r="U501">
        <f>Table1[[#This Row],[Profit]]/Table1[[#This Row],[Sales]]</f>
        <v>0.20595192674551696</v>
      </c>
      <c r="V501" t="str">
        <f>IF(Table1[[#This Row],[Discount]]=0,"No Discount",IF(Table1[[#This Row],[Discount]]&lt;=0.1,"Low",IF(Table1[[#This Row],[Discount]]&lt;=0.2,"medium","high")))</f>
        <v>Low</v>
      </c>
    </row>
    <row r="502" spans="1:22" x14ac:dyDescent="0.3">
      <c r="A502" t="s">
        <v>786</v>
      </c>
      <c r="B502" s="6">
        <v>45639</v>
      </c>
      <c r="C502" t="s">
        <v>631</v>
      </c>
      <c r="D502" t="s">
        <v>24</v>
      </c>
      <c r="E502" t="s">
        <v>59</v>
      </c>
      <c r="F502" t="s">
        <v>60</v>
      </c>
      <c r="G502" t="s">
        <v>78</v>
      </c>
      <c r="H502" t="s">
        <v>222</v>
      </c>
      <c r="I502">
        <v>948.69</v>
      </c>
      <c r="J502">
        <v>3</v>
      </c>
      <c r="K502">
        <v>0.3</v>
      </c>
      <c r="L502">
        <v>58.21</v>
      </c>
      <c r="M502" t="s">
        <v>68</v>
      </c>
      <c r="N502" t="s">
        <v>38</v>
      </c>
      <c r="O502" t="str">
        <f t="shared" si="14"/>
        <v>Bad</v>
      </c>
      <c r="P502">
        <f t="shared" si="15"/>
        <v>316.23</v>
      </c>
      <c r="Q502">
        <v>45639</v>
      </c>
      <c r="R502">
        <f>YEAR(Table1[[#This Row],[Order_Date_New]])</f>
        <v>2024</v>
      </c>
      <c r="S502">
        <f>MONTH(Table1[[#This Row],[Order_Date_New]])</f>
        <v>12</v>
      </c>
      <c r="T502" t="str">
        <f>TEXT(Table1[[#This Row],[Order_Date_New]],"mmmm")</f>
        <v>December</v>
      </c>
      <c r="U502">
        <f>Table1[[#This Row],[Profit]]/Table1[[#This Row],[Sales]]</f>
        <v>6.1358294068663104E-2</v>
      </c>
      <c r="V502" t="str">
        <f>IF(Table1[[#This Row],[Discount]]=0,"No Discount",IF(Table1[[#This Row],[Discount]]&lt;=0.1,"Low",IF(Table1[[#This Row],[Discount]]&lt;=0.2,"medium","high")))</f>
        <v>high</v>
      </c>
    </row>
    <row r="503" spans="1:22" x14ac:dyDescent="0.3">
      <c r="A503" t="s">
        <v>787</v>
      </c>
      <c r="B503" s="6">
        <v>45674</v>
      </c>
      <c r="C503" t="s">
        <v>590</v>
      </c>
      <c r="D503" t="s">
        <v>33</v>
      </c>
      <c r="E503" t="s">
        <v>34</v>
      </c>
      <c r="F503" t="s">
        <v>26</v>
      </c>
      <c r="G503" t="s">
        <v>27</v>
      </c>
      <c r="H503" t="s">
        <v>28</v>
      </c>
      <c r="I503">
        <v>6138.48</v>
      </c>
      <c r="J503">
        <v>8</v>
      </c>
      <c r="K503">
        <v>0.25</v>
      </c>
      <c r="L503">
        <v>680.39</v>
      </c>
      <c r="M503" t="s">
        <v>37</v>
      </c>
      <c r="N503" t="s">
        <v>44</v>
      </c>
      <c r="O503" t="str">
        <f t="shared" si="14"/>
        <v>Good</v>
      </c>
      <c r="P503">
        <f t="shared" si="15"/>
        <v>767.31</v>
      </c>
      <c r="Q503">
        <v>45674</v>
      </c>
      <c r="R503">
        <f>YEAR(Table1[[#This Row],[Order_Date_New]])</f>
        <v>2025</v>
      </c>
      <c r="S503">
        <f>MONTH(Table1[[#This Row],[Order_Date_New]])</f>
        <v>1</v>
      </c>
      <c r="T503" t="str">
        <f>TEXT(Table1[[#This Row],[Order_Date_New]],"mmmm")</f>
        <v>January</v>
      </c>
      <c r="U503">
        <f>Table1[[#This Row],[Profit]]/Table1[[#This Row],[Sales]]</f>
        <v>0.11084014283666316</v>
      </c>
      <c r="V503" t="str">
        <f>IF(Table1[[#This Row],[Discount]]=0,"No Discount",IF(Table1[[#This Row],[Discount]]&lt;=0.1,"Low",IF(Table1[[#This Row],[Discount]]&lt;=0.2,"medium","high")))</f>
        <v>high</v>
      </c>
    </row>
    <row r="504" spans="1:22" x14ac:dyDescent="0.3">
      <c r="A504" t="s">
        <v>788</v>
      </c>
      <c r="B504" s="6">
        <v>45584</v>
      </c>
      <c r="C504" t="s">
        <v>115</v>
      </c>
      <c r="D504" t="s">
        <v>24</v>
      </c>
      <c r="E504" t="s">
        <v>25</v>
      </c>
      <c r="F504" t="s">
        <v>26</v>
      </c>
      <c r="G504" t="s">
        <v>27</v>
      </c>
      <c r="H504" t="s">
        <v>28</v>
      </c>
      <c r="I504">
        <v>1347.44</v>
      </c>
      <c r="J504">
        <v>4</v>
      </c>
      <c r="K504">
        <v>0.2</v>
      </c>
      <c r="L504">
        <v>241.67</v>
      </c>
      <c r="M504" t="s">
        <v>90</v>
      </c>
      <c r="N504" t="s">
        <v>80</v>
      </c>
      <c r="O504" t="str">
        <f t="shared" si="14"/>
        <v>Bad</v>
      </c>
      <c r="P504">
        <f t="shared" si="15"/>
        <v>336.86</v>
      </c>
      <c r="Q504">
        <v>45584</v>
      </c>
      <c r="R504">
        <f>YEAR(Table1[[#This Row],[Order_Date_New]])</f>
        <v>2024</v>
      </c>
      <c r="S504">
        <f>MONTH(Table1[[#This Row],[Order_Date_New]])</f>
        <v>10</v>
      </c>
      <c r="T504" t="str">
        <f>TEXT(Table1[[#This Row],[Order_Date_New]],"mmmm")</f>
        <v>October</v>
      </c>
      <c r="U504">
        <f>Table1[[#This Row],[Profit]]/Table1[[#This Row],[Sales]]</f>
        <v>0.17935492489461496</v>
      </c>
      <c r="V504" t="str">
        <f>IF(Table1[[#This Row],[Discount]]=0,"No Discount",IF(Table1[[#This Row],[Discount]]&lt;=0.1,"Low",IF(Table1[[#This Row],[Discount]]&lt;=0.2,"medium","high")))</f>
        <v>medium</v>
      </c>
    </row>
    <row r="505" spans="1:22" x14ac:dyDescent="0.3">
      <c r="A505" t="s">
        <v>789</v>
      </c>
      <c r="B505" s="6">
        <v>45514</v>
      </c>
      <c r="C505" t="s">
        <v>217</v>
      </c>
      <c r="D505" t="s">
        <v>33</v>
      </c>
      <c r="E505" t="s">
        <v>66</v>
      </c>
      <c r="F505" t="s">
        <v>60</v>
      </c>
      <c r="G505" t="s">
        <v>61</v>
      </c>
      <c r="H505" t="s">
        <v>62</v>
      </c>
      <c r="I505">
        <v>3934.32</v>
      </c>
      <c r="J505">
        <v>6</v>
      </c>
      <c r="K505">
        <v>0.3</v>
      </c>
      <c r="L505">
        <v>-120.02</v>
      </c>
      <c r="M505" t="s">
        <v>49</v>
      </c>
      <c r="N505" t="s">
        <v>38</v>
      </c>
      <c r="O505" t="str">
        <f t="shared" si="14"/>
        <v>Bad</v>
      </c>
      <c r="P505">
        <f t="shared" si="15"/>
        <v>655.72</v>
      </c>
      <c r="Q505">
        <v>45514</v>
      </c>
      <c r="R505">
        <f>YEAR(Table1[[#This Row],[Order_Date_New]])</f>
        <v>2024</v>
      </c>
      <c r="S505">
        <f>MONTH(Table1[[#This Row],[Order_Date_New]])</f>
        <v>8</v>
      </c>
      <c r="T505" t="str">
        <f>TEXT(Table1[[#This Row],[Order_Date_New]],"mmmm")</f>
        <v>August</v>
      </c>
      <c r="U505">
        <f>Table1[[#This Row],[Profit]]/Table1[[#This Row],[Sales]]</f>
        <v>-3.0505906992822136E-2</v>
      </c>
      <c r="V505" t="str">
        <f>IF(Table1[[#This Row],[Discount]]=0,"No Discount",IF(Table1[[#This Row],[Discount]]&lt;=0.1,"Low",IF(Table1[[#This Row],[Discount]]&lt;=0.2,"medium","high")))</f>
        <v>high</v>
      </c>
    </row>
    <row r="506" spans="1:22" x14ac:dyDescent="0.3">
      <c r="A506" t="s">
        <v>790</v>
      </c>
      <c r="B506" s="6">
        <v>45714</v>
      </c>
      <c r="C506" t="s">
        <v>278</v>
      </c>
      <c r="D506" t="s">
        <v>53</v>
      </c>
      <c r="E506" t="s">
        <v>87</v>
      </c>
      <c r="F506" t="s">
        <v>72</v>
      </c>
      <c r="G506" t="s">
        <v>111</v>
      </c>
      <c r="H506" t="s">
        <v>112</v>
      </c>
      <c r="I506">
        <v>80.19</v>
      </c>
      <c r="J506">
        <v>1</v>
      </c>
      <c r="K506">
        <v>0.3</v>
      </c>
      <c r="L506">
        <v>-4.24</v>
      </c>
      <c r="M506" t="s">
        <v>90</v>
      </c>
      <c r="N506" t="s">
        <v>80</v>
      </c>
      <c r="O506" t="str">
        <f t="shared" si="14"/>
        <v>Bad</v>
      </c>
      <c r="P506">
        <f t="shared" si="15"/>
        <v>80.19</v>
      </c>
      <c r="Q506">
        <v>45714</v>
      </c>
      <c r="R506">
        <f>YEAR(Table1[[#This Row],[Order_Date_New]])</f>
        <v>2025</v>
      </c>
      <c r="S506">
        <f>MONTH(Table1[[#This Row],[Order_Date_New]])</f>
        <v>2</v>
      </c>
      <c r="T506" t="str">
        <f>TEXT(Table1[[#This Row],[Order_Date_New]],"mmmm")</f>
        <v>February</v>
      </c>
      <c r="U506">
        <f>Table1[[#This Row],[Profit]]/Table1[[#This Row],[Sales]]</f>
        <v>-5.287442324479362E-2</v>
      </c>
      <c r="V506" t="str">
        <f>IF(Table1[[#This Row],[Discount]]=0,"No Discount",IF(Table1[[#This Row],[Discount]]&lt;=0.1,"Low",IF(Table1[[#This Row],[Discount]]&lt;=0.2,"medium","high")))</f>
        <v>high</v>
      </c>
    </row>
    <row r="507" spans="1:22" x14ac:dyDescent="0.3">
      <c r="A507" t="s">
        <v>791</v>
      </c>
      <c r="B507" s="6">
        <v>45554</v>
      </c>
      <c r="C507" t="s">
        <v>378</v>
      </c>
      <c r="D507" t="s">
        <v>128</v>
      </c>
      <c r="E507" t="s">
        <v>146</v>
      </c>
      <c r="F507" t="s">
        <v>26</v>
      </c>
      <c r="G507" t="s">
        <v>41</v>
      </c>
      <c r="H507" t="s">
        <v>108</v>
      </c>
      <c r="I507">
        <v>823.72</v>
      </c>
      <c r="J507">
        <v>1</v>
      </c>
      <c r="K507">
        <v>0.1</v>
      </c>
      <c r="L507">
        <v>133.78</v>
      </c>
      <c r="M507" t="s">
        <v>49</v>
      </c>
      <c r="N507" t="s">
        <v>30</v>
      </c>
      <c r="O507" t="str">
        <f t="shared" si="14"/>
        <v>Bad</v>
      </c>
      <c r="P507">
        <f t="shared" si="15"/>
        <v>823.72</v>
      </c>
      <c r="Q507">
        <v>45554</v>
      </c>
      <c r="R507">
        <f>YEAR(Table1[[#This Row],[Order_Date_New]])</f>
        <v>2024</v>
      </c>
      <c r="S507">
        <f>MONTH(Table1[[#This Row],[Order_Date_New]])</f>
        <v>9</v>
      </c>
      <c r="T507" t="str">
        <f>TEXT(Table1[[#This Row],[Order_Date_New]],"mmmm")</f>
        <v>September</v>
      </c>
      <c r="U507">
        <f>Table1[[#This Row],[Profit]]/Table1[[#This Row],[Sales]]</f>
        <v>0.16240955664546206</v>
      </c>
      <c r="V507" t="str">
        <f>IF(Table1[[#This Row],[Discount]]=0,"No Discount",IF(Table1[[#This Row],[Discount]]&lt;=0.1,"Low",IF(Table1[[#This Row],[Discount]]&lt;=0.2,"medium","high")))</f>
        <v>Low</v>
      </c>
    </row>
    <row r="508" spans="1:22" x14ac:dyDescent="0.3">
      <c r="A508" t="s">
        <v>792</v>
      </c>
      <c r="B508" s="6">
        <v>45534</v>
      </c>
      <c r="C508" t="s">
        <v>729</v>
      </c>
      <c r="D508" t="s">
        <v>128</v>
      </c>
      <c r="E508" t="s">
        <v>146</v>
      </c>
      <c r="F508" t="s">
        <v>60</v>
      </c>
      <c r="G508" t="s">
        <v>98</v>
      </c>
      <c r="H508" t="s">
        <v>141</v>
      </c>
      <c r="I508">
        <v>3125.1</v>
      </c>
      <c r="J508">
        <v>5</v>
      </c>
      <c r="K508">
        <v>0.2</v>
      </c>
      <c r="L508">
        <v>361.14</v>
      </c>
      <c r="M508" t="s">
        <v>105</v>
      </c>
      <c r="N508" t="s">
        <v>30</v>
      </c>
      <c r="O508" t="str">
        <f t="shared" si="14"/>
        <v>Bad</v>
      </c>
      <c r="P508">
        <f t="shared" si="15"/>
        <v>625.02</v>
      </c>
      <c r="Q508">
        <v>45534</v>
      </c>
      <c r="R508">
        <f>YEAR(Table1[[#This Row],[Order_Date_New]])</f>
        <v>2024</v>
      </c>
      <c r="S508">
        <f>MONTH(Table1[[#This Row],[Order_Date_New]])</f>
        <v>8</v>
      </c>
      <c r="T508" t="str">
        <f>TEXT(Table1[[#This Row],[Order_Date_New]],"mmmm")</f>
        <v>August</v>
      </c>
      <c r="U508">
        <f>Table1[[#This Row],[Profit]]/Table1[[#This Row],[Sales]]</f>
        <v>0.11556110204473456</v>
      </c>
      <c r="V508" t="str">
        <f>IF(Table1[[#This Row],[Discount]]=0,"No Discount",IF(Table1[[#This Row],[Discount]]&lt;=0.1,"Low",IF(Table1[[#This Row],[Discount]]&lt;=0.2,"medium","high")))</f>
        <v>medium</v>
      </c>
    </row>
    <row r="509" spans="1:22" x14ac:dyDescent="0.3">
      <c r="A509" t="s">
        <v>793</v>
      </c>
      <c r="B509" s="6">
        <v>45365</v>
      </c>
      <c r="C509" t="s">
        <v>117</v>
      </c>
      <c r="D509" t="s">
        <v>128</v>
      </c>
      <c r="E509" t="s">
        <v>202</v>
      </c>
      <c r="F509" t="s">
        <v>72</v>
      </c>
      <c r="G509" t="s">
        <v>111</v>
      </c>
      <c r="H509" t="s">
        <v>112</v>
      </c>
      <c r="I509">
        <v>6036.31</v>
      </c>
      <c r="J509">
        <v>7</v>
      </c>
      <c r="K509">
        <v>0.05</v>
      </c>
      <c r="L509">
        <v>1409.16</v>
      </c>
      <c r="M509" t="s">
        <v>49</v>
      </c>
      <c r="N509" t="s">
        <v>38</v>
      </c>
      <c r="O509" t="str">
        <f t="shared" si="14"/>
        <v>Bad</v>
      </c>
      <c r="P509">
        <f t="shared" si="15"/>
        <v>862.33</v>
      </c>
      <c r="Q509">
        <v>45365</v>
      </c>
      <c r="R509">
        <f>YEAR(Table1[[#This Row],[Order_Date_New]])</f>
        <v>2024</v>
      </c>
      <c r="S509">
        <f>MONTH(Table1[[#This Row],[Order_Date_New]])</f>
        <v>3</v>
      </c>
      <c r="T509" t="str">
        <f>TEXT(Table1[[#This Row],[Order_Date_New]],"mmmm")</f>
        <v>March</v>
      </c>
      <c r="U509">
        <f>Table1[[#This Row],[Profit]]/Table1[[#This Row],[Sales]]</f>
        <v>0.23344725502832028</v>
      </c>
      <c r="V509" t="str">
        <f>IF(Table1[[#This Row],[Discount]]=0,"No Discount",IF(Table1[[#This Row],[Discount]]&lt;=0.1,"Low",IF(Table1[[#This Row],[Discount]]&lt;=0.2,"medium","high")))</f>
        <v>Low</v>
      </c>
    </row>
    <row r="510" spans="1:22" x14ac:dyDescent="0.3">
      <c r="A510" t="s">
        <v>794</v>
      </c>
      <c r="B510" s="6">
        <v>45453</v>
      </c>
      <c r="C510" t="s">
        <v>687</v>
      </c>
      <c r="D510" t="s">
        <v>128</v>
      </c>
      <c r="E510" t="s">
        <v>146</v>
      </c>
      <c r="F510" t="s">
        <v>26</v>
      </c>
      <c r="G510" t="s">
        <v>27</v>
      </c>
      <c r="H510" t="s">
        <v>271</v>
      </c>
      <c r="I510">
        <v>310.16000000000003</v>
      </c>
      <c r="J510">
        <v>1</v>
      </c>
      <c r="K510">
        <v>0.3</v>
      </c>
      <c r="L510">
        <v>-11.54</v>
      </c>
      <c r="M510" t="s">
        <v>29</v>
      </c>
      <c r="N510" t="s">
        <v>38</v>
      </c>
      <c r="O510" t="str">
        <f t="shared" si="14"/>
        <v>Bad</v>
      </c>
      <c r="P510">
        <f t="shared" si="15"/>
        <v>310.16000000000003</v>
      </c>
      <c r="Q510">
        <v>45453</v>
      </c>
      <c r="R510">
        <f>YEAR(Table1[[#This Row],[Order_Date_New]])</f>
        <v>2024</v>
      </c>
      <c r="S510">
        <f>MONTH(Table1[[#This Row],[Order_Date_New]])</f>
        <v>6</v>
      </c>
      <c r="T510" t="str">
        <f>TEXT(Table1[[#This Row],[Order_Date_New]],"mmmm")</f>
        <v>June</v>
      </c>
      <c r="U510">
        <f>Table1[[#This Row],[Profit]]/Table1[[#This Row],[Sales]]</f>
        <v>-3.72066030435904E-2</v>
      </c>
      <c r="V510" t="str">
        <f>IF(Table1[[#This Row],[Discount]]=0,"No Discount",IF(Table1[[#This Row],[Discount]]&lt;=0.1,"Low",IF(Table1[[#This Row],[Discount]]&lt;=0.2,"medium","high")))</f>
        <v>high</v>
      </c>
    </row>
    <row r="511" spans="1:22" x14ac:dyDescent="0.3">
      <c r="A511" t="s">
        <v>795</v>
      </c>
      <c r="B511" s="6">
        <v>45965</v>
      </c>
      <c r="C511" t="s">
        <v>219</v>
      </c>
      <c r="D511" t="s">
        <v>33</v>
      </c>
      <c r="E511" t="s">
        <v>66</v>
      </c>
      <c r="F511" t="s">
        <v>72</v>
      </c>
      <c r="G511" t="s">
        <v>111</v>
      </c>
      <c r="H511" t="s">
        <v>158</v>
      </c>
      <c r="I511">
        <v>1033.27</v>
      </c>
      <c r="J511">
        <v>1</v>
      </c>
      <c r="K511">
        <v>0.2</v>
      </c>
      <c r="L511">
        <v>-20.239999999999998</v>
      </c>
      <c r="M511" t="s">
        <v>133</v>
      </c>
      <c r="N511" t="s">
        <v>38</v>
      </c>
      <c r="O511" t="str">
        <f t="shared" si="14"/>
        <v>Bad</v>
      </c>
      <c r="P511">
        <f t="shared" si="15"/>
        <v>1033.27</v>
      </c>
      <c r="Q511">
        <v>45965</v>
      </c>
      <c r="R511">
        <f>YEAR(Table1[[#This Row],[Order_Date_New]])</f>
        <v>2025</v>
      </c>
      <c r="S511">
        <f>MONTH(Table1[[#This Row],[Order_Date_New]])</f>
        <v>11</v>
      </c>
      <c r="T511" t="str">
        <f>TEXT(Table1[[#This Row],[Order_Date_New]],"mmmm")</f>
        <v>November</v>
      </c>
      <c r="U511">
        <f>Table1[[#This Row],[Profit]]/Table1[[#This Row],[Sales]]</f>
        <v>-1.9588297347256766E-2</v>
      </c>
      <c r="V511" t="str">
        <f>IF(Table1[[#This Row],[Discount]]=0,"No Discount",IF(Table1[[#This Row],[Discount]]&lt;=0.1,"Low",IF(Table1[[#This Row],[Discount]]&lt;=0.2,"medium","high")))</f>
        <v>medium</v>
      </c>
    </row>
    <row r="512" spans="1:22" x14ac:dyDescent="0.3">
      <c r="A512" t="s">
        <v>796</v>
      </c>
      <c r="B512" s="6">
        <v>45363</v>
      </c>
      <c r="C512" t="s">
        <v>450</v>
      </c>
      <c r="D512" t="s">
        <v>53</v>
      </c>
      <c r="E512" t="s">
        <v>107</v>
      </c>
      <c r="F512" t="s">
        <v>60</v>
      </c>
      <c r="G512" t="s">
        <v>98</v>
      </c>
      <c r="H512" t="s">
        <v>141</v>
      </c>
      <c r="I512">
        <v>11825.9</v>
      </c>
      <c r="J512">
        <v>10</v>
      </c>
      <c r="K512">
        <v>0.25</v>
      </c>
      <c r="L512">
        <v>1707.36</v>
      </c>
      <c r="M512" t="s">
        <v>49</v>
      </c>
      <c r="N512" t="s">
        <v>38</v>
      </c>
      <c r="O512" t="str">
        <f t="shared" si="14"/>
        <v>Good</v>
      </c>
      <c r="P512">
        <f t="shared" si="15"/>
        <v>1182.5899999999999</v>
      </c>
      <c r="Q512">
        <v>45363</v>
      </c>
      <c r="R512">
        <f>YEAR(Table1[[#This Row],[Order_Date_New]])</f>
        <v>2024</v>
      </c>
      <c r="S512">
        <f>MONTH(Table1[[#This Row],[Order_Date_New]])</f>
        <v>3</v>
      </c>
      <c r="T512" t="str">
        <f>TEXT(Table1[[#This Row],[Order_Date_New]],"mmmm")</f>
        <v>March</v>
      </c>
      <c r="U512">
        <f>Table1[[#This Row],[Profit]]/Table1[[#This Row],[Sales]]</f>
        <v>0.14437463533430858</v>
      </c>
      <c r="V512" t="str">
        <f>IF(Table1[[#This Row],[Discount]]=0,"No Discount",IF(Table1[[#This Row],[Discount]]&lt;=0.1,"Low",IF(Table1[[#This Row],[Discount]]&lt;=0.2,"medium","high")))</f>
        <v>high</v>
      </c>
    </row>
    <row r="513" spans="1:22" x14ac:dyDescent="0.3">
      <c r="A513" t="s">
        <v>797</v>
      </c>
      <c r="B513" s="6">
        <v>45661</v>
      </c>
      <c r="C513" t="s">
        <v>441</v>
      </c>
      <c r="D513" t="s">
        <v>53</v>
      </c>
      <c r="E513" t="s">
        <v>77</v>
      </c>
      <c r="F513" t="s">
        <v>72</v>
      </c>
      <c r="G513" t="s">
        <v>111</v>
      </c>
      <c r="H513" t="s">
        <v>112</v>
      </c>
      <c r="I513">
        <v>2221.71</v>
      </c>
      <c r="J513">
        <v>3</v>
      </c>
      <c r="K513">
        <v>0.25</v>
      </c>
      <c r="L513">
        <v>-363.35</v>
      </c>
      <c r="M513" t="s">
        <v>105</v>
      </c>
      <c r="N513" t="s">
        <v>38</v>
      </c>
      <c r="O513" t="str">
        <f t="shared" si="14"/>
        <v>Bad</v>
      </c>
      <c r="P513">
        <f t="shared" si="15"/>
        <v>740.57</v>
      </c>
      <c r="Q513">
        <v>45661</v>
      </c>
      <c r="R513">
        <f>YEAR(Table1[[#This Row],[Order_Date_New]])</f>
        <v>2025</v>
      </c>
      <c r="S513">
        <f>MONTH(Table1[[#This Row],[Order_Date_New]])</f>
        <v>1</v>
      </c>
      <c r="T513" t="str">
        <f>TEXT(Table1[[#This Row],[Order_Date_New]],"mmmm")</f>
        <v>January</v>
      </c>
      <c r="U513">
        <f>Table1[[#This Row],[Profit]]/Table1[[#This Row],[Sales]]</f>
        <v>-0.16354519716794721</v>
      </c>
      <c r="V513" t="str">
        <f>IF(Table1[[#This Row],[Discount]]=0,"No Discount",IF(Table1[[#This Row],[Discount]]&lt;=0.1,"Low",IF(Table1[[#This Row],[Discount]]&lt;=0.2,"medium","high")))</f>
        <v>high</v>
      </c>
    </row>
    <row r="514" spans="1:22" x14ac:dyDescent="0.3">
      <c r="A514" t="s">
        <v>798</v>
      </c>
      <c r="B514" s="6">
        <v>45661</v>
      </c>
      <c r="C514" t="s">
        <v>32</v>
      </c>
      <c r="D514" t="s">
        <v>53</v>
      </c>
      <c r="E514" t="s">
        <v>107</v>
      </c>
      <c r="F514" t="s">
        <v>26</v>
      </c>
      <c r="G514" t="s">
        <v>35</v>
      </c>
      <c r="H514" t="s">
        <v>55</v>
      </c>
      <c r="I514">
        <v>7722.89</v>
      </c>
      <c r="J514">
        <v>7</v>
      </c>
      <c r="K514">
        <v>0.2</v>
      </c>
      <c r="L514">
        <v>-20.260000000000002</v>
      </c>
      <c r="M514" t="s">
        <v>170</v>
      </c>
      <c r="N514" t="s">
        <v>38</v>
      </c>
      <c r="O514" t="str">
        <f t="shared" ref="O514:O577" si="16">IF(AND(I514&gt;5000,J514&gt;7),"Good","Bad")</f>
        <v>Bad</v>
      </c>
      <c r="P514">
        <f t="shared" ref="P514:P577" si="17">I514/J514</f>
        <v>1103.27</v>
      </c>
      <c r="Q514">
        <v>45661</v>
      </c>
      <c r="R514">
        <f>YEAR(Table1[[#This Row],[Order_Date_New]])</f>
        <v>2025</v>
      </c>
      <c r="S514">
        <f>MONTH(Table1[[#This Row],[Order_Date_New]])</f>
        <v>1</v>
      </c>
      <c r="T514" t="str">
        <f>TEXT(Table1[[#This Row],[Order_Date_New]],"mmmm")</f>
        <v>January</v>
      </c>
      <c r="U514">
        <f>Table1[[#This Row],[Profit]]/Table1[[#This Row],[Sales]]</f>
        <v>-2.6233702668301633E-3</v>
      </c>
      <c r="V514" t="str">
        <f>IF(Table1[[#This Row],[Discount]]=0,"No Discount",IF(Table1[[#This Row],[Discount]]&lt;=0.1,"Low",IF(Table1[[#This Row],[Discount]]&lt;=0.2,"medium","high")))</f>
        <v>medium</v>
      </c>
    </row>
    <row r="515" spans="1:22" x14ac:dyDescent="0.3">
      <c r="A515" t="s">
        <v>799</v>
      </c>
      <c r="B515" s="6">
        <v>45653</v>
      </c>
      <c r="C515" t="s">
        <v>638</v>
      </c>
      <c r="D515" t="s">
        <v>53</v>
      </c>
      <c r="E515" t="s">
        <v>87</v>
      </c>
      <c r="F515" t="s">
        <v>60</v>
      </c>
      <c r="G515" t="s">
        <v>78</v>
      </c>
      <c r="H515" t="s">
        <v>125</v>
      </c>
      <c r="I515">
        <v>8494.7999999999993</v>
      </c>
      <c r="J515">
        <v>10</v>
      </c>
      <c r="K515">
        <v>0.1</v>
      </c>
      <c r="L515">
        <v>2876.41</v>
      </c>
      <c r="M515" t="s">
        <v>90</v>
      </c>
      <c r="N515" t="s">
        <v>38</v>
      </c>
      <c r="O515" t="str">
        <f t="shared" si="16"/>
        <v>Good</v>
      </c>
      <c r="P515">
        <f t="shared" si="17"/>
        <v>849.4799999999999</v>
      </c>
      <c r="Q515">
        <v>45653</v>
      </c>
      <c r="R515">
        <f>YEAR(Table1[[#This Row],[Order_Date_New]])</f>
        <v>2024</v>
      </c>
      <c r="S515">
        <f>MONTH(Table1[[#This Row],[Order_Date_New]])</f>
        <v>12</v>
      </c>
      <c r="T515" t="str">
        <f>TEXT(Table1[[#This Row],[Order_Date_New]],"mmmm")</f>
        <v>December</v>
      </c>
      <c r="U515">
        <f>Table1[[#This Row],[Profit]]/Table1[[#This Row],[Sales]]</f>
        <v>0.3386083250929981</v>
      </c>
      <c r="V515" t="str">
        <f>IF(Table1[[#This Row],[Discount]]=0,"No Discount",IF(Table1[[#This Row],[Discount]]&lt;=0.1,"Low",IF(Table1[[#This Row],[Discount]]&lt;=0.2,"medium","high")))</f>
        <v>Low</v>
      </c>
    </row>
    <row r="516" spans="1:22" x14ac:dyDescent="0.3">
      <c r="A516" t="s">
        <v>800</v>
      </c>
      <c r="B516" s="6">
        <v>45997</v>
      </c>
      <c r="C516" t="s">
        <v>224</v>
      </c>
      <c r="D516" t="s">
        <v>33</v>
      </c>
      <c r="E516" t="s">
        <v>118</v>
      </c>
      <c r="F516" t="s">
        <v>26</v>
      </c>
      <c r="G516" t="s">
        <v>27</v>
      </c>
      <c r="H516" t="s">
        <v>200</v>
      </c>
      <c r="I516">
        <v>1761.54</v>
      </c>
      <c r="J516">
        <v>2</v>
      </c>
      <c r="K516">
        <v>0.1</v>
      </c>
      <c r="L516">
        <v>81.790000000000006</v>
      </c>
      <c r="M516" t="s">
        <v>170</v>
      </c>
      <c r="N516" t="s">
        <v>44</v>
      </c>
      <c r="O516" t="str">
        <f t="shared" si="16"/>
        <v>Bad</v>
      </c>
      <c r="P516">
        <f t="shared" si="17"/>
        <v>880.77</v>
      </c>
      <c r="Q516">
        <v>45997</v>
      </c>
      <c r="R516">
        <f>YEAR(Table1[[#This Row],[Order_Date_New]])</f>
        <v>2025</v>
      </c>
      <c r="S516">
        <f>MONTH(Table1[[#This Row],[Order_Date_New]])</f>
        <v>12</v>
      </c>
      <c r="T516" t="str">
        <f>TEXT(Table1[[#This Row],[Order_Date_New]],"mmmm")</f>
        <v>December</v>
      </c>
      <c r="U516">
        <f>Table1[[#This Row],[Profit]]/Table1[[#This Row],[Sales]]</f>
        <v>4.6430963815752131E-2</v>
      </c>
      <c r="V516" t="str">
        <f>IF(Table1[[#This Row],[Discount]]=0,"No Discount",IF(Table1[[#This Row],[Discount]]&lt;=0.1,"Low",IF(Table1[[#This Row],[Discount]]&lt;=0.2,"medium","high")))</f>
        <v>Low</v>
      </c>
    </row>
    <row r="517" spans="1:22" x14ac:dyDescent="0.3">
      <c r="A517" t="s">
        <v>801</v>
      </c>
      <c r="B517" s="6">
        <v>45796</v>
      </c>
      <c r="C517" t="s">
        <v>221</v>
      </c>
      <c r="D517" t="s">
        <v>128</v>
      </c>
      <c r="E517" t="s">
        <v>202</v>
      </c>
      <c r="F517" t="s">
        <v>26</v>
      </c>
      <c r="G517" t="s">
        <v>27</v>
      </c>
      <c r="H517" t="s">
        <v>271</v>
      </c>
      <c r="I517">
        <v>6688.4</v>
      </c>
      <c r="J517">
        <v>10</v>
      </c>
      <c r="K517">
        <v>0.25</v>
      </c>
      <c r="L517">
        <v>-1000.38</v>
      </c>
      <c r="M517" t="s">
        <v>29</v>
      </c>
      <c r="N517" t="s">
        <v>30</v>
      </c>
      <c r="O517" t="str">
        <f t="shared" si="16"/>
        <v>Good</v>
      </c>
      <c r="P517">
        <f t="shared" si="17"/>
        <v>668.83999999999992</v>
      </c>
      <c r="Q517">
        <v>45796</v>
      </c>
      <c r="R517">
        <f>YEAR(Table1[[#This Row],[Order_Date_New]])</f>
        <v>2025</v>
      </c>
      <c r="S517">
        <f>MONTH(Table1[[#This Row],[Order_Date_New]])</f>
        <v>5</v>
      </c>
      <c r="T517" t="str">
        <f>TEXT(Table1[[#This Row],[Order_Date_New]],"mmmm")</f>
        <v>May</v>
      </c>
      <c r="U517">
        <f>Table1[[#This Row],[Profit]]/Table1[[#This Row],[Sales]]</f>
        <v>-0.14956940374379524</v>
      </c>
      <c r="V517" t="str">
        <f>IF(Table1[[#This Row],[Discount]]=0,"No Discount",IF(Table1[[#This Row],[Discount]]&lt;=0.1,"Low",IF(Table1[[#This Row],[Discount]]&lt;=0.2,"medium","high")))</f>
        <v>high</v>
      </c>
    </row>
    <row r="518" spans="1:22" x14ac:dyDescent="0.3">
      <c r="A518" t="s">
        <v>802</v>
      </c>
      <c r="B518" s="6">
        <v>45511</v>
      </c>
      <c r="C518" t="s">
        <v>450</v>
      </c>
      <c r="D518" t="s">
        <v>33</v>
      </c>
      <c r="E518" t="s">
        <v>48</v>
      </c>
      <c r="F518" t="s">
        <v>26</v>
      </c>
      <c r="G518" t="s">
        <v>35</v>
      </c>
      <c r="H518" t="s">
        <v>36</v>
      </c>
      <c r="I518">
        <v>10965.9</v>
      </c>
      <c r="J518">
        <v>10</v>
      </c>
      <c r="K518">
        <v>0</v>
      </c>
      <c r="L518">
        <v>1138.44</v>
      </c>
      <c r="M518" t="s">
        <v>170</v>
      </c>
      <c r="N518" t="s">
        <v>30</v>
      </c>
      <c r="O518" t="str">
        <f t="shared" si="16"/>
        <v>Good</v>
      </c>
      <c r="P518">
        <f t="shared" si="17"/>
        <v>1096.5899999999999</v>
      </c>
      <c r="Q518">
        <v>45511</v>
      </c>
      <c r="R518">
        <f>YEAR(Table1[[#This Row],[Order_Date_New]])</f>
        <v>2024</v>
      </c>
      <c r="S518">
        <f>MONTH(Table1[[#This Row],[Order_Date_New]])</f>
        <v>8</v>
      </c>
      <c r="T518" t="str">
        <f>TEXT(Table1[[#This Row],[Order_Date_New]],"mmmm")</f>
        <v>August</v>
      </c>
      <c r="U518">
        <f>Table1[[#This Row],[Profit]]/Table1[[#This Row],[Sales]]</f>
        <v>0.10381637622083004</v>
      </c>
      <c r="V518" t="str">
        <f>IF(Table1[[#This Row],[Discount]]=0,"No Discount",IF(Table1[[#This Row],[Discount]]&lt;=0.1,"Low",IF(Table1[[#This Row],[Discount]]&lt;=0.2,"medium","high")))</f>
        <v>No Discount</v>
      </c>
    </row>
    <row r="519" spans="1:22" x14ac:dyDescent="0.3">
      <c r="A519" t="s">
        <v>803</v>
      </c>
      <c r="B519" s="6">
        <v>45939</v>
      </c>
      <c r="C519" t="s">
        <v>367</v>
      </c>
      <c r="D519" t="s">
        <v>53</v>
      </c>
      <c r="E519" t="s">
        <v>77</v>
      </c>
      <c r="F519" t="s">
        <v>72</v>
      </c>
      <c r="G519" t="s">
        <v>73</v>
      </c>
      <c r="H519" t="s">
        <v>293</v>
      </c>
      <c r="I519">
        <v>800.77</v>
      </c>
      <c r="J519">
        <v>1</v>
      </c>
      <c r="K519">
        <v>0.3</v>
      </c>
      <c r="L519">
        <v>-76.14</v>
      </c>
      <c r="M519" t="s">
        <v>170</v>
      </c>
      <c r="N519" t="s">
        <v>30</v>
      </c>
      <c r="O519" t="str">
        <f t="shared" si="16"/>
        <v>Bad</v>
      </c>
      <c r="P519">
        <f t="shared" si="17"/>
        <v>800.77</v>
      </c>
      <c r="Q519">
        <v>45939</v>
      </c>
      <c r="R519">
        <f>YEAR(Table1[[#This Row],[Order_Date_New]])</f>
        <v>2025</v>
      </c>
      <c r="S519">
        <f>MONTH(Table1[[#This Row],[Order_Date_New]])</f>
        <v>10</v>
      </c>
      <c r="T519" t="str">
        <f>TEXT(Table1[[#This Row],[Order_Date_New]],"mmmm")</f>
        <v>October</v>
      </c>
      <c r="U519">
        <f>Table1[[#This Row],[Profit]]/Table1[[#This Row],[Sales]]</f>
        <v>-9.5083482148432139E-2</v>
      </c>
      <c r="V519" t="str">
        <f>IF(Table1[[#This Row],[Discount]]=0,"No Discount",IF(Table1[[#This Row],[Discount]]&lt;=0.1,"Low",IF(Table1[[#This Row],[Discount]]&lt;=0.2,"medium","high")))</f>
        <v>high</v>
      </c>
    </row>
    <row r="520" spans="1:22" x14ac:dyDescent="0.3">
      <c r="A520" t="s">
        <v>804</v>
      </c>
      <c r="B520" s="6">
        <v>45383</v>
      </c>
      <c r="C520" t="s">
        <v>40</v>
      </c>
      <c r="D520" t="s">
        <v>128</v>
      </c>
      <c r="E520" t="s">
        <v>129</v>
      </c>
      <c r="F520" t="s">
        <v>72</v>
      </c>
      <c r="G520" t="s">
        <v>73</v>
      </c>
      <c r="H520" t="s">
        <v>293</v>
      </c>
      <c r="I520">
        <v>2831.04</v>
      </c>
      <c r="J520">
        <v>3</v>
      </c>
      <c r="K520">
        <v>0.05</v>
      </c>
      <c r="L520">
        <v>669.24</v>
      </c>
      <c r="M520" t="s">
        <v>37</v>
      </c>
      <c r="N520" t="s">
        <v>30</v>
      </c>
      <c r="O520" t="str">
        <f t="shared" si="16"/>
        <v>Bad</v>
      </c>
      <c r="P520">
        <f t="shared" si="17"/>
        <v>943.68</v>
      </c>
      <c r="Q520">
        <v>45383</v>
      </c>
      <c r="R520">
        <f>YEAR(Table1[[#This Row],[Order_Date_New]])</f>
        <v>2024</v>
      </c>
      <c r="S520">
        <f>MONTH(Table1[[#This Row],[Order_Date_New]])</f>
        <v>4</v>
      </c>
      <c r="T520" t="str">
        <f>TEXT(Table1[[#This Row],[Order_Date_New]],"mmmm")</f>
        <v>April</v>
      </c>
      <c r="U520">
        <f>Table1[[#This Row],[Profit]]/Table1[[#This Row],[Sales]]</f>
        <v>0.23639369277721262</v>
      </c>
      <c r="V520" t="str">
        <f>IF(Table1[[#This Row],[Discount]]=0,"No Discount",IF(Table1[[#This Row],[Discount]]&lt;=0.1,"Low",IF(Table1[[#This Row],[Discount]]&lt;=0.2,"medium","high")))</f>
        <v>Low</v>
      </c>
    </row>
    <row r="521" spans="1:22" x14ac:dyDescent="0.3">
      <c r="A521" t="s">
        <v>805</v>
      </c>
      <c r="B521" s="6">
        <v>45731</v>
      </c>
      <c r="C521" t="s">
        <v>369</v>
      </c>
      <c r="D521" t="s">
        <v>53</v>
      </c>
      <c r="E521" t="s">
        <v>87</v>
      </c>
      <c r="F521" t="s">
        <v>72</v>
      </c>
      <c r="G521" t="s">
        <v>111</v>
      </c>
      <c r="H521" t="s">
        <v>158</v>
      </c>
      <c r="I521">
        <v>4318.88</v>
      </c>
      <c r="J521">
        <v>8</v>
      </c>
      <c r="K521">
        <v>0.25</v>
      </c>
      <c r="L521">
        <v>-236.15</v>
      </c>
      <c r="M521" t="s">
        <v>68</v>
      </c>
      <c r="N521" t="s">
        <v>44</v>
      </c>
      <c r="O521" t="str">
        <f t="shared" si="16"/>
        <v>Bad</v>
      </c>
      <c r="P521">
        <f t="shared" si="17"/>
        <v>539.86</v>
      </c>
      <c r="Q521">
        <v>45731</v>
      </c>
      <c r="R521">
        <f>YEAR(Table1[[#This Row],[Order_Date_New]])</f>
        <v>2025</v>
      </c>
      <c r="S521">
        <f>MONTH(Table1[[#This Row],[Order_Date_New]])</f>
        <v>3</v>
      </c>
      <c r="T521" t="str">
        <f>TEXT(Table1[[#This Row],[Order_Date_New]],"mmmm")</f>
        <v>March</v>
      </c>
      <c r="U521">
        <f>Table1[[#This Row],[Profit]]/Table1[[#This Row],[Sales]]</f>
        <v>-5.4678527766457971E-2</v>
      </c>
      <c r="V521" t="str">
        <f>IF(Table1[[#This Row],[Discount]]=0,"No Discount",IF(Table1[[#This Row],[Discount]]&lt;=0.1,"Low",IF(Table1[[#This Row],[Discount]]&lt;=0.2,"medium","high")))</f>
        <v>high</v>
      </c>
    </row>
    <row r="522" spans="1:22" x14ac:dyDescent="0.3">
      <c r="A522" t="s">
        <v>806</v>
      </c>
      <c r="B522" s="6">
        <v>45927</v>
      </c>
      <c r="C522" t="s">
        <v>347</v>
      </c>
      <c r="D522" t="s">
        <v>128</v>
      </c>
      <c r="E522" t="s">
        <v>129</v>
      </c>
      <c r="F522" t="s">
        <v>26</v>
      </c>
      <c r="G522" t="s">
        <v>27</v>
      </c>
      <c r="H522" t="s">
        <v>200</v>
      </c>
      <c r="I522">
        <v>3093.09</v>
      </c>
      <c r="J522">
        <v>7</v>
      </c>
      <c r="K522">
        <v>0.1</v>
      </c>
      <c r="L522">
        <v>-150.43</v>
      </c>
      <c r="M522" t="s">
        <v>90</v>
      </c>
      <c r="N522" t="s">
        <v>38</v>
      </c>
      <c r="O522" t="str">
        <f t="shared" si="16"/>
        <v>Bad</v>
      </c>
      <c r="P522">
        <f t="shared" si="17"/>
        <v>441.87</v>
      </c>
      <c r="Q522">
        <v>45927</v>
      </c>
      <c r="R522">
        <f>YEAR(Table1[[#This Row],[Order_Date_New]])</f>
        <v>2025</v>
      </c>
      <c r="S522">
        <f>MONTH(Table1[[#This Row],[Order_Date_New]])</f>
        <v>9</v>
      </c>
      <c r="T522" t="str">
        <f>TEXT(Table1[[#This Row],[Order_Date_New]],"mmmm")</f>
        <v>September</v>
      </c>
      <c r="U522">
        <f>Table1[[#This Row],[Profit]]/Table1[[#This Row],[Sales]]</f>
        <v>-4.8634213682757374E-2</v>
      </c>
      <c r="V522" t="str">
        <f>IF(Table1[[#This Row],[Discount]]=0,"No Discount",IF(Table1[[#This Row],[Discount]]&lt;=0.1,"Low",IF(Table1[[#This Row],[Discount]]&lt;=0.2,"medium","high")))</f>
        <v>Low</v>
      </c>
    </row>
    <row r="523" spans="1:22" x14ac:dyDescent="0.3">
      <c r="A523" t="s">
        <v>807</v>
      </c>
      <c r="B523" s="6">
        <v>45560</v>
      </c>
      <c r="C523" t="s">
        <v>420</v>
      </c>
      <c r="D523" t="s">
        <v>128</v>
      </c>
      <c r="E523" t="s">
        <v>129</v>
      </c>
      <c r="F523" t="s">
        <v>72</v>
      </c>
      <c r="G523" t="s">
        <v>111</v>
      </c>
      <c r="H523" t="s">
        <v>158</v>
      </c>
      <c r="I523">
        <v>4013.76</v>
      </c>
      <c r="J523">
        <v>6</v>
      </c>
      <c r="K523">
        <v>0.15</v>
      </c>
      <c r="L523">
        <v>150.80000000000001</v>
      </c>
      <c r="M523" t="s">
        <v>113</v>
      </c>
      <c r="N523" t="s">
        <v>30</v>
      </c>
      <c r="O523" t="str">
        <f t="shared" si="16"/>
        <v>Bad</v>
      </c>
      <c r="P523">
        <f t="shared" si="17"/>
        <v>668.96</v>
      </c>
      <c r="Q523">
        <v>45560</v>
      </c>
      <c r="R523">
        <f>YEAR(Table1[[#This Row],[Order_Date_New]])</f>
        <v>2024</v>
      </c>
      <c r="S523">
        <f>MONTH(Table1[[#This Row],[Order_Date_New]])</f>
        <v>9</v>
      </c>
      <c r="T523" t="str">
        <f>TEXT(Table1[[#This Row],[Order_Date_New]],"mmmm")</f>
        <v>September</v>
      </c>
      <c r="U523">
        <f>Table1[[#This Row],[Profit]]/Table1[[#This Row],[Sales]]</f>
        <v>3.7570756597305272E-2</v>
      </c>
      <c r="V523" t="str">
        <f>IF(Table1[[#This Row],[Discount]]=0,"No Discount",IF(Table1[[#This Row],[Discount]]&lt;=0.1,"Low",IF(Table1[[#This Row],[Discount]]&lt;=0.2,"medium","high")))</f>
        <v>medium</v>
      </c>
    </row>
    <row r="524" spans="1:22" x14ac:dyDescent="0.3">
      <c r="A524" t="s">
        <v>808</v>
      </c>
      <c r="B524" s="6">
        <v>45574</v>
      </c>
      <c r="C524" t="s">
        <v>572</v>
      </c>
      <c r="D524" t="s">
        <v>53</v>
      </c>
      <c r="E524" t="s">
        <v>77</v>
      </c>
      <c r="F524" t="s">
        <v>26</v>
      </c>
      <c r="G524" t="s">
        <v>35</v>
      </c>
      <c r="H524" t="s">
        <v>36</v>
      </c>
      <c r="I524">
        <v>3529.1</v>
      </c>
      <c r="J524">
        <v>5</v>
      </c>
      <c r="K524">
        <v>0.05</v>
      </c>
      <c r="L524">
        <v>1135.56</v>
      </c>
      <c r="M524" t="s">
        <v>43</v>
      </c>
      <c r="N524" t="s">
        <v>44</v>
      </c>
      <c r="O524" t="str">
        <f t="shared" si="16"/>
        <v>Bad</v>
      </c>
      <c r="P524">
        <f t="shared" si="17"/>
        <v>705.81999999999994</v>
      </c>
      <c r="Q524">
        <v>45574</v>
      </c>
      <c r="R524">
        <f>YEAR(Table1[[#This Row],[Order_Date_New]])</f>
        <v>2024</v>
      </c>
      <c r="S524">
        <f>MONTH(Table1[[#This Row],[Order_Date_New]])</f>
        <v>10</v>
      </c>
      <c r="T524" t="str">
        <f>TEXT(Table1[[#This Row],[Order_Date_New]],"mmmm")</f>
        <v>October</v>
      </c>
      <c r="U524">
        <f>Table1[[#This Row],[Profit]]/Table1[[#This Row],[Sales]]</f>
        <v>0.32177042305403641</v>
      </c>
      <c r="V524" t="str">
        <f>IF(Table1[[#This Row],[Discount]]=0,"No Discount",IF(Table1[[#This Row],[Discount]]&lt;=0.1,"Low",IF(Table1[[#This Row],[Discount]]&lt;=0.2,"medium","high")))</f>
        <v>Low</v>
      </c>
    </row>
    <row r="525" spans="1:22" x14ac:dyDescent="0.3">
      <c r="A525" t="s">
        <v>809</v>
      </c>
      <c r="B525" s="6">
        <v>45299</v>
      </c>
      <c r="C525" t="s">
        <v>367</v>
      </c>
      <c r="D525" t="s">
        <v>33</v>
      </c>
      <c r="E525" t="s">
        <v>48</v>
      </c>
      <c r="F525" t="s">
        <v>26</v>
      </c>
      <c r="G525" t="s">
        <v>27</v>
      </c>
      <c r="H525" t="s">
        <v>200</v>
      </c>
      <c r="I525">
        <v>2052.7199999999998</v>
      </c>
      <c r="J525">
        <v>9</v>
      </c>
      <c r="K525">
        <v>0.25</v>
      </c>
      <c r="L525">
        <v>330.96</v>
      </c>
      <c r="M525" t="s">
        <v>90</v>
      </c>
      <c r="N525" t="s">
        <v>44</v>
      </c>
      <c r="O525" t="str">
        <f t="shared" si="16"/>
        <v>Bad</v>
      </c>
      <c r="P525">
        <f t="shared" si="17"/>
        <v>228.07999999999998</v>
      </c>
      <c r="Q525">
        <v>45299</v>
      </c>
      <c r="R525">
        <f>YEAR(Table1[[#This Row],[Order_Date_New]])</f>
        <v>2024</v>
      </c>
      <c r="S525">
        <f>MONTH(Table1[[#This Row],[Order_Date_New]])</f>
        <v>1</v>
      </c>
      <c r="T525" t="str">
        <f>TEXT(Table1[[#This Row],[Order_Date_New]],"mmmm")</f>
        <v>January</v>
      </c>
      <c r="U525">
        <f>Table1[[#This Row],[Profit]]/Table1[[#This Row],[Sales]]</f>
        <v>0.16122997778557233</v>
      </c>
      <c r="V525" t="str">
        <f>IF(Table1[[#This Row],[Discount]]=0,"No Discount",IF(Table1[[#This Row],[Discount]]&lt;=0.1,"Low",IF(Table1[[#This Row],[Discount]]&lt;=0.2,"medium","high")))</f>
        <v>high</v>
      </c>
    </row>
    <row r="526" spans="1:22" x14ac:dyDescent="0.3">
      <c r="A526" t="s">
        <v>810</v>
      </c>
      <c r="B526" s="6">
        <v>45937</v>
      </c>
      <c r="C526" t="s">
        <v>687</v>
      </c>
      <c r="D526" t="s">
        <v>128</v>
      </c>
      <c r="E526" t="s">
        <v>146</v>
      </c>
      <c r="F526" t="s">
        <v>60</v>
      </c>
      <c r="G526" t="s">
        <v>61</v>
      </c>
      <c r="H526" t="s">
        <v>67</v>
      </c>
      <c r="I526">
        <v>4233.0600000000004</v>
      </c>
      <c r="J526">
        <v>6</v>
      </c>
      <c r="K526">
        <v>0.25</v>
      </c>
      <c r="L526">
        <v>159.13999999999999</v>
      </c>
      <c r="M526" t="s">
        <v>37</v>
      </c>
      <c r="N526" t="s">
        <v>30</v>
      </c>
      <c r="O526" t="str">
        <f t="shared" si="16"/>
        <v>Bad</v>
      </c>
      <c r="P526">
        <f t="shared" si="17"/>
        <v>705.5100000000001</v>
      </c>
      <c r="Q526">
        <v>45937</v>
      </c>
      <c r="R526">
        <f>YEAR(Table1[[#This Row],[Order_Date_New]])</f>
        <v>2025</v>
      </c>
      <c r="S526">
        <f>MONTH(Table1[[#This Row],[Order_Date_New]])</f>
        <v>10</v>
      </c>
      <c r="T526" t="str">
        <f>TEXT(Table1[[#This Row],[Order_Date_New]],"mmmm")</f>
        <v>October</v>
      </c>
      <c r="U526">
        <f>Table1[[#This Row],[Profit]]/Table1[[#This Row],[Sales]]</f>
        <v>3.7594553349113873E-2</v>
      </c>
      <c r="V526" t="str">
        <f>IF(Table1[[#This Row],[Discount]]=0,"No Discount",IF(Table1[[#This Row],[Discount]]&lt;=0.1,"Low",IF(Table1[[#This Row],[Discount]]&lt;=0.2,"medium","high")))</f>
        <v>high</v>
      </c>
    </row>
    <row r="527" spans="1:22" x14ac:dyDescent="0.3">
      <c r="A527" t="s">
        <v>811</v>
      </c>
      <c r="B527" s="6">
        <v>45963</v>
      </c>
      <c r="C527" t="s">
        <v>729</v>
      </c>
      <c r="D527" t="s">
        <v>33</v>
      </c>
      <c r="E527" t="s">
        <v>66</v>
      </c>
      <c r="F527" t="s">
        <v>72</v>
      </c>
      <c r="G527" t="s">
        <v>73</v>
      </c>
      <c r="H527" t="s">
        <v>293</v>
      </c>
      <c r="I527">
        <v>8134.63</v>
      </c>
      <c r="J527">
        <v>7</v>
      </c>
      <c r="K527">
        <v>0.25</v>
      </c>
      <c r="L527">
        <v>478.37</v>
      </c>
      <c r="M527" t="s">
        <v>43</v>
      </c>
      <c r="N527" t="s">
        <v>30</v>
      </c>
      <c r="O527" t="str">
        <f t="shared" si="16"/>
        <v>Bad</v>
      </c>
      <c r="P527">
        <f t="shared" si="17"/>
        <v>1162.0899999999999</v>
      </c>
      <c r="Q527">
        <v>45963</v>
      </c>
      <c r="R527">
        <f>YEAR(Table1[[#This Row],[Order_Date_New]])</f>
        <v>2025</v>
      </c>
      <c r="S527">
        <f>MONTH(Table1[[#This Row],[Order_Date_New]])</f>
        <v>11</v>
      </c>
      <c r="T527" t="str">
        <f>TEXT(Table1[[#This Row],[Order_Date_New]],"mmmm")</f>
        <v>November</v>
      </c>
      <c r="U527">
        <f>Table1[[#This Row],[Profit]]/Table1[[#This Row],[Sales]]</f>
        <v>5.8806608290727418E-2</v>
      </c>
      <c r="V527" t="str">
        <f>IF(Table1[[#This Row],[Discount]]=0,"No Discount",IF(Table1[[#This Row],[Discount]]&lt;=0.1,"Low",IF(Table1[[#This Row],[Discount]]&lt;=0.2,"medium","high")))</f>
        <v>high</v>
      </c>
    </row>
    <row r="528" spans="1:22" x14ac:dyDescent="0.3">
      <c r="A528" t="s">
        <v>812</v>
      </c>
      <c r="B528" s="6">
        <v>45548</v>
      </c>
      <c r="C528" t="s">
        <v>292</v>
      </c>
      <c r="D528" t="s">
        <v>24</v>
      </c>
      <c r="E528" t="s">
        <v>97</v>
      </c>
      <c r="F528" t="s">
        <v>60</v>
      </c>
      <c r="G528" t="s">
        <v>78</v>
      </c>
      <c r="H528" t="s">
        <v>79</v>
      </c>
      <c r="I528">
        <v>2526.3000000000002</v>
      </c>
      <c r="J528">
        <v>7</v>
      </c>
      <c r="K528">
        <v>0.15</v>
      </c>
      <c r="L528">
        <v>719.03</v>
      </c>
      <c r="M528" t="s">
        <v>29</v>
      </c>
      <c r="N528" t="s">
        <v>80</v>
      </c>
      <c r="O528" t="str">
        <f t="shared" si="16"/>
        <v>Bad</v>
      </c>
      <c r="P528">
        <f t="shared" si="17"/>
        <v>360.90000000000003</v>
      </c>
      <c r="Q528">
        <v>45548</v>
      </c>
      <c r="R528">
        <f>YEAR(Table1[[#This Row],[Order_Date_New]])</f>
        <v>2024</v>
      </c>
      <c r="S528">
        <f>MONTH(Table1[[#This Row],[Order_Date_New]])</f>
        <v>9</v>
      </c>
      <c r="T528" t="str">
        <f>TEXT(Table1[[#This Row],[Order_Date_New]],"mmmm")</f>
        <v>September</v>
      </c>
      <c r="U528">
        <f>Table1[[#This Row],[Profit]]/Table1[[#This Row],[Sales]]</f>
        <v>0.28461782052804496</v>
      </c>
      <c r="V528" t="str">
        <f>IF(Table1[[#This Row],[Discount]]=0,"No Discount",IF(Table1[[#This Row],[Discount]]&lt;=0.1,"Low",IF(Table1[[#This Row],[Discount]]&lt;=0.2,"medium","high")))</f>
        <v>medium</v>
      </c>
    </row>
    <row r="529" spans="1:22" x14ac:dyDescent="0.3">
      <c r="A529" t="s">
        <v>813</v>
      </c>
      <c r="B529" s="6">
        <v>45928</v>
      </c>
      <c r="C529" t="s">
        <v>163</v>
      </c>
      <c r="D529" t="s">
        <v>24</v>
      </c>
      <c r="E529" t="s">
        <v>84</v>
      </c>
      <c r="F529" t="s">
        <v>60</v>
      </c>
      <c r="G529" t="s">
        <v>78</v>
      </c>
      <c r="H529" t="s">
        <v>79</v>
      </c>
      <c r="I529">
        <v>2790.24</v>
      </c>
      <c r="J529">
        <v>8</v>
      </c>
      <c r="K529">
        <v>0.1</v>
      </c>
      <c r="L529">
        <v>-57.58</v>
      </c>
      <c r="M529" t="s">
        <v>133</v>
      </c>
      <c r="N529" t="s">
        <v>44</v>
      </c>
      <c r="O529" t="str">
        <f t="shared" si="16"/>
        <v>Bad</v>
      </c>
      <c r="P529">
        <f t="shared" si="17"/>
        <v>348.78</v>
      </c>
      <c r="Q529">
        <v>45928</v>
      </c>
      <c r="R529">
        <f>YEAR(Table1[[#This Row],[Order_Date_New]])</f>
        <v>2025</v>
      </c>
      <c r="S529">
        <f>MONTH(Table1[[#This Row],[Order_Date_New]])</f>
        <v>9</v>
      </c>
      <c r="T529" t="str">
        <f>TEXT(Table1[[#This Row],[Order_Date_New]],"mmmm")</f>
        <v>September</v>
      </c>
      <c r="U529">
        <f>Table1[[#This Row],[Profit]]/Table1[[#This Row],[Sales]]</f>
        <v>-2.0636217673031712E-2</v>
      </c>
      <c r="V529" t="str">
        <f>IF(Table1[[#This Row],[Discount]]=0,"No Discount",IF(Table1[[#This Row],[Discount]]&lt;=0.1,"Low",IF(Table1[[#This Row],[Discount]]&lt;=0.2,"medium","high")))</f>
        <v>Low</v>
      </c>
    </row>
    <row r="530" spans="1:22" x14ac:dyDescent="0.3">
      <c r="A530" t="s">
        <v>814</v>
      </c>
      <c r="B530" s="6">
        <v>45576</v>
      </c>
      <c r="C530" t="s">
        <v>115</v>
      </c>
      <c r="D530" t="s">
        <v>33</v>
      </c>
      <c r="E530" t="s">
        <v>48</v>
      </c>
      <c r="F530" t="s">
        <v>72</v>
      </c>
      <c r="G530" t="s">
        <v>88</v>
      </c>
      <c r="H530" t="s">
        <v>209</v>
      </c>
      <c r="I530">
        <v>3135.06</v>
      </c>
      <c r="J530">
        <v>9</v>
      </c>
      <c r="K530">
        <v>0.2</v>
      </c>
      <c r="L530">
        <v>-281.49</v>
      </c>
      <c r="M530" t="s">
        <v>105</v>
      </c>
      <c r="N530" t="s">
        <v>44</v>
      </c>
      <c r="O530" t="str">
        <f t="shared" si="16"/>
        <v>Bad</v>
      </c>
      <c r="P530">
        <f t="shared" si="17"/>
        <v>348.34</v>
      </c>
      <c r="Q530">
        <v>45576</v>
      </c>
      <c r="R530">
        <f>YEAR(Table1[[#This Row],[Order_Date_New]])</f>
        <v>2024</v>
      </c>
      <c r="S530">
        <f>MONTH(Table1[[#This Row],[Order_Date_New]])</f>
        <v>10</v>
      </c>
      <c r="T530" t="str">
        <f>TEXT(Table1[[#This Row],[Order_Date_New]],"mmmm")</f>
        <v>October</v>
      </c>
      <c r="U530">
        <f>Table1[[#This Row],[Profit]]/Table1[[#This Row],[Sales]]</f>
        <v>-8.9787755258272567E-2</v>
      </c>
      <c r="V530" t="str">
        <f>IF(Table1[[#This Row],[Discount]]=0,"No Discount",IF(Table1[[#This Row],[Discount]]&lt;=0.1,"Low",IF(Table1[[#This Row],[Discount]]&lt;=0.2,"medium","high")))</f>
        <v>medium</v>
      </c>
    </row>
    <row r="531" spans="1:22" x14ac:dyDescent="0.3">
      <c r="A531" t="s">
        <v>815</v>
      </c>
      <c r="B531" s="6">
        <v>46000</v>
      </c>
      <c r="C531" t="s">
        <v>417</v>
      </c>
      <c r="D531" t="s">
        <v>53</v>
      </c>
      <c r="E531" t="s">
        <v>87</v>
      </c>
      <c r="F531" t="s">
        <v>26</v>
      </c>
      <c r="G531" t="s">
        <v>41</v>
      </c>
      <c r="H531" t="s">
        <v>189</v>
      </c>
      <c r="I531">
        <v>8340.85</v>
      </c>
      <c r="J531">
        <v>7</v>
      </c>
      <c r="K531">
        <v>0.2</v>
      </c>
      <c r="L531">
        <v>1818.2</v>
      </c>
      <c r="M531" t="s">
        <v>105</v>
      </c>
      <c r="N531" t="s">
        <v>80</v>
      </c>
      <c r="O531" t="str">
        <f t="shared" si="16"/>
        <v>Bad</v>
      </c>
      <c r="P531">
        <f t="shared" si="17"/>
        <v>1191.55</v>
      </c>
      <c r="Q531">
        <v>46000</v>
      </c>
      <c r="R531">
        <f>YEAR(Table1[[#This Row],[Order_Date_New]])</f>
        <v>2025</v>
      </c>
      <c r="S531">
        <f>MONTH(Table1[[#This Row],[Order_Date_New]])</f>
        <v>12</v>
      </c>
      <c r="T531" t="str">
        <f>TEXT(Table1[[#This Row],[Order_Date_New]],"mmmm")</f>
        <v>December</v>
      </c>
      <c r="U531">
        <f>Table1[[#This Row],[Profit]]/Table1[[#This Row],[Sales]]</f>
        <v>0.21798737538740057</v>
      </c>
      <c r="V531" t="str">
        <f>IF(Table1[[#This Row],[Discount]]=0,"No Discount",IF(Table1[[#This Row],[Discount]]&lt;=0.1,"Low",IF(Table1[[#This Row],[Discount]]&lt;=0.2,"medium","high")))</f>
        <v>medium</v>
      </c>
    </row>
    <row r="532" spans="1:22" x14ac:dyDescent="0.3">
      <c r="A532" t="s">
        <v>816</v>
      </c>
      <c r="B532" s="6">
        <v>45820</v>
      </c>
      <c r="C532" t="s">
        <v>490</v>
      </c>
      <c r="D532" t="s">
        <v>24</v>
      </c>
      <c r="E532" t="s">
        <v>25</v>
      </c>
      <c r="F532" t="s">
        <v>26</v>
      </c>
      <c r="G532" t="s">
        <v>35</v>
      </c>
      <c r="H532" t="s">
        <v>36</v>
      </c>
      <c r="I532">
        <v>217.53</v>
      </c>
      <c r="J532">
        <v>1</v>
      </c>
      <c r="K532">
        <v>0.05</v>
      </c>
      <c r="L532">
        <v>67.45</v>
      </c>
      <c r="M532" t="s">
        <v>49</v>
      </c>
      <c r="N532" t="s">
        <v>44</v>
      </c>
      <c r="O532" t="str">
        <f t="shared" si="16"/>
        <v>Bad</v>
      </c>
      <c r="P532">
        <f t="shared" si="17"/>
        <v>217.53</v>
      </c>
      <c r="Q532">
        <v>45820</v>
      </c>
      <c r="R532">
        <f>YEAR(Table1[[#This Row],[Order_Date_New]])</f>
        <v>2025</v>
      </c>
      <c r="S532">
        <f>MONTH(Table1[[#This Row],[Order_Date_New]])</f>
        <v>6</v>
      </c>
      <c r="T532" t="str">
        <f>TEXT(Table1[[#This Row],[Order_Date_New]],"mmmm")</f>
        <v>June</v>
      </c>
      <c r="U532">
        <f>Table1[[#This Row],[Profit]]/Table1[[#This Row],[Sales]]</f>
        <v>0.310072173953018</v>
      </c>
      <c r="V532" t="str">
        <f>IF(Table1[[#This Row],[Discount]]=0,"No Discount",IF(Table1[[#This Row],[Discount]]&lt;=0.1,"Low",IF(Table1[[#This Row],[Discount]]&lt;=0.2,"medium","high")))</f>
        <v>Low</v>
      </c>
    </row>
    <row r="533" spans="1:22" x14ac:dyDescent="0.3">
      <c r="A533" t="s">
        <v>817</v>
      </c>
      <c r="B533" s="6">
        <v>45448</v>
      </c>
      <c r="C533" t="s">
        <v>466</v>
      </c>
      <c r="D533" t="s">
        <v>33</v>
      </c>
      <c r="E533" t="s">
        <v>66</v>
      </c>
      <c r="F533" t="s">
        <v>26</v>
      </c>
      <c r="G533" t="s">
        <v>35</v>
      </c>
      <c r="H533" t="s">
        <v>36</v>
      </c>
      <c r="I533">
        <v>2001.48</v>
      </c>
      <c r="J533">
        <v>3</v>
      </c>
      <c r="K533">
        <v>0</v>
      </c>
      <c r="L533">
        <v>729.08</v>
      </c>
      <c r="M533" t="s">
        <v>105</v>
      </c>
      <c r="N533" t="s">
        <v>80</v>
      </c>
      <c r="O533" t="str">
        <f t="shared" si="16"/>
        <v>Bad</v>
      </c>
      <c r="P533">
        <f t="shared" si="17"/>
        <v>667.16</v>
      </c>
      <c r="Q533">
        <v>45448</v>
      </c>
      <c r="R533">
        <f>YEAR(Table1[[#This Row],[Order_Date_New]])</f>
        <v>2024</v>
      </c>
      <c r="S533">
        <f>MONTH(Table1[[#This Row],[Order_Date_New]])</f>
        <v>6</v>
      </c>
      <c r="T533" t="str">
        <f>TEXT(Table1[[#This Row],[Order_Date_New]],"mmmm")</f>
        <v>June</v>
      </c>
      <c r="U533">
        <f>Table1[[#This Row],[Profit]]/Table1[[#This Row],[Sales]]</f>
        <v>0.36427043987449287</v>
      </c>
      <c r="V533" t="str">
        <f>IF(Table1[[#This Row],[Discount]]=0,"No Discount",IF(Table1[[#This Row],[Discount]]&lt;=0.1,"Low",IF(Table1[[#This Row],[Discount]]&lt;=0.2,"medium","high")))</f>
        <v>No Discount</v>
      </c>
    </row>
    <row r="534" spans="1:22" x14ac:dyDescent="0.3">
      <c r="A534" t="s">
        <v>818</v>
      </c>
      <c r="B534" s="6">
        <v>45455</v>
      </c>
      <c r="C534" t="s">
        <v>273</v>
      </c>
      <c r="D534" t="s">
        <v>53</v>
      </c>
      <c r="E534" t="s">
        <v>54</v>
      </c>
      <c r="F534" t="s">
        <v>60</v>
      </c>
      <c r="G534" t="s">
        <v>78</v>
      </c>
      <c r="H534" t="s">
        <v>79</v>
      </c>
      <c r="I534">
        <v>1284.8</v>
      </c>
      <c r="J534">
        <v>10</v>
      </c>
      <c r="K534">
        <v>0.2</v>
      </c>
      <c r="L534">
        <v>262.14</v>
      </c>
      <c r="M534" t="s">
        <v>113</v>
      </c>
      <c r="N534" t="s">
        <v>30</v>
      </c>
      <c r="O534" t="str">
        <f t="shared" si="16"/>
        <v>Bad</v>
      </c>
      <c r="P534">
        <f t="shared" si="17"/>
        <v>128.47999999999999</v>
      </c>
      <c r="Q534">
        <v>45455</v>
      </c>
      <c r="R534">
        <f>YEAR(Table1[[#This Row],[Order_Date_New]])</f>
        <v>2024</v>
      </c>
      <c r="S534">
        <f>MONTH(Table1[[#This Row],[Order_Date_New]])</f>
        <v>6</v>
      </c>
      <c r="T534" t="str">
        <f>TEXT(Table1[[#This Row],[Order_Date_New]],"mmmm")</f>
        <v>June</v>
      </c>
      <c r="U534">
        <f>Table1[[#This Row],[Profit]]/Table1[[#This Row],[Sales]]</f>
        <v>0.20403175591531755</v>
      </c>
      <c r="V534" t="str">
        <f>IF(Table1[[#This Row],[Discount]]=0,"No Discount",IF(Table1[[#This Row],[Discount]]&lt;=0.1,"Low",IF(Table1[[#This Row],[Discount]]&lt;=0.2,"medium","high")))</f>
        <v>medium</v>
      </c>
    </row>
    <row r="535" spans="1:22" x14ac:dyDescent="0.3">
      <c r="A535" t="s">
        <v>819</v>
      </c>
      <c r="B535" s="6">
        <v>45652</v>
      </c>
      <c r="C535" t="s">
        <v>518</v>
      </c>
      <c r="D535" t="s">
        <v>24</v>
      </c>
      <c r="E535" t="s">
        <v>59</v>
      </c>
      <c r="F535" t="s">
        <v>26</v>
      </c>
      <c r="G535" t="s">
        <v>35</v>
      </c>
      <c r="H535" t="s">
        <v>36</v>
      </c>
      <c r="I535">
        <v>1904.5</v>
      </c>
      <c r="J535">
        <v>5</v>
      </c>
      <c r="K535">
        <v>0.3</v>
      </c>
      <c r="L535">
        <v>-370.84</v>
      </c>
      <c r="M535" t="s">
        <v>113</v>
      </c>
      <c r="N535" t="s">
        <v>38</v>
      </c>
      <c r="O535" t="str">
        <f t="shared" si="16"/>
        <v>Bad</v>
      </c>
      <c r="P535">
        <f t="shared" si="17"/>
        <v>380.9</v>
      </c>
      <c r="Q535">
        <v>45652</v>
      </c>
      <c r="R535">
        <f>YEAR(Table1[[#This Row],[Order_Date_New]])</f>
        <v>2024</v>
      </c>
      <c r="S535">
        <f>MONTH(Table1[[#This Row],[Order_Date_New]])</f>
        <v>12</v>
      </c>
      <c r="T535" t="str">
        <f>TEXT(Table1[[#This Row],[Order_Date_New]],"mmmm")</f>
        <v>December</v>
      </c>
      <c r="U535">
        <f>Table1[[#This Row],[Profit]]/Table1[[#This Row],[Sales]]</f>
        <v>-0.19471777369388291</v>
      </c>
      <c r="V535" t="str">
        <f>IF(Table1[[#This Row],[Discount]]=0,"No Discount",IF(Table1[[#This Row],[Discount]]&lt;=0.1,"Low",IF(Table1[[#This Row],[Discount]]&lt;=0.2,"medium","high")))</f>
        <v>high</v>
      </c>
    </row>
    <row r="536" spans="1:22" x14ac:dyDescent="0.3">
      <c r="A536" t="s">
        <v>820</v>
      </c>
      <c r="B536" s="6">
        <v>45629</v>
      </c>
      <c r="C536" t="s">
        <v>739</v>
      </c>
      <c r="D536" t="s">
        <v>24</v>
      </c>
      <c r="E536" t="s">
        <v>25</v>
      </c>
      <c r="F536" t="s">
        <v>60</v>
      </c>
      <c r="G536" t="s">
        <v>61</v>
      </c>
      <c r="H536" t="s">
        <v>122</v>
      </c>
      <c r="I536">
        <v>3844.15</v>
      </c>
      <c r="J536">
        <v>5</v>
      </c>
      <c r="K536">
        <v>0.2</v>
      </c>
      <c r="L536">
        <v>285.85000000000002</v>
      </c>
      <c r="M536" t="s">
        <v>49</v>
      </c>
      <c r="N536" t="s">
        <v>38</v>
      </c>
      <c r="O536" t="str">
        <f t="shared" si="16"/>
        <v>Bad</v>
      </c>
      <c r="P536">
        <f t="shared" si="17"/>
        <v>768.83</v>
      </c>
      <c r="Q536">
        <v>45629</v>
      </c>
      <c r="R536">
        <f>YEAR(Table1[[#This Row],[Order_Date_New]])</f>
        <v>2024</v>
      </c>
      <c r="S536">
        <f>MONTH(Table1[[#This Row],[Order_Date_New]])</f>
        <v>12</v>
      </c>
      <c r="T536" t="str">
        <f>TEXT(Table1[[#This Row],[Order_Date_New]],"mmmm")</f>
        <v>December</v>
      </c>
      <c r="U536">
        <f>Table1[[#This Row],[Profit]]/Table1[[#This Row],[Sales]]</f>
        <v>7.435974142528258E-2</v>
      </c>
      <c r="V536" t="str">
        <f>IF(Table1[[#This Row],[Discount]]=0,"No Discount",IF(Table1[[#This Row],[Discount]]&lt;=0.1,"Low",IF(Table1[[#This Row],[Discount]]&lt;=0.2,"medium","high")))</f>
        <v>medium</v>
      </c>
    </row>
    <row r="537" spans="1:22" x14ac:dyDescent="0.3">
      <c r="A537" t="s">
        <v>821</v>
      </c>
      <c r="B537" s="6">
        <v>45471</v>
      </c>
      <c r="C537" t="s">
        <v>556</v>
      </c>
      <c r="D537" t="s">
        <v>33</v>
      </c>
      <c r="E537" t="s">
        <v>48</v>
      </c>
      <c r="F537" t="s">
        <v>72</v>
      </c>
      <c r="G537" t="s">
        <v>111</v>
      </c>
      <c r="H537" t="s">
        <v>112</v>
      </c>
      <c r="I537">
        <v>3909.96</v>
      </c>
      <c r="J537">
        <v>9</v>
      </c>
      <c r="K537">
        <v>0</v>
      </c>
      <c r="L537">
        <v>872.82</v>
      </c>
      <c r="M537" t="s">
        <v>43</v>
      </c>
      <c r="N537" t="s">
        <v>44</v>
      </c>
      <c r="O537" t="str">
        <f t="shared" si="16"/>
        <v>Bad</v>
      </c>
      <c r="P537">
        <f t="shared" si="17"/>
        <v>434.44</v>
      </c>
      <c r="Q537">
        <v>45471</v>
      </c>
      <c r="R537">
        <f>YEAR(Table1[[#This Row],[Order_Date_New]])</f>
        <v>2024</v>
      </c>
      <c r="S537">
        <f>MONTH(Table1[[#This Row],[Order_Date_New]])</f>
        <v>6</v>
      </c>
      <c r="T537" t="str">
        <f>TEXT(Table1[[#This Row],[Order_Date_New]],"mmmm")</f>
        <v>June</v>
      </c>
      <c r="U537">
        <f>Table1[[#This Row],[Profit]]/Table1[[#This Row],[Sales]]</f>
        <v>0.22322990516527025</v>
      </c>
      <c r="V537" t="str">
        <f>IF(Table1[[#This Row],[Discount]]=0,"No Discount",IF(Table1[[#This Row],[Discount]]&lt;=0.1,"Low",IF(Table1[[#This Row],[Discount]]&lt;=0.2,"medium","high")))</f>
        <v>No Discount</v>
      </c>
    </row>
    <row r="538" spans="1:22" x14ac:dyDescent="0.3">
      <c r="A538" t="s">
        <v>822</v>
      </c>
      <c r="B538" s="6">
        <v>45647</v>
      </c>
      <c r="C538" t="s">
        <v>823</v>
      </c>
      <c r="D538" t="s">
        <v>24</v>
      </c>
      <c r="E538" t="s">
        <v>84</v>
      </c>
      <c r="F538" t="s">
        <v>26</v>
      </c>
      <c r="G538" t="s">
        <v>35</v>
      </c>
      <c r="H538" t="s">
        <v>173</v>
      </c>
      <c r="I538">
        <v>7361.84</v>
      </c>
      <c r="J538">
        <v>8</v>
      </c>
      <c r="K538">
        <v>0.05</v>
      </c>
      <c r="L538">
        <v>524.84</v>
      </c>
      <c r="M538" t="s">
        <v>29</v>
      </c>
      <c r="N538" t="s">
        <v>30</v>
      </c>
      <c r="O538" t="str">
        <f t="shared" si="16"/>
        <v>Good</v>
      </c>
      <c r="P538">
        <f t="shared" si="17"/>
        <v>920.23</v>
      </c>
      <c r="Q538">
        <v>45647</v>
      </c>
      <c r="R538">
        <f>YEAR(Table1[[#This Row],[Order_Date_New]])</f>
        <v>2024</v>
      </c>
      <c r="S538">
        <f>MONTH(Table1[[#This Row],[Order_Date_New]])</f>
        <v>12</v>
      </c>
      <c r="T538" t="str">
        <f>TEXT(Table1[[#This Row],[Order_Date_New]],"mmmm")</f>
        <v>December</v>
      </c>
      <c r="U538">
        <f>Table1[[#This Row],[Profit]]/Table1[[#This Row],[Sales]]</f>
        <v>7.1291959618790951E-2</v>
      </c>
      <c r="V538" t="str">
        <f>IF(Table1[[#This Row],[Discount]]=0,"No Discount",IF(Table1[[#This Row],[Discount]]&lt;=0.1,"Low",IF(Table1[[#This Row],[Discount]]&lt;=0.2,"medium","high")))</f>
        <v>Low</v>
      </c>
    </row>
    <row r="539" spans="1:22" x14ac:dyDescent="0.3">
      <c r="A539" t="s">
        <v>824</v>
      </c>
      <c r="B539" s="6">
        <v>45411</v>
      </c>
      <c r="C539" t="s">
        <v>410</v>
      </c>
      <c r="D539" t="s">
        <v>24</v>
      </c>
      <c r="E539" t="s">
        <v>59</v>
      </c>
      <c r="F539" t="s">
        <v>26</v>
      </c>
      <c r="G539" t="s">
        <v>41</v>
      </c>
      <c r="H539" t="s">
        <v>108</v>
      </c>
      <c r="I539">
        <v>2156.88</v>
      </c>
      <c r="J539">
        <v>3</v>
      </c>
      <c r="K539">
        <v>0.1</v>
      </c>
      <c r="L539">
        <v>218.13</v>
      </c>
      <c r="M539" t="s">
        <v>90</v>
      </c>
      <c r="N539" t="s">
        <v>44</v>
      </c>
      <c r="O539" t="str">
        <f t="shared" si="16"/>
        <v>Bad</v>
      </c>
      <c r="P539">
        <f t="shared" si="17"/>
        <v>718.96</v>
      </c>
      <c r="Q539">
        <v>45411</v>
      </c>
      <c r="R539">
        <f>YEAR(Table1[[#This Row],[Order_Date_New]])</f>
        <v>2024</v>
      </c>
      <c r="S539">
        <f>MONTH(Table1[[#This Row],[Order_Date_New]])</f>
        <v>4</v>
      </c>
      <c r="T539" t="str">
        <f>TEXT(Table1[[#This Row],[Order_Date_New]],"mmmm")</f>
        <v>April</v>
      </c>
      <c r="U539">
        <f>Table1[[#This Row],[Profit]]/Table1[[#This Row],[Sales]]</f>
        <v>0.10113219094247246</v>
      </c>
      <c r="V539" t="str">
        <f>IF(Table1[[#This Row],[Discount]]=0,"No Discount",IF(Table1[[#This Row],[Discount]]&lt;=0.1,"Low",IF(Table1[[#This Row],[Discount]]&lt;=0.2,"medium","high")))</f>
        <v>Low</v>
      </c>
    </row>
    <row r="540" spans="1:22" x14ac:dyDescent="0.3">
      <c r="A540" t="s">
        <v>825</v>
      </c>
      <c r="B540" s="6">
        <v>46010</v>
      </c>
      <c r="C540" t="s">
        <v>733</v>
      </c>
      <c r="D540" t="s">
        <v>33</v>
      </c>
      <c r="E540" t="s">
        <v>118</v>
      </c>
      <c r="F540" t="s">
        <v>72</v>
      </c>
      <c r="G540" t="s">
        <v>111</v>
      </c>
      <c r="H540" t="s">
        <v>112</v>
      </c>
      <c r="I540">
        <v>3635.45</v>
      </c>
      <c r="J540">
        <v>7</v>
      </c>
      <c r="K540">
        <v>0.25</v>
      </c>
      <c r="L540">
        <v>105.07</v>
      </c>
      <c r="M540" t="s">
        <v>37</v>
      </c>
      <c r="N540" t="s">
        <v>38</v>
      </c>
      <c r="O540" t="str">
        <f t="shared" si="16"/>
        <v>Bad</v>
      </c>
      <c r="P540">
        <f t="shared" si="17"/>
        <v>519.35</v>
      </c>
      <c r="Q540">
        <v>46010</v>
      </c>
      <c r="R540">
        <f>YEAR(Table1[[#This Row],[Order_Date_New]])</f>
        <v>2025</v>
      </c>
      <c r="S540">
        <f>MONTH(Table1[[#This Row],[Order_Date_New]])</f>
        <v>12</v>
      </c>
      <c r="T540" t="str">
        <f>TEXT(Table1[[#This Row],[Order_Date_New]],"mmmm")</f>
        <v>December</v>
      </c>
      <c r="U540">
        <f>Table1[[#This Row],[Profit]]/Table1[[#This Row],[Sales]]</f>
        <v>2.8901511504765571E-2</v>
      </c>
      <c r="V540" t="str">
        <f>IF(Table1[[#This Row],[Discount]]=0,"No Discount",IF(Table1[[#This Row],[Discount]]&lt;=0.1,"Low",IF(Table1[[#This Row],[Discount]]&lt;=0.2,"medium","high")))</f>
        <v>high</v>
      </c>
    </row>
    <row r="541" spans="1:22" x14ac:dyDescent="0.3">
      <c r="A541" t="s">
        <v>826</v>
      </c>
      <c r="B541" s="6">
        <v>45635</v>
      </c>
      <c r="C541" t="s">
        <v>239</v>
      </c>
      <c r="D541" t="s">
        <v>24</v>
      </c>
      <c r="E541" t="s">
        <v>84</v>
      </c>
      <c r="F541" t="s">
        <v>72</v>
      </c>
      <c r="G541" t="s">
        <v>73</v>
      </c>
      <c r="H541" t="s">
        <v>74</v>
      </c>
      <c r="I541">
        <v>8849.25</v>
      </c>
      <c r="J541">
        <v>9</v>
      </c>
      <c r="K541">
        <v>0.15</v>
      </c>
      <c r="L541">
        <v>-501.77</v>
      </c>
      <c r="M541" t="s">
        <v>90</v>
      </c>
      <c r="N541" t="s">
        <v>80</v>
      </c>
      <c r="O541" t="str">
        <f t="shared" si="16"/>
        <v>Good</v>
      </c>
      <c r="P541">
        <f t="shared" si="17"/>
        <v>983.25</v>
      </c>
      <c r="Q541">
        <v>45635</v>
      </c>
      <c r="R541">
        <f>YEAR(Table1[[#This Row],[Order_Date_New]])</f>
        <v>2024</v>
      </c>
      <c r="S541">
        <f>MONTH(Table1[[#This Row],[Order_Date_New]])</f>
        <v>12</v>
      </c>
      <c r="T541" t="str">
        <f>TEXT(Table1[[#This Row],[Order_Date_New]],"mmmm")</f>
        <v>December</v>
      </c>
      <c r="U541">
        <f>Table1[[#This Row],[Profit]]/Table1[[#This Row],[Sales]]</f>
        <v>-5.6701980393818685E-2</v>
      </c>
      <c r="V541" t="str">
        <f>IF(Table1[[#This Row],[Discount]]=0,"No Discount",IF(Table1[[#This Row],[Discount]]&lt;=0.1,"Low",IF(Table1[[#This Row],[Discount]]&lt;=0.2,"medium","high")))</f>
        <v>medium</v>
      </c>
    </row>
    <row r="542" spans="1:22" x14ac:dyDescent="0.3">
      <c r="A542" t="s">
        <v>827</v>
      </c>
      <c r="B542" s="6">
        <v>45461</v>
      </c>
      <c r="C542" t="s">
        <v>474</v>
      </c>
      <c r="D542" t="s">
        <v>24</v>
      </c>
      <c r="E542" t="s">
        <v>25</v>
      </c>
      <c r="F542" t="s">
        <v>60</v>
      </c>
      <c r="G542" t="s">
        <v>78</v>
      </c>
      <c r="H542" t="s">
        <v>222</v>
      </c>
      <c r="I542">
        <v>1021.31</v>
      </c>
      <c r="J542">
        <v>1</v>
      </c>
      <c r="K542">
        <v>0.25</v>
      </c>
      <c r="L542">
        <v>-203.53</v>
      </c>
      <c r="M542" t="s">
        <v>113</v>
      </c>
      <c r="N542" t="s">
        <v>30</v>
      </c>
      <c r="O542" t="str">
        <f t="shared" si="16"/>
        <v>Bad</v>
      </c>
      <c r="P542">
        <f t="shared" si="17"/>
        <v>1021.31</v>
      </c>
      <c r="Q542">
        <v>45461</v>
      </c>
      <c r="R542">
        <f>YEAR(Table1[[#This Row],[Order_Date_New]])</f>
        <v>2024</v>
      </c>
      <c r="S542">
        <f>MONTH(Table1[[#This Row],[Order_Date_New]])</f>
        <v>6</v>
      </c>
      <c r="T542" t="str">
        <f>TEXT(Table1[[#This Row],[Order_Date_New]],"mmmm")</f>
        <v>June</v>
      </c>
      <c r="U542">
        <f>Table1[[#This Row],[Profit]]/Table1[[#This Row],[Sales]]</f>
        <v>-0.19928327344293115</v>
      </c>
      <c r="V542" t="str">
        <f>IF(Table1[[#This Row],[Discount]]=0,"No Discount",IF(Table1[[#This Row],[Discount]]&lt;=0.1,"Low",IF(Table1[[#This Row],[Discount]]&lt;=0.2,"medium","high")))</f>
        <v>high</v>
      </c>
    </row>
    <row r="543" spans="1:22" x14ac:dyDescent="0.3">
      <c r="A543" t="s">
        <v>828</v>
      </c>
      <c r="B543" s="6">
        <v>45451</v>
      </c>
      <c r="C543" t="s">
        <v>347</v>
      </c>
      <c r="D543" t="s">
        <v>33</v>
      </c>
      <c r="E543" t="s">
        <v>48</v>
      </c>
      <c r="F543" t="s">
        <v>26</v>
      </c>
      <c r="G543" t="s">
        <v>35</v>
      </c>
      <c r="H543" t="s">
        <v>173</v>
      </c>
      <c r="I543">
        <v>3788.4</v>
      </c>
      <c r="J543">
        <v>7</v>
      </c>
      <c r="K543">
        <v>0.05</v>
      </c>
      <c r="L543">
        <v>1409.88</v>
      </c>
      <c r="M543" t="s">
        <v>170</v>
      </c>
      <c r="N543" t="s">
        <v>38</v>
      </c>
      <c r="O543" t="str">
        <f t="shared" si="16"/>
        <v>Bad</v>
      </c>
      <c r="P543">
        <f t="shared" si="17"/>
        <v>541.20000000000005</v>
      </c>
      <c r="Q543">
        <v>45451</v>
      </c>
      <c r="R543">
        <f>YEAR(Table1[[#This Row],[Order_Date_New]])</f>
        <v>2024</v>
      </c>
      <c r="S543">
        <f>MONTH(Table1[[#This Row],[Order_Date_New]])</f>
        <v>6</v>
      </c>
      <c r="T543" t="str">
        <f>TEXT(Table1[[#This Row],[Order_Date_New]],"mmmm")</f>
        <v>June</v>
      </c>
      <c r="U543">
        <f>Table1[[#This Row],[Profit]]/Table1[[#This Row],[Sales]]</f>
        <v>0.37215711118150147</v>
      </c>
      <c r="V543" t="str">
        <f>IF(Table1[[#This Row],[Discount]]=0,"No Discount",IF(Table1[[#This Row],[Discount]]&lt;=0.1,"Low",IF(Table1[[#This Row],[Discount]]&lt;=0.2,"medium","high")))</f>
        <v>Low</v>
      </c>
    </row>
    <row r="544" spans="1:22" x14ac:dyDescent="0.3">
      <c r="A544" t="s">
        <v>829</v>
      </c>
      <c r="B544" s="6">
        <v>45557</v>
      </c>
      <c r="C544" t="s">
        <v>830</v>
      </c>
      <c r="D544" t="s">
        <v>53</v>
      </c>
      <c r="E544" t="s">
        <v>107</v>
      </c>
      <c r="F544" t="s">
        <v>60</v>
      </c>
      <c r="G544" t="s">
        <v>78</v>
      </c>
      <c r="H544" t="s">
        <v>79</v>
      </c>
      <c r="I544">
        <v>478.08</v>
      </c>
      <c r="J544">
        <v>8</v>
      </c>
      <c r="K544">
        <v>0.25</v>
      </c>
      <c r="L544">
        <v>-60.34</v>
      </c>
      <c r="M544" t="s">
        <v>105</v>
      </c>
      <c r="N544" t="s">
        <v>38</v>
      </c>
      <c r="O544" t="str">
        <f t="shared" si="16"/>
        <v>Bad</v>
      </c>
      <c r="P544">
        <f t="shared" si="17"/>
        <v>59.76</v>
      </c>
      <c r="Q544">
        <v>45557</v>
      </c>
      <c r="R544">
        <f>YEAR(Table1[[#This Row],[Order_Date_New]])</f>
        <v>2024</v>
      </c>
      <c r="S544">
        <f>MONTH(Table1[[#This Row],[Order_Date_New]])</f>
        <v>9</v>
      </c>
      <c r="T544" t="str">
        <f>TEXT(Table1[[#This Row],[Order_Date_New]],"mmmm")</f>
        <v>September</v>
      </c>
      <c r="U544">
        <f>Table1[[#This Row],[Profit]]/Table1[[#This Row],[Sales]]</f>
        <v>-0.12621318607764392</v>
      </c>
      <c r="V544" t="str">
        <f>IF(Table1[[#This Row],[Discount]]=0,"No Discount",IF(Table1[[#This Row],[Discount]]&lt;=0.1,"Low",IF(Table1[[#This Row],[Discount]]&lt;=0.2,"medium","high")))</f>
        <v>high</v>
      </c>
    </row>
    <row r="545" spans="1:22" x14ac:dyDescent="0.3">
      <c r="A545" t="s">
        <v>831</v>
      </c>
      <c r="B545" s="6">
        <v>45997</v>
      </c>
      <c r="C545" t="s">
        <v>115</v>
      </c>
      <c r="D545" t="s">
        <v>33</v>
      </c>
      <c r="E545" t="s">
        <v>48</v>
      </c>
      <c r="F545" t="s">
        <v>72</v>
      </c>
      <c r="G545" t="s">
        <v>88</v>
      </c>
      <c r="H545" t="s">
        <v>119</v>
      </c>
      <c r="I545">
        <v>274.41000000000003</v>
      </c>
      <c r="J545">
        <v>1</v>
      </c>
      <c r="K545">
        <v>0.1</v>
      </c>
      <c r="L545">
        <v>17.14</v>
      </c>
      <c r="M545" t="s">
        <v>43</v>
      </c>
      <c r="N545" t="s">
        <v>38</v>
      </c>
      <c r="O545" t="str">
        <f t="shared" si="16"/>
        <v>Bad</v>
      </c>
      <c r="P545">
        <f t="shared" si="17"/>
        <v>274.41000000000003</v>
      </c>
      <c r="Q545">
        <v>45997</v>
      </c>
      <c r="R545">
        <f>YEAR(Table1[[#This Row],[Order_Date_New]])</f>
        <v>2025</v>
      </c>
      <c r="S545">
        <f>MONTH(Table1[[#This Row],[Order_Date_New]])</f>
        <v>12</v>
      </c>
      <c r="T545" t="str">
        <f>TEXT(Table1[[#This Row],[Order_Date_New]],"mmmm")</f>
        <v>December</v>
      </c>
      <c r="U545">
        <f>Table1[[#This Row],[Profit]]/Table1[[#This Row],[Sales]]</f>
        <v>6.2461280565577051E-2</v>
      </c>
      <c r="V545" t="str">
        <f>IF(Table1[[#This Row],[Discount]]=0,"No Discount",IF(Table1[[#This Row],[Discount]]&lt;=0.1,"Low",IF(Table1[[#This Row],[Discount]]&lt;=0.2,"medium","high")))</f>
        <v>Low</v>
      </c>
    </row>
    <row r="546" spans="1:22" x14ac:dyDescent="0.3">
      <c r="A546" t="s">
        <v>832</v>
      </c>
      <c r="B546" s="6">
        <v>45926</v>
      </c>
      <c r="C546" t="s">
        <v>156</v>
      </c>
      <c r="D546" t="s">
        <v>53</v>
      </c>
      <c r="E546" t="s">
        <v>87</v>
      </c>
      <c r="F546" t="s">
        <v>60</v>
      </c>
      <c r="G546" t="s">
        <v>61</v>
      </c>
      <c r="H546" t="s">
        <v>62</v>
      </c>
      <c r="I546">
        <v>8345.7000000000007</v>
      </c>
      <c r="J546">
        <v>9</v>
      </c>
      <c r="K546">
        <v>0</v>
      </c>
      <c r="L546">
        <v>1095.27</v>
      </c>
      <c r="M546" t="s">
        <v>170</v>
      </c>
      <c r="N546" t="s">
        <v>44</v>
      </c>
      <c r="O546" t="str">
        <f t="shared" si="16"/>
        <v>Good</v>
      </c>
      <c r="P546">
        <f t="shared" si="17"/>
        <v>927.30000000000007</v>
      </c>
      <c r="Q546">
        <v>45926</v>
      </c>
      <c r="R546">
        <f>YEAR(Table1[[#This Row],[Order_Date_New]])</f>
        <v>2025</v>
      </c>
      <c r="S546">
        <f>MONTH(Table1[[#This Row],[Order_Date_New]])</f>
        <v>9</v>
      </c>
      <c r="T546" t="str">
        <f>TEXT(Table1[[#This Row],[Order_Date_New]],"mmmm")</f>
        <v>September</v>
      </c>
      <c r="U546">
        <f>Table1[[#This Row],[Profit]]/Table1[[#This Row],[Sales]]</f>
        <v>0.13123764333728746</v>
      </c>
      <c r="V546" t="str">
        <f>IF(Table1[[#This Row],[Discount]]=0,"No Discount",IF(Table1[[#This Row],[Discount]]&lt;=0.1,"Low",IF(Table1[[#This Row],[Discount]]&lt;=0.2,"medium","high")))</f>
        <v>No Discount</v>
      </c>
    </row>
    <row r="547" spans="1:22" x14ac:dyDescent="0.3">
      <c r="A547" t="s">
        <v>833</v>
      </c>
      <c r="B547" s="6">
        <v>45925</v>
      </c>
      <c r="C547" t="s">
        <v>401</v>
      </c>
      <c r="D547" t="s">
        <v>128</v>
      </c>
      <c r="E547" t="s">
        <v>129</v>
      </c>
      <c r="F547" t="s">
        <v>60</v>
      </c>
      <c r="G547" t="s">
        <v>98</v>
      </c>
      <c r="H547" t="s">
        <v>141</v>
      </c>
      <c r="I547">
        <v>1964.58</v>
      </c>
      <c r="J547">
        <v>2</v>
      </c>
      <c r="K547">
        <v>0.3</v>
      </c>
      <c r="L547">
        <v>-330.67</v>
      </c>
      <c r="M547" t="s">
        <v>133</v>
      </c>
      <c r="N547" t="s">
        <v>30</v>
      </c>
      <c r="O547" t="str">
        <f t="shared" si="16"/>
        <v>Bad</v>
      </c>
      <c r="P547">
        <f t="shared" si="17"/>
        <v>982.29</v>
      </c>
      <c r="Q547">
        <v>45925</v>
      </c>
      <c r="R547">
        <f>YEAR(Table1[[#This Row],[Order_Date_New]])</f>
        <v>2025</v>
      </c>
      <c r="S547">
        <f>MONTH(Table1[[#This Row],[Order_Date_New]])</f>
        <v>9</v>
      </c>
      <c r="T547" t="str">
        <f>TEXT(Table1[[#This Row],[Order_Date_New]],"mmmm")</f>
        <v>September</v>
      </c>
      <c r="U547">
        <f>Table1[[#This Row],[Profit]]/Table1[[#This Row],[Sales]]</f>
        <v>-0.1683158741308575</v>
      </c>
      <c r="V547" t="str">
        <f>IF(Table1[[#This Row],[Discount]]=0,"No Discount",IF(Table1[[#This Row],[Discount]]&lt;=0.1,"Low",IF(Table1[[#This Row],[Discount]]&lt;=0.2,"medium","high")))</f>
        <v>high</v>
      </c>
    </row>
    <row r="548" spans="1:22" x14ac:dyDescent="0.3">
      <c r="A548" t="s">
        <v>834</v>
      </c>
      <c r="B548" s="6">
        <v>45463</v>
      </c>
      <c r="C548" t="s">
        <v>140</v>
      </c>
      <c r="D548" t="s">
        <v>24</v>
      </c>
      <c r="E548" t="s">
        <v>59</v>
      </c>
      <c r="F548" t="s">
        <v>72</v>
      </c>
      <c r="G548" t="s">
        <v>88</v>
      </c>
      <c r="H548" t="s">
        <v>119</v>
      </c>
      <c r="I548">
        <v>1921.92</v>
      </c>
      <c r="J548">
        <v>8</v>
      </c>
      <c r="K548">
        <v>0</v>
      </c>
      <c r="L548">
        <v>470.38</v>
      </c>
      <c r="M548" t="s">
        <v>68</v>
      </c>
      <c r="N548" t="s">
        <v>44</v>
      </c>
      <c r="O548" t="str">
        <f t="shared" si="16"/>
        <v>Bad</v>
      </c>
      <c r="P548">
        <f t="shared" si="17"/>
        <v>240.24</v>
      </c>
      <c r="Q548">
        <v>45463</v>
      </c>
      <c r="R548">
        <f>YEAR(Table1[[#This Row],[Order_Date_New]])</f>
        <v>2024</v>
      </c>
      <c r="S548">
        <f>MONTH(Table1[[#This Row],[Order_Date_New]])</f>
        <v>6</v>
      </c>
      <c r="T548" t="str">
        <f>TEXT(Table1[[#This Row],[Order_Date_New]],"mmmm")</f>
        <v>June</v>
      </c>
      <c r="U548">
        <f>Table1[[#This Row],[Profit]]/Table1[[#This Row],[Sales]]</f>
        <v>0.2447448384948385</v>
      </c>
      <c r="V548" t="str">
        <f>IF(Table1[[#This Row],[Discount]]=0,"No Discount",IF(Table1[[#This Row],[Discount]]&lt;=0.1,"Low",IF(Table1[[#This Row],[Discount]]&lt;=0.2,"medium","high")))</f>
        <v>No Discount</v>
      </c>
    </row>
    <row r="549" spans="1:22" x14ac:dyDescent="0.3">
      <c r="A549" t="s">
        <v>835</v>
      </c>
      <c r="B549" s="6">
        <v>45948</v>
      </c>
      <c r="C549" t="s">
        <v>305</v>
      </c>
      <c r="D549" t="s">
        <v>53</v>
      </c>
      <c r="E549" t="s">
        <v>77</v>
      </c>
      <c r="F549" t="s">
        <v>26</v>
      </c>
      <c r="G549" t="s">
        <v>35</v>
      </c>
      <c r="H549" t="s">
        <v>36</v>
      </c>
      <c r="I549">
        <v>366.1</v>
      </c>
      <c r="J549">
        <v>5</v>
      </c>
      <c r="K549">
        <v>0</v>
      </c>
      <c r="L549">
        <v>106.37</v>
      </c>
      <c r="M549" t="s">
        <v>113</v>
      </c>
      <c r="N549" t="s">
        <v>30</v>
      </c>
      <c r="O549" t="str">
        <f t="shared" si="16"/>
        <v>Bad</v>
      </c>
      <c r="P549">
        <f t="shared" si="17"/>
        <v>73.22</v>
      </c>
      <c r="Q549">
        <v>45948</v>
      </c>
      <c r="R549">
        <f>YEAR(Table1[[#This Row],[Order_Date_New]])</f>
        <v>2025</v>
      </c>
      <c r="S549">
        <f>MONTH(Table1[[#This Row],[Order_Date_New]])</f>
        <v>10</v>
      </c>
      <c r="T549" t="str">
        <f>TEXT(Table1[[#This Row],[Order_Date_New]],"mmmm")</f>
        <v>October</v>
      </c>
      <c r="U549">
        <f>Table1[[#This Row],[Profit]]/Table1[[#This Row],[Sales]]</f>
        <v>0.29054903031958479</v>
      </c>
      <c r="V549" t="str">
        <f>IF(Table1[[#This Row],[Discount]]=0,"No Discount",IF(Table1[[#This Row],[Discount]]&lt;=0.1,"Low",IF(Table1[[#This Row],[Discount]]&lt;=0.2,"medium","high")))</f>
        <v>No Discount</v>
      </c>
    </row>
    <row r="550" spans="1:22" x14ac:dyDescent="0.3">
      <c r="A550" t="s">
        <v>836</v>
      </c>
      <c r="B550" s="6">
        <v>45405</v>
      </c>
      <c r="C550" t="s">
        <v>518</v>
      </c>
      <c r="D550" t="s">
        <v>33</v>
      </c>
      <c r="E550" t="s">
        <v>118</v>
      </c>
      <c r="F550" t="s">
        <v>60</v>
      </c>
      <c r="G550" t="s">
        <v>98</v>
      </c>
      <c r="H550" t="s">
        <v>138</v>
      </c>
      <c r="I550">
        <v>5232.2</v>
      </c>
      <c r="J550">
        <v>10</v>
      </c>
      <c r="K550">
        <v>0.1</v>
      </c>
      <c r="L550">
        <v>54.66</v>
      </c>
      <c r="M550" t="s">
        <v>113</v>
      </c>
      <c r="N550" t="s">
        <v>30</v>
      </c>
      <c r="O550" t="str">
        <f t="shared" si="16"/>
        <v>Good</v>
      </c>
      <c r="P550">
        <f t="shared" si="17"/>
        <v>523.22</v>
      </c>
      <c r="Q550">
        <v>45405</v>
      </c>
      <c r="R550">
        <f>YEAR(Table1[[#This Row],[Order_Date_New]])</f>
        <v>2024</v>
      </c>
      <c r="S550">
        <f>MONTH(Table1[[#This Row],[Order_Date_New]])</f>
        <v>4</v>
      </c>
      <c r="T550" t="str">
        <f>TEXT(Table1[[#This Row],[Order_Date_New]],"mmmm")</f>
        <v>April</v>
      </c>
      <c r="U550">
        <f>Table1[[#This Row],[Profit]]/Table1[[#This Row],[Sales]]</f>
        <v>1.0446848362065671E-2</v>
      </c>
      <c r="V550" t="str">
        <f>IF(Table1[[#This Row],[Discount]]=0,"No Discount",IF(Table1[[#This Row],[Discount]]&lt;=0.1,"Low",IF(Table1[[#This Row],[Discount]]&lt;=0.2,"medium","high")))</f>
        <v>Low</v>
      </c>
    </row>
    <row r="551" spans="1:22" x14ac:dyDescent="0.3">
      <c r="A551" t="s">
        <v>837</v>
      </c>
      <c r="B551" s="6">
        <v>45530</v>
      </c>
      <c r="C551" t="s">
        <v>450</v>
      </c>
      <c r="D551" t="s">
        <v>128</v>
      </c>
      <c r="E551" t="s">
        <v>146</v>
      </c>
      <c r="F551" t="s">
        <v>26</v>
      </c>
      <c r="G551" t="s">
        <v>27</v>
      </c>
      <c r="H551" t="s">
        <v>28</v>
      </c>
      <c r="I551">
        <v>2300.04</v>
      </c>
      <c r="J551">
        <v>9</v>
      </c>
      <c r="K551">
        <v>0.15</v>
      </c>
      <c r="L551">
        <v>41.67</v>
      </c>
      <c r="M551" t="s">
        <v>133</v>
      </c>
      <c r="N551" t="s">
        <v>80</v>
      </c>
      <c r="O551" t="str">
        <f t="shared" si="16"/>
        <v>Bad</v>
      </c>
      <c r="P551">
        <f t="shared" si="17"/>
        <v>255.56</v>
      </c>
      <c r="Q551">
        <v>45530</v>
      </c>
      <c r="R551">
        <f>YEAR(Table1[[#This Row],[Order_Date_New]])</f>
        <v>2024</v>
      </c>
      <c r="S551">
        <f>MONTH(Table1[[#This Row],[Order_Date_New]])</f>
        <v>8</v>
      </c>
      <c r="T551" t="str">
        <f>TEXT(Table1[[#This Row],[Order_Date_New]],"mmmm")</f>
        <v>August</v>
      </c>
      <c r="U551">
        <f>Table1[[#This Row],[Profit]]/Table1[[#This Row],[Sales]]</f>
        <v>1.811707622476131E-2</v>
      </c>
      <c r="V551" t="str">
        <f>IF(Table1[[#This Row],[Discount]]=0,"No Discount",IF(Table1[[#This Row],[Discount]]&lt;=0.1,"Low",IF(Table1[[#This Row],[Discount]]&lt;=0.2,"medium","high")))</f>
        <v>medium</v>
      </c>
    </row>
    <row r="552" spans="1:22" x14ac:dyDescent="0.3">
      <c r="A552" t="s">
        <v>838</v>
      </c>
      <c r="B552" s="6">
        <v>45954</v>
      </c>
      <c r="C552" t="s">
        <v>253</v>
      </c>
      <c r="D552" t="s">
        <v>53</v>
      </c>
      <c r="E552" t="s">
        <v>107</v>
      </c>
      <c r="F552" t="s">
        <v>72</v>
      </c>
      <c r="G552" t="s">
        <v>111</v>
      </c>
      <c r="H552" t="s">
        <v>182</v>
      </c>
      <c r="I552">
        <v>713.92</v>
      </c>
      <c r="J552">
        <v>4</v>
      </c>
      <c r="K552">
        <v>0.3</v>
      </c>
      <c r="L552">
        <v>-81.11</v>
      </c>
      <c r="M552" t="s">
        <v>170</v>
      </c>
      <c r="N552" t="s">
        <v>30</v>
      </c>
      <c r="O552" t="str">
        <f t="shared" si="16"/>
        <v>Bad</v>
      </c>
      <c r="P552">
        <f t="shared" si="17"/>
        <v>178.48</v>
      </c>
      <c r="Q552">
        <v>45954</v>
      </c>
      <c r="R552">
        <f>YEAR(Table1[[#This Row],[Order_Date_New]])</f>
        <v>2025</v>
      </c>
      <c r="S552">
        <f>MONTH(Table1[[#This Row],[Order_Date_New]])</f>
        <v>10</v>
      </c>
      <c r="T552" t="str">
        <f>TEXT(Table1[[#This Row],[Order_Date_New]],"mmmm")</f>
        <v>October</v>
      </c>
      <c r="U552">
        <f>Table1[[#This Row],[Profit]]/Table1[[#This Row],[Sales]]</f>
        <v>-0.11361216943074855</v>
      </c>
      <c r="V552" t="str">
        <f>IF(Table1[[#This Row],[Discount]]=0,"No Discount",IF(Table1[[#This Row],[Discount]]&lt;=0.1,"Low",IF(Table1[[#This Row],[Discount]]&lt;=0.2,"medium","high")))</f>
        <v>high</v>
      </c>
    </row>
    <row r="553" spans="1:22" x14ac:dyDescent="0.3">
      <c r="A553" t="s">
        <v>839</v>
      </c>
      <c r="B553" s="6">
        <v>45541</v>
      </c>
      <c r="C553" t="s">
        <v>221</v>
      </c>
      <c r="D553" t="s">
        <v>24</v>
      </c>
      <c r="E553" t="s">
        <v>97</v>
      </c>
      <c r="F553" t="s">
        <v>26</v>
      </c>
      <c r="G553" t="s">
        <v>27</v>
      </c>
      <c r="H553" t="s">
        <v>271</v>
      </c>
      <c r="I553">
        <v>9642</v>
      </c>
      <c r="J553">
        <v>10</v>
      </c>
      <c r="K553">
        <v>0.05</v>
      </c>
      <c r="L553">
        <v>3118.83</v>
      </c>
      <c r="M553" t="s">
        <v>113</v>
      </c>
      <c r="N553" t="s">
        <v>38</v>
      </c>
      <c r="O553" t="str">
        <f t="shared" si="16"/>
        <v>Good</v>
      </c>
      <c r="P553">
        <f t="shared" si="17"/>
        <v>964.2</v>
      </c>
      <c r="Q553">
        <v>45541</v>
      </c>
      <c r="R553">
        <f>YEAR(Table1[[#This Row],[Order_Date_New]])</f>
        <v>2024</v>
      </c>
      <c r="S553">
        <f>MONTH(Table1[[#This Row],[Order_Date_New]])</f>
        <v>9</v>
      </c>
      <c r="T553" t="str">
        <f>TEXT(Table1[[#This Row],[Order_Date_New]],"mmmm")</f>
        <v>September</v>
      </c>
      <c r="U553">
        <f>Table1[[#This Row],[Profit]]/Table1[[#This Row],[Sales]]</f>
        <v>0.32346297448662104</v>
      </c>
      <c r="V553" t="str">
        <f>IF(Table1[[#This Row],[Discount]]=0,"No Discount",IF(Table1[[#This Row],[Discount]]&lt;=0.1,"Low",IF(Table1[[#This Row],[Discount]]&lt;=0.2,"medium","high")))</f>
        <v>Low</v>
      </c>
    </row>
    <row r="554" spans="1:22" x14ac:dyDescent="0.3">
      <c r="A554" t="s">
        <v>840</v>
      </c>
      <c r="B554" s="6">
        <v>45626</v>
      </c>
      <c r="C554" t="s">
        <v>533</v>
      </c>
      <c r="D554" t="s">
        <v>24</v>
      </c>
      <c r="E554" t="s">
        <v>59</v>
      </c>
      <c r="F554" t="s">
        <v>60</v>
      </c>
      <c r="G554" t="s">
        <v>61</v>
      </c>
      <c r="H554" t="s">
        <v>67</v>
      </c>
      <c r="I554">
        <v>6976.6</v>
      </c>
      <c r="J554">
        <v>10</v>
      </c>
      <c r="K554">
        <v>0.1</v>
      </c>
      <c r="L554">
        <v>104.48</v>
      </c>
      <c r="M554" t="s">
        <v>113</v>
      </c>
      <c r="N554" t="s">
        <v>38</v>
      </c>
      <c r="O554" t="str">
        <f t="shared" si="16"/>
        <v>Good</v>
      </c>
      <c r="P554">
        <f t="shared" si="17"/>
        <v>697.66000000000008</v>
      </c>
      <c r="Q554">
        <v>45626</v>
      </c>
      <c r="R554">
        <f>YEAR(Table1[[#This Row],[Order_Date_New]])</f>
        <v>2024</v>
      </c>
      <c r="S554">
        <f>MONTH(Table1[[#This Row],[Order_Date_New]])</f>
        <v>11</v>
      </c>
      <c r="T554" t="str">
        <f>TEXT(Table1[[#This Row],[Order_Date_New]],"mmmm")</f>
        <v>November</v>
      </c>
      <c r="U554">
        <f>Table1[[#This Row],[Profit]]/Table1[[#This Row],[Sales]]</f>
        <v>1.4975776166040764E-2</v>
      </c>
      <c r="V554" t="str">
        <f>IF(Table1[[#This Row],[Discount]]=0,"No Discount",IF(Table1[[#This Row],[Discount]]&lt;=0.1,"Low",IF(Table1[[#This Row],[Discount]]&lt;=0.2,"medium","high")))</f>
        <v>Low</v>
      </c>
    </row>
    <row r="555" spans="1:22" x14ac:dyDescent="0.3">
      <c r="A555" t="s">
        <v>841</v>
      </c>
      <c r="B555" s="6">
        <v>45752</v>
      </c>
      <c r="C555" t="s">
        <v>65</v>
      </c>
      <c r="D555" t="s">
        <v>33</v>
      </c>
      <c r="E555" t="s">
        <v>34</v>
      </c>
      <c r="F555" t="s">
        <v>72</v>
      </c>
      <c r="G555" t="s">
        <v>111</v>
      </c>
      <c r="H555" t="s">
        <v>158</v>
      </c>
      <c r="I555">
        <v>730.54</v>
      </c>
      <c r="J555">
        <v>1</v>
      </c>
      <c r="K555">
        <v>0.3</v>
      </c>
      <c r="L555">
        <v>-52.12</v>
      </c>
      <c r="M555" t="s">
        <v>68</v>
      </c>
      <c r="N555" t="s">
        <v>44</v>
      </c>
      <c r="O555" t="str">
        <f t="shared" si="16"/>
        <v>Bad</v>
      </c>
      <c r="P555">
        <f t="shared" si="17"/>
        <v>730.54</v>
      </c>
      <c r="Q555">
        <v>45752</v>
      </c>
      <c r="R555">
        <f>YEAR(Table1[[#This Row],[Order_Date_New]])</f>
        <v>2025</v>
      </c>
      <c r="S555">
        <f>MONTH(Table1[[#This Row],[Order_Date_New]])</f>
        <v>4</v>
      </c>
      <c r="T555" t="str">
        <f>TEXT(Table1[[#This Row],[Order_Date_New]],"mmmm")</f>
        <v>April</v>
      </c>
      <c r="U555">
        <f>Table1[[#This Row],[Profit]]/Table1[[#This Row],[Sales]]</f>
        <v>-7.1344484901579658E-2</v>
      </c>
      <c r="V555" t="str">
        <f>IF(Table1[[#This Row],[Discount]]=0,"No Discount",IF(Table1[[#This Row],[Discount]]&lt;=0.1,"Low",IF(Table1[[#This Row],[Discount]]&lt;=0.2,"medium","high")))</f>
        <v>high</v>
      </c>
    </row>
    <row r="556" spans="1:22" x14ac:dyDescent="0.3">
      <c r="A556" t="s">
        <v>842</v>
      </c>
      <c r="B556" s="6">
        <v>45809</v>
      </c>
      <c r="C556" t="s">
        <v>647</v>
      </c>
      <c r="D556" t="s">
        <v>128</v>
      </c>
      <c r="E556" t="s">
        <v>146</v>
      </c>
      <c r="F556" t="s">
        <v>26</v>
      </c>
      <c r="G556" t="s">
        <v>35</v>
      </c>
      <c r="H556" t="s">
        <v>173</v>
      </c>
      <c r="I556">
        <v>11849.4</v>
      </c>
      <c r="J556">
        <v>10</v>
      </c>
      <c r="K556">
        <v>0.05</v>
      </c>
      <c r="L556">
        <v>3045.5</v>
      </c>
      <c r="M556" t="s">
        <v>43</v>
      </c>
      <c r="N556" t="s">
        <v>80</v>
      </c>
      <c r="O556" t="str">
        <f t="shared" si="16"/>
        <v>Good</v>
      </c>
      <c r="P556">
        <f t="shared" si="17"/>
        <v>1184.94</v>
      </c>
      <c r="Q556">
        <v>45809</v>
      </c>
      <c r="R556">
        <f>YEAR(Table1[[#This Row],[Order_Date_New]])</f>
        <v>2025</v>
      </c>
      <c r="S556">
        <f>MONTH(Table1[[#This Row],[Order_Date_New]])</f>
        <v>6</v>
      </c>
      <c r="T556" t="str">
        <f>TEXT(Table1[[#This Row],[Order_Date_New]],"mmmm")</f>
        <v>June</v>
      </c>
      <c r="U556">
        <f>Table1[[#This Row],[Profit]]/Table1[[#This Row],[Sales]]</f>
        <v>0.25701723294006451</v>
      </c>
      <c r="V556" t="str">
        <f>IF(Table1[[#This Row],[Discount]]=0,"No Discount",IF(Table1[[#This Row],[Discount]]&lt;=0.1,"Low",IF(Table1[[#This Row],[Discount]]&lt;=0.2,"medium","high")))</f>
        <v>Low</v>
      </c>
    </row>
    <row r="557" spans="1:22" x14ac:dyDescent="0.3">
      <c r="A557" t="s">
        <v>843</v>
      </c>
      <c r="B557" s="6">
        <v>45363</v>
      </c>
      <c r="C557" t="s">
        <v>634</v>
      </c>
      <c r="D557" t="s">
        <v>33</v>
      </c>
      <c r="E557" t="s">
        <v>48</v>
      </c>
      <c r="F557" t="s">
        <v>72</v>
      </c>
      <c r="G557" t="s">
        <v>111</v>
      </c>
      <c r="H557" t="s">
        <v>158</v>
      </c>
      <c r="I557">
        <v>5109.68</v>
      </c>
      <c r="J557">
        <v>8</v>
      </c>
      <c r="K557">
        <v>0.15</v>
      </c>
      <c r="L557">
        <v>1053.33</v>
      </c>
      <c r="M557" t="s">
        <v>113</v>
      </c>
      <c r="N557" t="s">
        <v>80</v>
      </c>
      <c r="O557" t="str">
        <f t="shared" si="16"/>
        <v>Good</v>
      </c>
      <c r="P557">
        <f t="shared" si="17"/>
        <v>638.71</v>
      </c>
      <c r="Q557">
        <v>45363</v>
      </c>
      <c r="R557">
        <f>YEAR(Table1[[#This Row],[Order_Date_New]])</f>
        <v>2024</v>
      </c>
      <c r="S557">
        <f>MONTH(Table1[[#This Row],[Order_Date_New]])</f>
        <v>3</v>
      </c>
      <c r="T557" t="str">
        <f>TEXT(Table1[[#This Row],[Order_Date_New]],"mmmm")</f>
        <v>March</v>
      </c>
      <c r="U557">
        <f>Table1[[#This Row],[Profit]]/Table1[[#This Row],[Sales]]</f>
        <v>0.206144024674735</v>
      </c>
      <c r="V557" t="str">
        <f>IF(Table1[[#This Row],[Discount]]=0,"No Discount",IF(Table1[[#This Row],[Discount]]&lt;=0.1,"Low",IF(Table1[[#This Row],[Discount]]&lt;=0.2,"medium","high")))</f>
        <v>medium</v>
      </c>
    </row>
    <row r="558" spans="1:22" x14ac:dyDescent="0.3">
      <c r="A558" t="s">
        <v>844</v>
      </c>
      <c r="B558" s="6">
        <v>45559</v>
      </c>
      <c r="C558" t="s">
        <v>595</v>
      </c>
      <c r="D558" t="s">
        <v>53</v>
      </c>
      <c r="E558" t="s">
        <v>87</v>
      </c>
      <c r="F558" t="s">
        <v>60</v>
      </c>
      <c r="G558" t="s">
        <v>61</v>
      </c>
      <c r="H558" t="s">
        <v>67</v>
      </c>
      <c r="I558">
        <v>3538.53</v>
      </c>
      <c r="J558">
        <v>9</v>
      </c>
      <c r="K558">
        <v>0.05</v>
      </c>
      <c r="L558">
        <v>1201.26</v>
      </c>
      <c r="M558" t="s">
        <v>68</v>
      </c>
      <c r="N558" t="s">
        <v>38</v>
      </c>
      <c r="O558" t="str">
        <f t="shared" si="16"/>
        <v>Bad</v>
      </c>
      <c r="P558">
        <f t="shared" si="17"/>
        <v>393.17</v>
      </c>
      <c r="Q558">
        <v>45559</v>
      </c>
      <c r="R558">
        <f>YEAR(Table1[[#This Row],[Order_Date_New]])</f>
        <v>2024</v>
      </c>
      <c r="S558">
        <f>MONTH(Table1[[#This Row],[Order_Date_New]])</f>
        <v>9</v>
      </c>
      <c r="T558" t="str">
        <f>TEXT(Table1[[#This Row],[Order_Date_New]],"mmmm")</f>
        <v>September</v>
      </c>
      <c r="U558">
        <f>Table1[[#This Row],[Profit]]/Table1[[#This Row],[Sales]]</f>
        <v>0.3394799535400293</v>
      </c>
      <c r="V558" t="str">
        <f>IF(Table1[[#This Row],[Discount]]=0,"No Discount",IF(Table1[[#This Row],[Discount]]&lt;=0.1,"Low",IF(Table1[[#This Row],[Discount]]&lt;=0.2,"medium","high")))</f>
        <v>Low</v>
      </c>
    </row>
    <row r="559" spans="1:22" x14ac:dyDescent="0.3">
      <c r="A559" t="s">
        <v>845</v>
      </c>
      <c r="B559" s="6">
        <v>45518</v>
      </c>
      <c r="C559" t="s">
        <v>687</v>
      </c>
      <c r="D559" t="s">
        <v>128</v>
      </c>
      <c r="E559" t="s">
        <v>132</v>
      </c>
      <c r="F559" t="s">
        <v>72</v>
      </c>
      <c r="G559" t="s">
        <v>88</v>
      </c>
      <c r="H559" t="s">
        <v>119</v>
      </c>
      <c r="I559">
        <v>329.82</v>
      </c>
      <c r="J559">
        <v>3</v>
      </c>
      <c r="K559">
        <v>0.3</v>
      </c>
      <c r="L559">
        <v>46.13</v>
      </c>
      <c r="M559" t="s">
        <v>43</v>
      </c>
      <c r="N559" t="s">
        <v>30</v>
      </c>
      <c r="O559" t="str">
        <f t="shared" si="16"/>
        <v>Bad</v>
      </c>
      <c r="P559">
        <f t="shared" si="17"/>
        <v>109.94</v>
      </c>
      <c r="Q559">
        <v>45518</v>
      </c>
      <c r="R559">
        <f>YEAR(Table1[[#This Row],[Order_Date_New]])</f>
        <v>2024</v>
      </c>
      <c r="S559">
        <f>MONTH(Table1[[#This Row],[Order_Date_New]])</f>
        <v>8</v>
      </c>
      <c r="T559" t="str">
        <f>TEXT(Table1[[#This Row],[Order_Date_New]],"mmmm")</f>
        <v>August</v>
      </c>
      <c r="U559">
        <f>Table1[[#This Row],[Profit]]/Table1[[#This Row],[Sales]]</f>
        <v>0.13986416833424292</v>
      </c>
      <c r="V559" t="str">
        <f>IF(Table1[[#This Row],[Discount]]=0,"No Discount",IF(Table1[[#This Row],[Discount]]&lt;=0.1,"Low",IF(Table1[[#This Row],[Discount]]&lt;=0.2,"medium","high")))</f>
        <v>high</v>
      </c>
    </row>
    <row r="560" spans="1:22" x14ac:dyDescent="0.3">
      <c r="A560" t="s">
        <v>846</v>
      </c>
      <c r="B560" s="6">
        <v>45827</v>
      </c>
      <c r="C560" t="s">
        <v>365</v>
      </c>
      <c r="D560" t="s">
        <v>33</v>
      </c>
      <c r="E560" t="s">
        <v>66</v>
      </c>
      <c r="F560" t="s">
        <v>60</v>
      </c>
      <c r="G560" t="s">
        <v>98</v>
      </c>
      <c r="H560" t="s">
        <v>99</v>
      </c>
      <c r="I560">
        <v>7660</v>
      </c>
      <c r="J560">
        <v>10</v>
      </c>
      <c r="K560">
        <v>0.3</v>
      </c>
      <c r="L560">
        <v>-782</v>
      </c>
      <c r="M560" t="s">
        <v>29</v>
      </c>
      <c r="N560" t="s">
        <v>44</v>
      </c>
      <c r="O560" t="str">
        <f t="shared" si="16"/>
        <v>Good</v>
      </c>
      <c r="P560">
        <f t="shared" si="17"/>
        <v>766</v>
      </c>
      <c r="Q560">
        <v>45827</v>
      </c>
      <c r="R560">
        <f>YEAR(Table1[[#This Row],[Order_Date_New]])</f>
        <v>2025</v>
      </c>
      <c r="S560">
        <f>MONTH(Table1[[#This Row],[Order_Date_New]])</f>
        <v>6</v>
      </c>
      <c r="T560" t="str">
        <f>TEXT(Table1[[#This Row],[Order_Date_New]],"mmmm")</f>
        <v>June</v>
      </c>
      <c r="U560">
        <f>Table1[[#This Row],[Profit]]/Table1[[#This Row],[Sales]]</f>
        <v>-0.102088772845953</v>
      </c>
      <c r="V560" t="str">
        <f>IF(Table1[[#This Row],[Discount]]=0,"No Discount",IF(Table1[[#This Row],[Discount]]&lt;=0.1,"Low",IF(Table1[[#This Row],[Discount]]&lt;=0.2,"medium","high")))</f>
        <v>high</v>
      </c>
    </row>
    <row r="561" spans="1:22" x14ac:dyDescent="0.3">
      <c r="A561" t="s">
        <v>847</v>
      </c>
      <c r="B561" s="6">
        <v>45699</v>
      </c>
      <c r="C561" t="s">
        <v>145</v>
      </c>
      <c r="D561" t="s">
        <v>24</v>
      </c>
      <c r="E561" t="s">
        <v>59</v>
      </c>
      <c r="F561" t="s">
        <v>72</v>
      </c>
      <c r="G561" t="s">
        <v>73</v>
      </c>
      <c r="H561" t="s">
        <v>293</v>
      </c>
      <c r="I561">
        <v>6266.26</v>
      </c>
      <c r="J561">
        <v>7</v>
      </c>
      <c r="K561">
        <v>0.3</v>
      </c>
      <c r="L561">
        <v>922.6</v>
      </c>
      <c r="M561" t="s">
        <v>37</v>
      </c>
      <c r="N561" t="s">
        <v>38</v>
      </c>
      <c r="O561" t="str">
        <f t="shared" si="16"/>
        <v>Bad</v>
      </c>
      <c r="P561">
        <f t="shared" si="17"/>
        <v>895.18000000000006</v>
      </c>
      <c r="Q561">
        <v>45699</v>
      </c>
      <c r="R561">
        <f>YEAR(Table1[[#This Row],[Order_Date_New]])</f>
        <v>2025</v>
      </c>
      <c r="S561">
        <f>MONTH(Table1[[#This Row],[Order_Date_New]])</f>
        <v>2</v>
      </c>
      <c r="T561" t="str">
        <f>TEXT(Table1[[#This Row],[Order_Date_New]],"mmmm")</f>
        <v>February</v>
      </c>
      <c r="U561">
        <f>Table1[[#This Row],[Profit]]/Table1[[#This Row],[Sales]]</f>
        <v>0.14723295873455619</v>
      </c>
      <c r="V561" t="str">
        <f>IF(Table1[[#This Row],[Discount]]=0,"No Discount",IF(Table1[[#This Row],[Discount]]&lt;=0.1,"Low",IF(Table1[[#This Row],[Discount]]&lt;=0.2,"medium","high")))</f>
        <v>high</v>
      </c>
    </row>
    <row r="562" spans="1:22" x14ac:dyDescent="0.3">
      <c r="A562" t="s">
        <v>848</v>
      </c>
      <c r="B562" s="6">
        <v>45842</v>
      </c>
      <c r="C562" t="s">
        <v>454</v>
      </c>
      <c r="D562" t="s">
        <v>53</v>
      </c>
      <c r="E562" t="s">
        <v>107</v>
      </c>
      <c r="F562" t="s">
        <v>60</v>
      </c>
      <c r="G562" t="s">
        <v>98</v>
      </c>
      <c r="H562" t="s">
        <v>99</v>
      </c>
      <c r="I562">
        <v>541.08000000000004</v>
      </c>
      <c r="J562">
        <v>1</v>
      </c>
      <c r="K562">
        <v>0.1</v>
      </c>
      <c r="L562">
        <v>108.78</v>
      </c>
      <c r="M562" t="s">
        <v>170</v>
      </c>
      <c r="N562" t="s">
        <v>30</v>
      </c>
      <c r="O562" t="str">
        <f t="shared" si="16"/>
        <v>Bad</v>
      </c>
      <c r="P562">
        <f t="shared" si="17"/>
        <v>541.08000000000004</v>
      </c>
      <c r="Q562">
        <v>45842</v>
      </c>
      <c r="R562">
        <f>YEAR(Table1[[#This Row],[Order_Date_New]])</f>
        <v>2025</v>
      </c>
      <c r="S562">
        <f>MONTH(Table1[[#This Row],[Order_Date_New]])</f>
        <v>7</v>
      </c>
      <c r="T562" t="str">
        <f>TEXT(Table1[[#This Row],[Order_Date_New]],"mmmm")</f>
        <v>July</v>
      </c>
      <c r="U562">
        <f>Table1[[#This Row],[Profit]]/Table1[[#This Row],[Sales]]</f>
        <v>0.20104235972499443</v>
      </c>
      <c r="V562" t="str">
        <f>IF(Table1[[#This Row],[Discount]]=0,"No Discount",IF(Table1[[#This Row],[Discount]]&lt;=0.1,"Low",IF(Table1[[#This Row],[Discount]]&lt;=0.2,"medium","high")))</f>
        <v>Low</v>
      </c>
    </row>
    <row r="563" spans="1:22" x14ac:dyDescent="0.3">
      <c r="A563" t="s">
        <v>849</v>
      </c>
      <c r="B563" s="6">
        <v>45564</v>
      </c>
      <c r="C563" t="s">
        <v>850</v>
      </c>
      <c r="D563" t="s">
        <v>53</v>
      </c>
      <c r="E563" t="s">
        <v>107</v>
      </c>
      <c r="F563" t="s">
        <v>26</v>
      </c>
      <c r="G563" t="s">
        <v>35</v>
      </c>
      <c r="H563" t="s">
        <v>55</v>
      </c>
      <c r="I563">
        <v>6984.72</v>
      </c>
      <c r="J563">
        <v>6</v>
      </c>
      <c r="K563">
        <v>0</v>
      </c>
      <c r="L563">
        <v>2118.85</v>
      </c>
      <c r="M563" t="s">
        <v>133</v>
      </c>
      <c r="N563" t="s">
        <v>38</v>
      </c>
      <c r="O563" t="str">
        <f t="shared" si="16"/>
        <v>Bad</v>
      </c>
      <c r="P563">
        <f t="shared" si="17"/>
        <v>1164.1200000000001</v>
      </c>
      <c r="Q563">
        <v>45564</v>
      </c>
      <c r="R563">
        <f>YEAR(Table1[[#This Row],[Order_Date_New]])</f>
        <v>2024</v>
      </c>
      <c r="S563">
        <f>MONTH(Table1[[#This Row],[Order_Date_New]])</f>
        <v>9</v>
      </c>
      <c r="T563" t="str">
        <f>TEXT(Table1[[#This Row],[Order_Date_New]],"mmmm")</f>
        <v>September</v>
      </c>
      <c r="U563">
        <f>Table1[[#This Row],[Profit]]/Table1[[#This Row],[Sales]]</f>
        <v>0.30335503785405854</v>
      </c>
      <c r="V563" t="str">
        <f>IF(Table1[[#This Row],[Discount]]=0,"No Discount",IF(Table1[[#This Row],[Discount]]&lt;=0.1,"Low",IF(Table1[[#This Row],[Discount]]&lt;=0.2,"medium","high")))</f>
        <v>No Discount</v>
      </c>
    </row>
    <row r="564" spans="1:22" x14ac:dyDescent="0.3">
      <c r="A564" t="s">
        <v>851</v>
      </c>
      <c r="B564" s="6">
        <v>45664</v>
      </c>
      <c r="C564" t="s">
        <v>206</v>
      </c>
      <c r="D564" t="s">
        <v>128</v>
      </c>
      <c r="E564" t="s">
        <v>146</v>
      </c>
      <c r="F564" t="s">
        <v>26</v>
      </c>
      <c r="G564" t="s">
        <v>35</v>
      </c>
      <c r="H564" t="s">
        <v>55</v>
      </c>
      <c r="I564">
        <v>656.9</v>
      </c>
      <c r="J564">
        <v>5</v>
      </c>
      <c r="K564">
        <v>0.05</v>
      </c>
      <c r="L564">
        <v>242.98</v>
      </c>
      <c r="M564" t="s">
        <v>113</v>
      </c>
      <c r="N564" t="s">
        <v>44</v>
      </c>
      <c r="O564" t="str">
        <f t="shared" si="16"/>
        <v>Bad</v>
      </c>
      <c r="P564">
        <f t="shared" si="17"/>
        <v>131.38</v>
      </c>
      <c r="Q564">
        <v>45664</v>
      </c>
      <c r="R564">
        <f>YEAR(Table1[[#This Row],[Order_Date_New]])</f>
        <v>2025</v>
      </c>
      <c r="S564">
        <f>MONTH(Table1[[#This Row],[Order_Date_New]])</f>
        <v>1</v>
      </c>
      <c r="T564" t="str">
        <f>TEXT(Table1[[#This Row],[Order_Date_New]],"mmmm")</f>
        <v>January</v>
      </c>
      <c r="U564">
        <f>Table1[[#This Row],[Profit]]/Table1[[#This Row],[Sales]]</f>
        <v>0.36988887197442533</v>
      </c>
      <c r="V564" t="str">
        <f>IF(Table1[[#This Row],[Discount]]=0,"No Discount",IF(Table1[[#This Row],[Discount]]&lt;=0.1,"Low",IF(Table1[[#This Row],[Discount]]&lt;=0.2,"medium","high")))</f>
        <v>Low</v>
      </c>
    </row>
    <row r="565" spans="1:22" x14ac:dyDescent="0.3">
      <c r="A565" t="s">
        <v>852</v>
      </c>
      <c r="B565" s="6">
        <v>45748</v>
      </c>
      <c r="C565" t="s">
        <v>186</v>
      </c>
      <c r="D565" t="s">
        <v>128</v>
      </c>
      <c r="E565" t="s">
        <v>202</v>
      </c>
      <c r="F565" t="s">
        <v>60</v>
      </c>
      <c r="G565" t="s">
        <v>78</v>
      </c>
      <c r="H565" t="s">
        <v>222</v>
      </c>
      <c r="I565">
        <v>4073.23</v>
      </c>
      <c r="J565">
        <v>7</v>
      </c>
      <c r="K565">
        <v>0.25</v>
      </c>
      <c r="L565">
        <v>-342.41</v>
      </c>
      <c r="M565" t="s">
        <v>68</v>
      </c>
      <c r="N565" t="s">
        <v>44</v>
      </c>
      <c r="O565" t="str">
        <f t="shared" si="16"/>
        <v>Bad</v>
      </c>
      <c r="P565">
        <f t="shared" si="17"/>
        <v>581.89</v>
      </c>
      <c r="Q565">
        <v>45748</v>
      </c>
      <c r="R565">
        <f>YEAR(Table1[[#This Row],[Order_Date_New]])</f>
        <v>2025</v>
      </c>
      <c r="S565">
        <f>MONTH(Table1[[#This Row],[Order_Date_New]])</f>
        <v>4</v>
      </c>
      <c r="T565" t="str">
        <f>TEXT(Table1[[#This Row],[Order_Date_New]],"mmmm")</f>
        <v>April</v>
      </c>
      <c r="U565">
        <f>Table1[[#This Row],[Profit]]/Table1[[#This Row],[Sales]]</f>
        <v>-8.4063507339384225E-2</v>
      </c>
      <c r="V565" t="str">
        <f>IF(Table1[[#This Row],[Discount]]=0,"No Discount",IF(Table1[[#This Row],[Discount]]&lt;=0.1,"Low",IF(Table1[[#This Row],[Discount]]&lt;=0.2,"medium","high")))</f>
        <v>high</v>
      </c>
    </row>
    <row r="566" spans="1:22" x14ac:dyDescent="0.3">
      <c r="A566" t="s">
        <v>853</v>
      </c>
      <c r="B566" s="6">
        <v>45453</v>
      </c>
      <c r="C566" t="s">
        <v>186</v>
      </c>
      <c r="D566" t="s">
        <v>53</v>
      </c>
      <c r="E566" t="s">
        <v>54</v>
      </c>
      <c r="F566" t="s">
        <v>72</v>
      </c>
      <c r="G566" t="s">
        <v>111</v>
      </c>
      <c r="H566" t="s">
        <v>112</v>
      </c>
      <c r="I566">
        <v>2134.12</v>
      </c>
      <c r="J566">
        <v>2</v>
      </c>
      <c r="K566">
        <v>0.2</v>
      </c>
      <c r="L566">
        <v>64.67</v>
      </c>
      <c r="M566" t="s">
        <v>43</v>
      </c>
      <c r="N566" t="s">
        <v>30</v>
      </c>
      <c r="O566" t="str">
        <f t="shared" si="16"/>
        <v>Bad</v>
      </c>
      <c r="P566">
        <f t="shared" si="17"/>
        <v>1067.06</v>
      </c>
      <c r="Q566">
        <v>45453</v>
      </c>
      <c r="R566">
        <f>YEAR(Table1[[#This Row],[Order_Date_New]])</f>
        <v>2024</v>
      </c>
      <c r="S566">
        <f>MONTH(Table1[[#This Row],[Order_Date_New]])</f>
        <v>6</v>
      </c>
      <c r="T566" t="str">
        <f>TEXT(Table1[[#This Row],[Order_Date_New]],"mmmm")</f>
        <v>June</v>
      </c>
      <c r="U566">
        <f>Table1[[#This Row],[Profit]]/Table1[[#This Row],[Sales]]</f>
        <v>3.0302888309935713E-2</v>
      </c>
      <c r="V566" t="str">
        <f>IF(Table1[[#This Row],[Discount]]=0,"No Discount",IF(Table1[[#This Row],[Discount]]&lt;=0.1,"Low",IF(Table1[[#This Row],[Discount]]&lt;=0.2,"medium","high")))</f>
        <v>medium</v>
      </c>
    </row>
    <row r="567" spans="1:22" x14ac:dyDescent="0.3">
      <c r="A567" t="s">
        <v>854</v>
      </c>
      <c r="B567" s="6">
        <v>45345</v>
      </c>
      <c r="C567" t="s">
        <v>336</v>
      </c>
      <c r="D567" t="s">
        <v>128</v>
      </c>
      <c r="E567" t="s">
        <v>202</v>
      </c>
      <c r="F567" t="s">
        <v>26</v>
      </c>
      <c r="G567" t="s">
        <v>27</v>
      </c>
      <c r="H567" t="s">
        <v>28</v>
      </c>
      <c r="I567">
        <v>3297.12</v>
      </c>
      <c r="J567">
        <v>8</v>
      </c>
      <c r="K567">
        <v>0</v>
      </c>
      <c r="L567">
        <v>1153.0999999999999</v>
      </c>
      <c r="M567" t="s">
        <v>37</v>
      </c>
      <c r="N567" t="s">
        <v>44</v>
      </c>
      <c r="O567" t="str">
        <f t="shared" si="16"/>
        <v>Bad</v>
      </c>
      <c r="P567">
        <f t="shared" si="17"/>
        <v>412.14</v>
      </c>
      <c r="Q567">
        <v>45345</v>
      </c>
      <c r="R567">
        <f>YEAR(Table1[[#This Row],[Order_Date_New]])</f>
        <v>2024</v>
      </c>
      <c r="S567">
        <f>MONTH(Table1[[#This Row],[Order_Date_New]])</f>
        <v>2</v>
      </c>
      <c r="T567" t="str">
        <f>TEXT(Table1[[#This Row],[Order_Date_New]],"mmmm")</f>
        <v>February</v>
      </c>
      <c r="U567">
        <f>Table1[[#This Row],[Profit]]/Table1[[#This Row],[Sales]]</f>
        <v>0.34972946086281359</v>
      </c>
      <c r="V567" t="str">
        <f>IF(Table1[[#This Row],[Discount]]=0,"No Discount",IF(Table1[[#This Row],[Discount]]&lt;=0.1,"Low",IF(Table1[[#This Row],[Discount]]&lt;=0.2,"medium","high")))</f>
        <v>No Discount</v>
      </c>
    </row>
    <row r="568" spans="1:22" x14ac:dyDescent="0.3">
      <c r="A568" t="s">
        <v>855</v>
      </c>
      <c r="B568" s="6">
        <v>45575</v>
      </c>
      <c r="C568" t="s">
        <v>145</v>
      </c>
      <c r="D568" t="s">
        <v>128</v>
      </c>
      <c r="E568" t="s">
        <v>129</v>
      </c>
      <c r="F568" t="s">
        <v>72</v>
      </c>
      <c r="G568" t="s">
        <v>88</v>
      </c>
      <c r="H568" t="s">
        <v>209</v>
      </c>
      <c r="I568">
        <v>2884.64</v>
      </c>
      <c r="J568">
        <v>4</v>
      </c>
      <c r="K568">
        <v>0</v>
      </c>
      <c r="L568">
        <v>734.3</v>
      </c>
      <c r="M568" t="s">
        <v>49</v>
      </c>
      <c r="N568" t="s">
        <v>44</v>
      </c>
      <c r="O568" t="str">
        <f t="shared" si="16"/>
        <v>Bad</v>
      </c>
      <c r="P568">
        <f t="shared" si="17"/>
        <v>721.16</v>
      </c>
      <c r="Q568">
        <v>45575</v>
      </c>
      <c r="R568">
        <f>YEAR(Table1[[#This Row],[Order_Date_New]])</f>
        <v>2024</v>
      </c>
      <c r="S568">
        <f>MONTH(Table1[[#This Row],[Order_Date_New]])</f>
        <v>10</v>
      </c>
      <c r="T568" t="str">
        <f>TEXT(Table1[[#This Row],[Order_Date_New]],"mmmm")</f>
        <v>October</v>
      </c>
      <c r="U568">
        <f>Table1[[#This Row],[Profit]]/Table1[[#This Row],[Sales]]</f>
        <v>0.25455516112929172</v>
      </c>
      <c r="V568" t="str">
        <f>IF(Table1[[#This Row],[Discount]]=0,"No Discount",IF(Table1[[#This Row],[Discount]]&lt;=0.1,"Low",IF(Table1[[#This Row],[Discount]]&lt;=0.2,"medium","high")))</f>
        <v>No Discount</v>
      </c>
    </row>
    <row r="569" spans="1:22" x14ac:dyDescent="0.3">
      <c r="A569" t="s">
        <v>856</v>
      </c>
      <c r="B569" s="6">
        <v>45773</v>
      </c>
      <c r="C569" t="s">
        <v>167</v>
      </c>
      <c r="D569" t="s">
        <v>53</v>
      </c>
      <c r="E569" t="s">
        <v>107</v>
      </c>
      <c r="F569" t="s">
        <v>26</v>
      </c>
      <c r="G569" t="s">
        <v>27</v>
      </c>
      <c r="H569" t="s">
        <v>200</v>
      </c>
      <c r="I569">
        <v>2458.56</v>
      </c>
      <c r="J569">
        <v>6</v>
      </c>
      <c r="K569">
        <v>0.2</v>
      </c>
      <c r="L569">
        <v>-193.21</v>
      </c>
      <c r="M569" t="s">
        <v>29</v>
      </c>
      <c r="N569" t="s">
        <v>80</v>
      </c>
      <c r="O569" t="str">
        <f t="shared" si="16"/>
        <v>Bad</v>
      </c>
      <c r="P569">
        <f t="shared" si="17"/>
        <v>409.76</v>
      </c>
      <c r="Q569">
        <v>45773</v>
      </c>
      <c r="R569">
        <f>YEAR(Table1[[#This Row],[Order_Date_New]])</f>
        <v>2025</v>
      </c>
      <c r="S569">
        <f>MONTH(Table1[[#This Row],[Order_Date_New]])</f>
        <v>4</v>
      </c>
      <c r="T569" t="str">
        <f>TEXT(Table1[[#This Row],[Order_Date_New]],"mmmm")</f>
        <v>April</v>
      </c>
      <c r="U569">
        <f>Table1[[#This Row],[Profit]]/Table1[[#This Row],[Sales]]</f>
        <v>-7.8586652349342714E-2</v>
      </c>
      <c r="V569" t="str">
        <f>IF(Table1[[#This Row],[Discount]]=0,"No Discount",IF(Table1[[#This Row],[Discount]]&lt;=0.1,"Low",IF(Table1[[#This Row],[Discount]]&lt;=0.2,"medium","high")))</f>
        <v>medium</v>
      </c>
    </row>
    <row r="570" spans="1:22" x14ac:dyDescent="0.3">
      <c r="A570" t="s">
        <v>857</v>
      </c>
      <c r="B570" s="6">
        <v>45985</v>
      </c>
      <c r="C570" t="s">
        <v>135</v>
      </c>
      <c r="D570" t="s">
        <v>33</v>
      </c>
      <c r="E570" t="s">
        <v>48</v>
      </c>
      <c r="F570" t="s">
        <v>26</v>
      </c>
      <c r="G570" t="s">
        <v>27</v>
      </c>
      <c r="H570" t="s">
        <v>200</v>
      </c>
      <c r="I570">
        <v>2110.1999999999998</v>
      </c>
      <c r="J570">
        <v>6</v>
      </c>
      <c r="K570">
        <v>0.05</v>
      </c>
      <c r="L570">
        <v>648.38</v>
      </c>
      <c r="M570" t="s">
        <v>68</v>
      </c>
      <c r="N570" t="s">
        <v>44</v>
      </c>
      <c r="O570" t="str">
        <f t="shared" si="16"/>
        <v>Bad</v>
      </c>
      <c r="P570">
        <f t="shared" si="17"/>
        <v>351.7</v>
      </c>
      <c r="Q570">
        <v>45985</v>
      </c>
      <c r="R570">
        <f>YEAR(Table1[[#This Row],[Order_Date_New]])</f>
        <v>2025</v>
      </c>
      <c r="S570">
        <f>MONTH(Table1[[#This Row],[Order_Date_New]])</f>
        <v>11</v>
      </c>
      <c r="T570" t="str">
        <f>TEXT(Table1[[#This Row],[Order_Date_New]],"mmmm")</f>
        <v>November</v>
      </c>
      <c r="U570">
        <f>Table1[[#This Row],[Profit]]/Table1[[#This Row],[Sales]]</f>
        <v>0.30725997535778604</v>
      </c>
      <c r="V570" t="str">
        <f>IF(Table1[[#This Row],[Discount]]=0,"No Discount",IF(Table1[[#This Row],[Discount]]&lt;=0.1,"Low",IF(Table1[[#This Row],[Discount]]&lt;=0.2,"medium","high")))</f>
        <v>Low</v>
      </c>
    </row>
    <row r="571" spans="1:22" x14ac:dyDescent="0.3">
      <c r="A571" t="s">
        <v>858</v>
      </c>
      <c r="B571" s="6">
        <v>45781</v>
      </c>
      <c r="C571" t="s">
        <v>391</v>
      </c>
      <c r="D571" t="s">
        <v>53</v>
      </c>
      <c r="E571" t="s">
        <v>107</v>
      </c>
      <c r="F571" t="s">
        <v>60</v>
      </c>
      <c r="G571" t="s">
        <v>61</v>
      </c>
      <c r="H571" t="s">
        <v>122</v>
      </c>
      <c r="I571">
        <v>2165.15</v>
      </c>
      <c r="J571">
        <v>5</v>
      </c>
      <c r="K571">
        <v>0.05</v>
      </c>
      <c r="L571">
        <v>125</v>
      </c>
      <c r="M571" t="s">
        <v>49</v>
      </c>
      <c r="N571" t="s">
        <v>44</v>
      </c>
      <c r="O571" t="str">
        <f t="shared" si="16"/>
        <v>Bad</v>
      </c>
      <c r="P571">
        <f t="shared" si="17"/>
        <v>433.03000000000003</v>
      </c>
      <c r="Q571">
        <v>45781</v>
      </c>
      <c r="R571">
        <f>YEAR(Table1[[#This Row],[Order_Date_New]])</f>
        <v>2025</v>
      </c>
      <c r="S571">
        <f>MONTH(Table1[[#This Row],[Order_Date_New]])</f>
        <v>5</v>
      </c>
      <c r="T571" t="str">
        <f>TEXT(Table1[[#This Row],[Order_Date_New]],"mmmm")</f>
        <v>May</v>
      </c>
      <c r="U571">
        <f>Table1[[#This Row],[Profit]]/Table1[[#This Row],[Sales]]</f>
        <v>5.77327205967254E-2</v>
      </c>
      <c r="V571" t="str">
        <f>IF(Table1[[#This Row],[Discount]]=0,"No Discount",IF(Table1[[#This Row],[Discount]]&lt;=0.1,"Low",IF(Table1[[#This Row],[Discount]]&lt;=0.2,"medium","high")))</f>
        <v>Low</v>
      </c>
    </row>
    <row r="572" spans="1:22" x14ac:dyDescent="0.3">
      <c r="A572" t="s">
        <v>859</v>
      </c>
      <c r="B572" s="6">
        <v>45862</v>
      </c>
      <c r="C572" t="s">
        <v>553</v>
      </c>
      <c r="D572" t="s">
        <v>24</v>
      </c>
      <c r="E572" t="s">
        <v>97</v>
      </c>
      <c r="F572" t="s">
        <v>60</v>
      </c>
      <c r="G572" t="s">
        <v>78</v>
      </c>
      <c r="H572" t="s">
        <v>125</v>
      </c>
      <c r="I572">
        <v>7786.98</v>
      </c>
      <c r="J572">
        <v>9</v>
      </c>
      <c r="K572">
        <v>0.25</v>
      </c>
      <c r="L572">
        <v>1492.1</v>
      </c>
      <c r="M572" t="s">
        <v>29</v>
      </c>
      <c r="N572" t="s">
        <v>30</v>
      </c>
      <c r="O572" t="str">
        <f t="shared" si="16"/>
        <v>Good</v>
      </c>
      <c r="P572">
        <f t="shared" si="17"/>
        <v>865.21999999999991</v>
      </c>
      <c r="Q572">
        <v>45862</v>
      </c>
      <c r="R572">
        <f>YEAR(Table1[[#This Row],[Order_Date_New]])</f>
        <v>2025</v>
      </c>
      <c r="S572">
        <f>MONTH(Table1[[#This Row],[Order_Date_New]])</f>
        <v>7</v>
      </c>
      <c r="T572" t="str">
        <f>TEXT(Table1[[#This Row],[Order_Date_New]],"mmmm")</f>
        <v>July</v>
      </c>
      <c r="U572">
        <f>Table1[[#This Row],[Profit]]/Table1[[#This Row],[Sales]]</f>
        <v>0.19161472098297413</v>
      </c>
      <c r="V572" t="str">
        <f>IF(Table1[[#This Row],[Discount]]=0,"No Discount",IF(Table1[[#This Row],[Discount]]&lt;=0.1,"Low",IF(Table1[[#This Row],[Discount]]&lt;=0.2,"medium","high")))</f>
        <v>high</v>
      </c>
    </row>
    <row r="573" spans="1:22" x14ac:dyDescent="0.3">
      <c r="A573" t="s">
        <v>860</v>
      </c>
      <c r="B573" s="6">
        <v>45480</v>
      </c>
      <c r="C573" t="s">
        <v>450</v>
      </c>
      <c r="D573" t="s">
        <v>128</v>
      </c>
      <c r="E573" t="s">
        <v>202</v>
      </c>
      <c r="F573" t="s">
        <v>60</v>
      </c>
      <c r="G573" t="s">
        <v>61</v>
      </c>
      <c r="H573" t="s">
        <v>62</v>
      </c>
      <c r="I573">
        <v>735.29</v>
      </c>
      <c r="J573">
        <v>1</v>
      </c>
      <c r="K573">
        <v>0</v>
      </c>
      <c r="L573">
        <v>190.92</v>
      </c>
      <c r="M573" t="s">
        <v>90</v>
      </c>
      <c r="N573" t="s">
        <v>30</v>
      </c>
      <c r="O573" t="str">
        <f t="shared" si="16"/>
        <v>Bad</v>
      </c>
      <c r="P573">
        <f t="shared" si="17"/>
        <v>735.29</v>
      </c>
      <c r="Q573">
        <v>45480</v>
      </c>
      <c r="R573">
        <f>YEAR(Table1[[#This Row],[Order_Date_New]])</f>
        <v>2024</v>
      </c>
      <c r="S573">
        <f>MONTH(Table1[[#This Row],[Order_Date_New]])</f>
        <v>7</v>
      </c>
      <c r="T573" t="str">
        <f>TEXT(Table1[[#This Row],[Order_Date_New]],"mmmm")</f>
        <v>July</v>
      </c>
      <c r="U573">
        <f>Table1[[#This Row],[Profit]]/Table1[[#This Row],[Sales]]</f>
        <v>0.25965265405486271</v>
      </c>
      <c r="V573" t="str">
        <f>IF(Table1[[#This Row],[Discount]]=0,"No Discount",IF(Table1[[#This Row],[Discount]]&lt;=0.1,"Low",IF(Table1[[#This Row],[Discount]]&lt;=0.2,"medium","high")))</f>
        <v>No Discount</v>
      </c>
    </row>
    <row r="574" spans="1:22" x14ac:dyDescent="0.3">
      <c r="A574" t="s">
        <v>861</v>
      </c>
      <c r="B574" s="6">
        <v>45735</v>
      </c>
      <c r="C574" t="s">
        <v>140</v>
      </c>
      <c r="D574" t="s">
        <v>53</v>
      </c>
      <c r="E574" t="s">
        <v>87</v>
      </c>
      <c r="F574" t="s">
        <v>72</v>
      </c>
      <c r="G574" t="s">
        <v>88</v>
      </c>
      <c r="H574" t="s">
        <v>209</v>
      </c>
      <c r="I574">
        <v>4776.4399999999996</v>
      </c>
      <c r="J574">
        <v>4</v>
      </c>
      <c r="K574">
        <v>0.05</v>
      </c>
      <c r="L574">
        <v>758.17</v>
      </c>
      <c r="M574" t="s">
        <v>113</v>
      </c>
      <c r="N574" t="s">
        <v>38</v>
      </c>
      <c r="O574" t="str">
        <f t="shared" si="16"/>
        <v>Bad</v>
      </c>
      <c r="P574">
        <f t="shared" si="17"/>
        <v>1194.1099999999999</v>
      </c>
      <c r="Q574">
        <v>45735</v>
      </c>
      <c r="R574">
        <f>YEAR(Table1[[#This Row],[Order_Date_New]])</f>
        <v>2025</v>
      </c>
      <c r="S574">
        <f>MONTH(Table1[[#This Row],[Order_Date_New]])</f>
        <v>3</v>
      </c>
      <c r="T574" t="str">
        <f>TEXT(Table1[[#This Row],[Order_Date_New]],"mmmm")</f>
        <v>March</v>
      </c>
      <c r="U574">
        <f>Table1[[#This Row],[Profit]]/Table1[[#This Row],[Sales]]</f>
        <v>0.15873118891894383</v>
      </c>
      <c r="V574" t="str">
        <f>IF(Table1[[#This Row],[Discount]]=0,"No Discount",IF(Table1[[#This Row],[Discount]]&lt;=0.1,"Low",IF(Table1[[#This Row],[Discount]]&lt;=0.2,"medium","high")))</f>
        <v>Low</v>
      </c>
    </row>
    <row r="575" spans="1:22" x14ac:dyDescent="0.3">
      <c r="A575" t="s">
        <v>862</v>
      </c>
      <c r="B575" s="6">
        <v>45488</v>
      </c>
      <c r="C575" t="s">
        <v>391</v>
      </c>
      <c r="D575" t="s">
        <v>128</v>
      </c>
      <c r="E575" t="s">
        <v>129</v>
      </c>
      <c r="F575" t="s">
        <v>72</v>
      </c>
      <c r="G575" t="s">
        <v>73</v>
      </c>
      <c r="H575" t="s">
        <v>293</v>
      </c>
      <c r="I575">
        <v>11398.4</v>
      </c>
      <c r="J575">
        <v>10</v>
      </c>
      <c r="K575">
        <v>0.3</v>
      </c>
      <c r="L575">
        <v>-2535.5500000000002</v>
      </c>
      <c r="M575" t="s">
        <v>170</v>
      </c>
      <c r="N575" t="s">
        <v>38</v>
      </c>
      <c r="O575" t="str">
        <f t="shared" si="16"/>
        <v>Good</v>
      </c>
      <c r="P575">
        <f t="shared" si="17"/>
        <v>1139.8399999999999</v>
      </c>
      <c r="Q575">
        <v>45488</v>
      </c>
      <c r="R575">
        <f>YEAR(Table1[[#This Row],[Order_Date_New]])</f>
        <v>2024</v>
      </c>
      <c r="S575">
        <f>MONTH(Table1[[#This Row],[Order_Date_New]])</f>
        <v>7</v>
      </c>
      <c r="T575" t="str">
        <f>TEXT(Table1[[#This Row],[Order_Date_New]],"mmmm")</f>
        <v>July</v>
      </c>
      <c r="U575">
        <f>Table1[[#This Row],[Profit]]/Table1[[#This Row],[Sales]]</f>
        <v>-0.2224478874227962</v>
      </c>
      <c r="V575" t="str">
        <f>IF(Table1[[#This Row],[Discount]]=0,"No Discount",IF(Table1[[#This Row],[Discount]]&lt;=0.1,"Low",IF(Table1[[#This Row],[Discount]]&lt;=0.2,"medium","high")))</f>
        <v>high</v>
      </c>
    </row>
    <row r="576" spans="1:22" x14ac:dyDescent="0.3">
      <c r="A576" t="s">
        <v>863</v>
      </c>
      <c r="B576" s="6">
        <v>45576</v>
      </c>
      <c r="C576" t="s">
        <v>739</v>
      </c>
      <c r="D576" t="s">
        <v>128</v>
      </c>
      <c r="E576" t="s">
        <v>132</v>
      </c>
      <c r="F576" t="s">
        <v>72</v>
      </c>
      <c r="G576" t="s">
        <v>88</v>
      </c>
      <c r="H576" t="s">
        <v>89</v>
      </c>
      <c r="I576">
        <v>6016.02</v>
      </c>
      <c r="J576">
        <v>6</v>
      </c>
      <c r="K576">
        <v>0</v>
      </c>
      <c r="L576">
        <v>1184.03</v>
      </c>
      <c r="M576" t="s">
        <v>105</v>
      </c>
      <c r="N576" t="s">
        <v>80</v>
      </c>
      <c r="O576" t="str">
        <f t="shared" si="16"/>
        <v>Bad</v>
      </c>
      <c r="P576">
        <f t="shared" si="17"/>
        <v>1002.6700000000001</v>
      </c>
      <c r="Q576">
        <v>45576</v>
      </c>
      <c r="R576">
        <f>YEAR(Table1[[#This Row],[Order_Date_New]])</f>
        <v>2024</v>
      </c>
      <c r="S576">
        <f>MONTH(Table1[[#This Row],[Order_Date_New]])</f>
        <v>10</v>
      </c>
      <c r="T576" t="str">
        <f>TEXT(Table1[[#This Row],[Order_Date_New]],"mmmm")</f>
        <v>October</v>
      </c>
      <c r="U576">
        <f>Table1[[#This Row],[Profit]]/Table1[[#This Row],[Sales]]</f>
        <v>0.19681284304241009</v>
      </c>
      <c r="V576" t="str">
        <f>IF(Table1[[#This Row],[Discount]]=0,"No Discount",IF(Table1[[#This Row],[Discount]]&lt;=0.1,"Low",IF(Table1[[#This Row],[Discount]]&lt;=0.2,"medium","high")))</f>
        <v>No Discount</v>
      </c>
    </row>
    <row r="577" spans="1:22" x14ac:dyDescent="0.3">
      <c r="A577" t="s">
        <v>864</v>
      </c>
      <c r="B577" s="6">
        <v>45641</v>
      </c>
      <c r="C577" t="s">
        <v>121</v>
      </c>
      <c r="D577" t="s">
        <v>33</v>
      </c>
      <c r="E577" t="s">
        <v>34</v>
      </c>
      <c r="F577" t="s">
        <v>60</v>
      </c>
      <c r="G577" t="s">
        <v>61</v>
      </c>
      <c r="H577" t="s">
        <v>62</v>
      </c>
      <c r="I577">
        <v>2420.4299999999998</v>
      </c>
      <c r="J577">
        <v>3</v>
      </c>
      <c r="K577">
        <v>0.05</v>
      </c>
      <c r="L577">
        <v>273.44</v>
      </c>
      <c r="M577" t="s">
        <v>133</v>
      </c>
      <c r="N577" t="s">
        <v>30</v>
      </c>
      <c r="O577" t="str">
        <f t="shared" si="16"/>
        <v>Bad</v>
      </c>
      <c r="P577">
        <f t="shared" si="17"/>
        <v>806.81</v>
      </c>
      <c r="Q577">
        <v>45641</v>
      </c>
      <c r="R577">
        <f>YEAR(Table1[[#This Row],[Order_Date_New]])</f>
        <v>2024</v>
      </c>
      <c r="S577">
        <f>MONTH(Table1[[#This Row],[Order_Date_New]])</f>
        <v>12</v>
      </c>
      <c r="T577" t="str">
        <f>TEXT(Table1[[#This Row],[Order_Date_New]],"mmmm")</f>
        <v>December</v>
      </c>
      <c r="U577">
        <f>Table1[[#This Row],[Profit]]/Table1[[#This Row],[Sales]]</f>
        <v>0.11297166206004719</v>
      </c>
      <c r="V577" t="str">
        <f>IF(Table1[[#This Row],[Discount]]=0,"No Discount",IF(Table1[[#This Row],[Discount]]&lt;=0.1,"Low",IF(Table1[[#This Row],[Discount]]&lt;=0.2,"medium","high")))</f>
        <v>Low</v>
      </c>
    </row>
    <row r="578" spans="1:22" x14ac:dyDescent="0.3">
      <c r="A578" t="s">
        <v>865</v>
      </c>
      <c r="B578" s="6">
        <v>45970</v>
      </c>
      <c r="C578" t="s">
        <v>741</v>
      </c>
      <c r="D578" t="s">
        <v>24</v>
      </c>
      <c r="E578" t="s">
        <v>84</v>
      </c>
      <c r="F578" t="s">
        <v>72</v>
      </c>
      <c r="G578" t="s">
        <v>88</v>
      </c>
      <c r="H578" t="s">
        <v>119</v>
      </c>
      <c r="I578">
        <v>1615.76</v>
      </c>
      <c r="J578">
        <v>2</v>
      </c>
      <c r="K578">
        <v>0</v>
      </c>
      <c r="L578">
        <v>711.25</v>
      </c>
      <c r="M578" t="s">
        <v>170</v>
      </c>
      <c r="N578" t="s">
        <v>44</v>
      </c>
      <c r="O578" t="str">
        <f t="shared" ref="O578:O641" si="18">IF(AND(I578&gt;5000,J578&gt;7),"Good","Bad")</f>
        <v>Bad</v>
      </c>
      <c r="P578">
        <f t="shared" ref="P578:P641" si="19">I578/J578</f>
        <v>807.88</v>
      </c>
      <c r="Q578">
        <v>45970</v>
      </c>
      <c r="R578">
        <f>YEAR(Table1[[#This Row],[Order_Date_New]])</f>
        <v>2025</v>
      </c>
      <c r="S578">
        <f>MONTH(Table1[[#This Row],[Order_Date_New]])</f>
        <v>11</v>
      </c>
      <c r="T578" t="str">
        <f>TEXT(Table1[[#This Row],[Order_Date_New]],"mmmm")</f>
        <v>November</v>
      </c>
      <c r="U578">
        <f>Table1[[#This Row],[Profit]]/Table1[[#This Row],[Sales]]</f>
        <v>0.44019532603852057</v>
      </c>
      <c r="V578" t="str">
        <f>IF(Table1[[#This Row],[Discount]]=0,"No Discount",IF(Table1[[#This Row],[Discount]]&lt;=0.1,"Low",IF(Table1[[#This Row],[Discount]]&lt;=0.2,"medium","high")))</f>
        <v>No Discount</v>
      </c>
    </row>
    <row r="579" spans="1:22" x14ac:dyDescent="0.3">
      <c r="A579" t="s">
        <v>866</v>
      </c>
      <c r="B579" s="6">
        <v>45761</v>
      </c>
      <c r="C579" t="s">
        <v>410</v>
      </c>
      <c r="D579" t="s">
        <v>53</v>
      </c>
      <c r="E579" t="s">
        <v>54</v>
      </c>
      <c r="F579" t="s">
        <v>60</v>
      </c>
      <c r="G579" t="s">
        <v>78</v>
      </c>
      <c r="H579" t="s">
        <v>222</v>
      </c>
      <c r="I579">
        <v>2312.31</v>
      </c>
      <c r="J579">
        <v>3</v>
      </c>
      <c r="K579">
        <v>0.25</v>
      </c>
      <c r="L579">
        <v>-26.53</v>
      </c>
      <c r="M579" t="s">
        <v>29</v>
      </c>
      <c r="N579" t="s">
        <v>30</v>
      </c>
      <c r="O579" t="str">
        <f t="shared" si="18"/>
        <v>Bad</v>
      </c>
      <c r="P579">
        <f t="shared" si="19"/>
        <v>770.77</v>
      </c>
      <c r="Q579">
        <v>45761</v>
      </c>
      <c r="R579">
        <f>YEAR(Table1[[#This Row],[Order_Date_New]])</f>
        <v>2025</v>
      </c>
      <c r="S579">
        <f>MONTH(Table1[[#This Row],[Order_Date_New]])</f>
        <v>4</v>
      </c>
      <c r="T579" t="str">
        <f>TEXT(Table1[[#This Row],[Order_Date_New]],"mmmm")</f>
        <v>April</v>
      </c>
      <c r="U579">
        <f>Table1[[#This Row],[Profit]]/Table1[[#This Row],[Sales]]</f>
        <v>-1.1473375109738747E-2</v>
      </c>
      <c r="V579" t="str">
        <f>IF(Table1[[#This Row],[Discount]]=0,"No Discount",IF(Table1[[#This Row],[Discount]]&lt;=0.1,"Low",IF(Table1[[#This Row],[Discount]]&lt;=0.2,"medium","high")))</f>
        <v>high</v>
      </c>
    </row>
    <row r="580" spans="1:22" x14ac:dyDescent="0.3">
      <c r="A580" t="s">
        <v>867</v>
      </c>
      <c r="B580" s="6">
        <v>45508</v>
      </c>
      <c r="C580" t="s">
        <v>347</v>
      </c>
      <c r="D580" t="s">
        <v>33</v>
      </c>
      <c r="E580" t="s">
        <v>34</v>
      </c>
      <c r="F580" t="s">
        <v>72</v>
      </c>
      <c r="G580" t="s">
        <v>88</v>
      </c>
      <c r="H580" t="s">
        <v>209</v>
      </c>
      <c r="I580">
        <v>235.8</v>
      </c>
      <c r="J580">
        <v>9</v>
      </c>
      <c r="K580">
        <v>0.2</v>
      </c>
      <c r="L580">
        <v>-21.01</v>
      </c>
      <c r="M580" t="s">
        <v>68</v>
      </c>
      <c r="N580" t="s">
        <v>44</v>
      </c>
      <c r="O580" t="str">
        <f t="shared" si="18"/>
        <v>Bad</v>
      </c>
      <c r="P580">
        <f t="shared" si="19"/>
        <v>26.200000000000003</v>
      </c>
      <c r="Q580">
        <v>45508</v>
      </c>
      <c r="R580">
        <f>YEAR(Table1[[#This Row],[Order_Date_New]])</f>
        <v>2024</v>
      </c>
      <c r="S580">
        <f>MONTH(Table1[[#This Row],[Order_Date_New]])</f>
        <v>8</v>
      </c>
      <c r="T580" t="str">
        <f>TEXT(Table1[[#This Row],[Order_Date_New]],"mmmm")</f>
        <v>August</v>
      </c>
      <c r="U580">
        <f>Table1[[#This Row],[Profit]]/Table1[[#This Row],[Sales]]</f>
        <v>-8.910093299406277E-2</v>
      </c>
      <c r="V580" t="str">
        <f>IF(Table1[[#This Row],[Discount]]=0,"No Discount",IF(Table1[[#This Row],[Discount]]&lt;=0.1,"Low",IF(Table1[[#This Row],[Discount]]&lt;=0.2,"medium","high")))</f>
        <v>medium</v>
      </c>
    </row>
    <row r="581" spans="1:22" x14ac:dyDescent="0.3">
      <c r="A581" t="s">
        <v>868</v>
      </c>
      <c r="B581" s="6">
        <v>45903</v>
      </c>
      <c r="C581" t="s">
        <v>521</v>
      </c>
      <c r="D581" t="s">
        <v>128</v>
      </c>
      <c r="E581" t="s">
        <v>132</v>
      </c>
      <c r="F581" t="s">
        <v>26</v>
      </c>
      <c r="G581" t="s">
        <v>41</v>
      </c>
      <c r="H581" t="s">
        <v>42</v>
      </c>
      <c r="I581">
        <v>1544.34</v>
      </c>
      <c r="J581">
        <v>3</v>
      </c>
      <c r="K581">
        <v>0</v>
      </c>
      <c r="L581">
        <v>157.1</v>
      </c>
      <c r="M581" t="s">
        <v>170</v>
      </c>
      <c r="N581" t="s">
        <v>30</v>
      </c>
      <c r="O581" t="str">
        <f t="shared" si="18"/>
        <v>Bad</v>
      </c>
      <c r="P581">
        <f t="shared" si="19"/>
        <v>514.78</v>
      </c>
      <c r="Q581">
        <v>45903</v>
      </c>
      <c r="R581">
        <f>YEAR(Table1[[#This Row],[Order_Date_New]])</f>
        <v>2025</v>
      </c>
      <c r="S581">
        <f>MONTH(Table1[[#This Row],[Order_Date_New]])</f>
        <v>9</v>
      </c>
      <c r="T581" t="str">
        <f>TEXT(Table1[[#This Row],[Order_Date_New]],"mmmm")</f>
        <v>September</v>
      </c>
      <c r="U581">
        <f>Table1[[#This Row],[Profit]]/Table1[[#This Row],[Sales]]</f>
        <v>0.10172630379320616</v>
      </c>
      <c r="V581" t="str">
        <f>IF(Table1[[#This Row],[Discount]]=0,"No Discount",IF(Table1[[#This Row],[Discount]]&lt;=0.1,"Low",IF(Table1[[#This Row],[Discount]]&lt;=0.2,"medium","high")))</f>
        <v>No Discount</v>
      </c>
    </row>
    <row r="582" spans="1:22" x14ac:dyDescent="0.3">
      <c r="A582" t="s">
        <v>869</v>
      </c>
      <c r="B582" s="6">
        <v>45686</v>
      </c>
      <c r="C582" t="s">
        <v>193</v>
      </c>
      <c r="D582" t="s">
        <v>24</v>
      </c>
      <c r="E582" t="s">
        <v>84</v>
      </c>
      <c r="F582" t="s">
        <v>72</v>
      </c>
      <c r="G582" t="s">
        <v>111</v>
      </c>
      <c r="H582" t="s">
        <v>112</v>
      </c>
      <c r="I582">
        <v>5492.3</v>
      </c>
      <c r="J582">
        <v>10</v>
      </c>
      <c r="K582">
        <v>0.15</v>
      </c>
      <c r="L582">
        <v>391.49</v>
      </c>
      <c r="M582" t="s">
        <v>105</v>
      </c>
      <c r="N582" t="s">
        <v>30</v>
      </c>
      <c r="O582" t="str">
        <f t="shared" si="18"/>
        <v>Good</v>
      </c>
      <c r="P582">
        <f t="shared" si="19"/>
        <v>549.23</v>
      </c>
      <c r="Q582">
        <v>45686</v>
      </c>
      <c r="R582">
        <f>YEAR(Table1[[#This Row],[Order_Date_New]])</f>
        <v>2025</v>
      </c>
      <c r="S582">
        <f>MONTH(Table1[[#This Row],[Order_Date_New]])</f>
        <v>1</v>
      </c>
      <c r="T582" t="str">
        <f>TEXT(Table1[[#This Row],[Order_Date_New]],"mmmm")</f>
        <v>January</v>
      </c>
      <c r="U582">
        <f>Table1[[#This Row],[Profit]]/Table1[[#This Row],[Sales]]</f>
        <v>7.1279791708391743E-2</v>
      </c>
      <c r="V582" t="str">
        <f>IF(Table1[[#This Row],[Discount]]=0,"No Discount",IF(Table1[[#This Row],[Discount]]&lt;=0.1,"Low",IF(Table1[[#This Row],[Discount]]&lt;=0.2,"medium","high")))</f>
        <v>medium</v>
      </c>
    </row>
    <row r="583" spans="1:22" x14ac:dyDescent="0.3">
      <c r="A583" t="s">
        <v>870</v>
      </c>
      <c r="B583" s="6">
        <v>45491</v>
      </c>
      <c r="C583" t="s">
        <v>154</v>
      </c>
      <c r="D583" t="s">
        <v>24</v>
      </c>
      <c r="E583" t="s">
        <v>84</v>
      </c>
      <c r="F583" t="s">
        <v>72</v>
      </c>
      <c r="G583" t="s">
        <v>88</v>
      </c>
      <c r="H583" t="s">
        <v>119</v>
      </c>
      <c r="I583">
        <v>1119.06</v>
      </c>
      <c r="J583">
        <v>6</v>
      </c>
      <c r="K583">
        <v>0</v>
      </c>
      <c r="L583">
        <v>190.93</v>
      </c>
      <c r="M583" t="s">
        <v>43</v>
      </c>
      <c r="N583" t="s">
        <v>44</v>
      </c>
      <c r="O583" t="str">
        <f t="shared" si="18"/>
        <v>Bad</v>
      </c>
      <c r="P583">
        <f t="shared" si="19"/>
        <v>186.51</v>
      </c>
      <c r="Q583">
        <v>45491</v>
      </c>
      <c r="R583">
        <f>YEAR(Table1[[#This Row],[Order_Date_New]])</f>
        <v>2024</v>
      </c>
      <c r="S583">
        <f>MONTH(Table1[[#This Row],[Order_Date_New]])</f>
        <v>7</v>
      </c>
      <c r="T583" t="str">
        <f>TEXT(Table1[[#This Row],[Order_Date_New]],"mmmm")</f>
        <v>July</v>
      </c>
      <c r="U583">
        <f>Table1[[#This Row],[Profit]]/Table1[[#This Row],[Sales]]</f>
        <v>0.17061641020141907</v>
      </c>
      <c r="V583" t="str">
        <f>IF(Table1[[#This Row],[Discount]]=0,"No Discount",IF(Table1[[#This Row],[Discount]]&lt;=0.1,"Low",IF(Table1[[#This Row],[Discount]]&lt;=0.2,"medium","high")))</f>
        <v>No Discount</v>
      </c>
    </row>
    <row r="584" spans="1:22" x14ac:dyDescent="0.3">
      <c r="A584" t="s">
        <v>871</v>
      </c>
      <c r="B584" s="6">
        <v>45327</v>
      </c>
      <c r="C584" t="s">
        <v>266</v>
      </c>
      <c r="D584" t="s">
        <v>53</v>
      </c>
      <c r="E584" t="s">
        <v>87</v>
      </c>
      <c r="F584" t="s">
        <v>72</v>
      </c>
      <c r="G584" t="s">
        <v>111</v>
      </c>
      <c r="H584" t="s">
        <v>112</v>
      </c>
      <c r="I584">
        <v>177.39</v>
      </c>
      <c r="J584">
        <v>3</v>
      </c>
      <c r="K584">
        <v>0.15</v>
      </c>
      <c r="L584">
        <v>20.99</v>
      </c>
      <c r="M584" t="s">
        <v>90</v>
      </c>
      <c r="N584" t="s">
        <v>30</v>
      </c>
      <c r="O584" t="str">
        <f t="shared" si="18"/>
        <v>Bad</v>
      </c>
      <c r="P584">
        <f t="shared" si="19"/>
        <v>59.129999999999995</v>
      </c>
      <c r="Q584">
        <v>45327</v>
      </c>
      <c r="R584">
        <f>YEAR(Table1[[#This Row],[Order_Date_New]])</f>
        <v>2024</v>
      </c>
      <c r="S584">
        <f>MONTH(Table1[[#This Row],[Order_Date_New]])</f>
        <v>2</v>
      </c>
      <c r="T584" t="str">
        <f>TEXT(Table1[[#This Row],[Order_Date_New]],"mmmm")</f>
        <v>February</v>
      </c>
      <c r="U584">
        <f>Table1[[#This Row],[Profit]]/Table1[[#This Row],[Sales]]</f>
        <v>0.11832685044252776</v>
      </c>
      <c r="V584" t="str">
        <f>IF(Table1[[#This Row],[Discount]]=0,"No Discount",IF(Table1[[#This Row],[Discount]]&lt;=0.1,"Low",IF(Table1[[#This Row],[Discount]]&lt;=0.2,"medium","high")))</f>
        <v>medium</v>
      </c>
    </row>
    <row r="585" spans="1:22" x14ac:dyDescent="0.3">
      <c r="A585" t="s">
        <v>872</v>
      </c>
      <c r="B585" s="6">
        <v>45508</v>
      </c>
      <c r="C585" t="s">
        <v>441</v>
      </c>
      <c r="D585" t="s">
        <v>53</v>
      </c>
      <c r="E585" t="s">
        <v>107</v>
      </c>
      <c r="F585" t="s">
        <v>60</v>
      </c>
      <c r="G585" t="s">
        <v>78</v>
      </c>
      <c r="H585" t="s">
        <v>125</v>
      </c>
      <c r="I585">
        <v>516.47</v>
      </c>
      <c r="J585">
        <v>1</v>
      </c>
      <c r="K585">
        <v>0</v>
      </c>
      <c r="L585">
        <v>35.159999999999997</v>
      </c>
      <c r="M585" t="s">
        <v>29</v>
      </c>
      <c r="N585" t="s">
        <v>30</v>
      </c>
      <c r="O585" t="str">
        <f t="shared" si="18"/>
        <v>Bad</v>
      </c>
      <c r="P585">
        <f t="shared" si="19"/>
        <v>516.47</v>
      </c>
      <c r="Q585">
        <v>45508</v>
      </c>
      <c r="R585">
        <f>YEAR(Table1[[#This Row],[Order_Date_New]])</f>
        <v>2024</v>
      </c>
      <c r="S585">
        <f>MONTH(Table1[[#This Row],[Order_Date_New]])</f>
        <v>8</v>
      </c>
      <c r="T585" t="str">
        <f>TEXT(Table1[[#This Row],[Order_Date_New]],"mmmm")</f>
        <v>August</v>
      </c>
      <c r="U585">
        <f>Table1[[#This Row],[Profit]]/Table1[[#This Row],[Sales]]</f>
        <v>6.8077526284198497E-2</v>
      </c>
      <c r="V585" t="str">
        <f>IF(Table1[[#This Row],[Discount]]=0,"No Discount",IF(Table1[[#This Row],[Discount]]&lt;=0.1,"Low",IF(Table1[[#This Row],[Discount]]&lt;=0.2,"medium","high")))</f>
        <v>No Discount</v>
      </c>
    </row>
    <row r="586" spans="1:22" x14ac:dyDescent="0.3">
      <c r="A586" t="s">
        <v>873</v>
      </c>
      <c r="B586" s="6">
        <v>45427</v>
      </c>
      <c r="C586" t="s">
        <v>228</v>
      </c>
      <c r="D586" t="s">
        <v>128</v>
      </c>
      <c r="E586" t="s">
        <v>132</v>
      </c>
      <c r="F586" t="s">
        <v>26</v>
      </c>
      <c r="G586" t="s">
        <v>27</v>
      </c>
      <c r="H586" t="s">
        <v>28</v>
      </c>
      <c r="I586">
        <v>3250.38</v>
      </c>
      <c r="J586">
        <v>7</v>
      </c>
      <c r="K586">
        <v>0.05</v>
      </c>
      <c r="L586">
        <v>989.87</v>
      </c>
      <c r="M586" t="s">
        <v>133</v>
      </c>
      <c r="N586" t="s">
        <v>30</v>
      </c>
      <c r="O586" t="str">
        <f t="shared" si="18"/>
        <v>Bad</v>
      </c>
      <c r="P586">
        <f t="shared" si="19"/>
        <v>464.34000000000003</v>
      </c>
      <c r="Q586">
        <v>45427</v>
      </c>
      <c r="R586">
        <f>YEAR(Table1[[#This Row],[Order_Date_New]])</f>
        <v>2024</v>
      </c>
      <c r="S586">
        <f>MONTH(Table1[[#This Row],[Order_Date_New]])</f>
        <v>5</v>
      </c>
      <c r="T586" t="str">
        <f>TEXT(Table1[[#This Row],[Order_Date_New]],"mmmm")</f>
        <v>May</v>
      </c>
      <c r="U586">
        <f>Table1[[#This Row],[Profit]]/Table1[[#This Row],[Sales]]</f>
        <v>0.30453977688762546</v>
      </c>
      <c r="V586" t="str">
        <f>IF(Table1[[#This Row],[Discount]]=0,"No Discount",IF(Table1[[#This Row],[Discount]]&lt;=0.1,"Low",IF(Table1[[#This Row],[Discount]]&lt;=0.2,"medium","high")))</f>
        <v>Low</v>
      </c>
    </row>
    <row r="587" spans="1:22" x14ac:dyDescent="0.3">
      <c r="A587" t="s">
        <v>874</v>
      </c>
      <c r="B587" s="6">
        <v>45896</v>
      </c>
      <c r="C587" t="s">
        <v>466</v>
      </c>
      <c r="D587" t="s">
        <v>53</v>
      </c>
      <c r="E587" t="s">
        <v>107</v>
      </c>
      <c r="F587" t="s">
        <v>26</v>
      </c>
      <c r="G587" t="s">
        <v>41</v>
      </c>
      <c r="H587" t="s">
        <v>189</v>
      </c>
      <c r="I587">
        <v>1838.61</v>
      </c>
      <c r="J587">
        <v>9</v>
      </c>
      <c r="K587">
        <v>0.05</v>
      </c>
      <c r="L587">
        <v>609.54999999999995</v>
      </c>
      <c r="M587" t="s">
        <v>68</v>
      </c>
      <c r="N587" t="s">
        <v>80</v>
      </c>
      <c r="O587" t="str">
        <f t="shared" si="18"/>
        <v>Bad</v>
      </c>
      <c r="P587">
        <f t="shared" si="19"/>
        <v>204.29</v>
      </c>
      <c r="Q587">
        <v>45896</v>
      </c>
      <c r="R587">
        <f>YEAR(Table1[[#This Row],[Order_Date_New]])</f>
        <v>2025</v>
      </c>
      <c r="S587">
        <f>MONTH(Table1[[#This Row],[Order_Date_New]])</f>
        <v>8</v>
      </c>
      <c r="T587" t="str">
        <f>TEXT(Table1[[#This Row],[Order_Date_New]],"mmmm")</f>
        <v>August</v>
      </c>
      <c r="U587">
        <f>Table1[[#This Row],[Profit]]/Table1[[#This Row],[Sales]]</f>
        <v>0.33152762140965186</v>
      </c>
      <c r="V587" t="str">
        <f>IF(Table1[[#This Row],[Discount]]=0,"No Discount",IF(Table1[[#This Row],[Discount]]&lt;=0.1,"Low",IF(Table1[[#This Row],[Discount]]&lt;=0.2,"medium","high")))</f>
        <v>Low</v>
      </c>
    </row>
    <row r="588" spans="1:22" x14ac:dyDescent="0.3">
      <c r="A588" t="s">
        <v>875</v>
      </c>
      <c r="B588" s="6">
        <v>45795</v>
      </c>
      <c r="C588" t="s">
        <v>288</v>
      </c>
      <c r="D588" t="s">
        <v>53</v>
      </c>
      <c r="E588" t="s">
        <v>87</v>
      </c>
      <c r="F588" t="s">
        <v>60</v>
      </c>
      <c r="G588" t="s">
        <v>98</v>
      </c>
      <c r="H588" t="s">
        <v>138</v>
      </c>
      <c r="I588">
        <v>4197.97</v>
      </c>
      <c r="J588">
        <v>7</v>
      </c>
      <c r="K588">
        <v>0.1</v>
      </c>
      <c r="L588">
        <v>-159.44999999999999</v>
      </c>
      <c r="M588" t="s">
        <v>37</v>
      </c>
      <c r="N588" t="s">
        <v>80</v>
      </c>
      <c r="O588" t="str">
        <f t="shared" si="18"/>
        <v>Bad</v>
      </c>
      <c r="P588">
        <f t="shared" si="19"/>
        <v>599.71</v>
      </c>
      <c r="Q588">
        <v>45795</v>
      </c>
      <c r="R588">
        <f>YEAR(Table1[[#This Row],[Order_Date_New]])</f>
        <v>2025</v>
      </c>
      <c r="S588">
        <f>MONTH(Table1[[#This Row],[Order_Date_New]])</f>
        <v>5</v>
      </c>
      <c r="T588" t="str">
        <f>TEXT(Table1[[#This Row],[Order_Date_New]],"mmmm")</f>
        <v>May</v>
      </c>
      <c r="U588">
        <f>Table1[[#This Row],[Profit]]/Table1[[#This Row],[Sales]]</f>
        <v>-3.7982643992215279E-2</v>
      </c>
      <c r="V588" t="str">
        <f>IF(Table1[[#This Row],[Discount]]=0,"No Discount",IF(Table1[[#This Row],[Discount]]&lt;=0.1,"Low",IF(Table1[[#This Row],[Discount]]&lt;=0.2,"medium","high")))</f>
        <v>Low</v>
      </c>
    </row>
    <row r="589" spans="1:22" x14ac:dyDescent="0.3">
      <c r="A589" t="s">
        <v>876</v>
      </c>
      <c r="B589" s="6">
        <v>45516</v>
      </c>
      <c r="C589" t="s">
        <v>444</v>
      </c>
      <c r="D589" t="s">
        <v>128</v>
      </c>
      <c r="E589" t="s">
        <v>129</v>
      </c>
      <c r="F589" t="s">
        <v>72</v>
      </c>
      <c r="G589" t="s">
        <v>73</v>
      </c>
      <c r="H589" t="s">
        <v>74</v>
      </c>
      <c r="I589">
        <v>444.37</v>
      </c>
      <c r="J589">
        <v>1</v>
      </c>
      <c r="K589">
        <v>0.25</v>
      </c>
      <c r="L589">
        <v>13.42</v>
      </c>
      <c r="M589" t="s">
        <v>105</v>
      </c>
      <c r="N589" t="s">
        <v>44</v>
      </c>
      <c r="O589" t="str">
        <f t="shared" si="18"/>
        <v>Bad</v>
      </c>
      <c r="P589">
        <f t="shared" si="19"/>
        <v>444.37</v>
      </c>
      <c r="Q589">
        <v>45516</v>
      </c>
      <c r="R589">
        <f>YEAR(Table1[[#This Row],[Order_Date_New]])</f>
        <v>2024</v>
      </c>
      <c r="S589">
        <f>MONTH(Table1[[#This Row],[Order_Date_New]])</f>
        <v>8</v>
      </c>
      <c r="T589" t="str">
        <f>TEXT(Table1[[#This Row],[Order_Date_New]],"mmmm")</f>
        <v>August</v>
      </c>
      <c r="U589">
        <f>Table1[[#This Row],[Profit]]/Table1[[#This Row],[Sales]]</f>
        <v>3.0200058509800391E-2</v>
      </c>
      <c r="V589" t="str">
        <f>IF(Table1[[#This Row],[Discount]]=0,"No Discount",IF(Table1[[#This Row],[Discount]]&lt;=0.1,"Low",IF(Table1[[#This Row],[Discount]]&lt;=0.2,"medium","high")))</f>
        <v>high</v>
      </c>
    </row>
    <row r="590" spans="1:22" x14ac:dyDescent="0.3">
      <c r="A590" t="s">
        <v>877</v>
      </c>
      <c r="B590" s="6">
        <v>45370</v>
      </c>
      <c r="C590" t="s">
        <v>124</v>
      </c>
      <c r="D590" t="s">
        <v>128</v>
      </c>
      <c r="E590" t="s">
        <v>129</v>
      </c>
      <c r="F590" t="s">
        <v>60</v>
      </c>
      <c r="G590" t="s">
        <v>98</v>
      </c>
      <c r="H590" t="s">
        <v>138</v>
      </c>
      <c r="I590">
        <v>2002.5</v>
      </c>
      <c r="J590">
        <v>5</v>
      </c>
      <c r="K590">
        <v>0.1</v>
      </c>
      <c r="L590">
        <v>166.99</v>
      </c>
      <c r="M590" t="s">
        <v>29</v>
      </c>
      <c r="N590" t="s">
        <v>38</v>
      </c>
      <c r="O590" t="str">
        <f t="shared" si="18"/>
        <v>Bad</v>
      </c>
      <c r="P590">
        <f t="shared" si="19"/>
        <v>400.5</v>
      </c>
      <c r="Q590">
        <v>45370</v>
      </c>
      <c r="R590">
        <f>YEAR(Table1[[#This Row],[Order_Date_New]])</f>
        <v>2024</v>
      </c>
      <c r="S590">
        <f>MONTH(Table1[[#This Row],[Order_Date_New]])</f>
        <v>3</v>
      </c>
      <c r="T590" t="str">
        <f>TEXT(Table1[[#This Row],[Order_Date_New]],"mmmm")</f>
        <v>March</v>
      </c>
      <c r="U590">
        <f>Table1[[#This Row],[Profit]]/Table1[[#This Row],[Sales]]</f>
        <v>8.3390761548064921E-2</v>
      </c>
      <c r="V590" t="str">
        <f>IF(Table1[[#This Row],[Discount]]=0,"No Discount",IF(Table1[[#This Row],[Discount]]&lt;=0.1,"Low",IF(Table1[[#This Row],[Discount]]&lt;=0.2,"medium","high")))</f>
        <v>Low</v>
      </c>
    </row>
    <row r="591" spans="1:22" x14ac:dyDescent="0.3">
      <c r="A591" t="s">
        <v>878</v>
      </c>
      <c r="B591" s="6">
        <v>45495</v>
      </c>
      <c r="C591" t="s">
        <v>572</v>
      </c>
      <c r="D591" t="s">
        <v>53</v>
      </c>
      <c r="E591" t="s">
        <v>87</v>
      </c>
      <c r="F591" t="s">
        <v>26</v>
      </c>
      <c r="G591" t="s">
        <v>41</v>
      </c>
      <c r="H591" t="s">
        <v>189</v>
      </c>
      <c r="I591">
        <v>638.76</v>
      </c>
      <c r="J591">
        <v>4</v>
      </c>
      <c r="K591">
        <v>0.3</v>
      </c>
      <c r="L591">
        <v>-115.34</v>
      </c>
      <c r="M591" t="s">
        <v>29</v>
      </c>
      <c r="N591" t="s">
        <v>38</v>
      </c>
      <c r="O591" t="str">
        <f t="shared" si="18"/>
        <v>Bad</v>
      </c>
      <c r="P591">
        <f t="shared" si="19"/>
        <v>159.69</v>
      </c>
      <c r="Q591">
        <v>45495</v>
      </c>
      <c r="R591">
        <f>YEAR(Table1[[#This Row],[Order_Date_New]])</f>
        <v>2024</v>
      </c>
      <c r="S591">
        <f>MONTH(Table1[[#This Row],[Order_Date_New]])</f>
        <v>7</v>
      </c>
      <c r="T591" t="str">
        <f>TEXT(Table1[[#This Row],[Order_Date_New]],"mmmm")</f>
        <v>July</v>
      </c>
      <c r="U591">
        <f>Table1[[#This Row],[Profit]]/Table1[[#This Row],[Sales]]</f>
        <v>-0.18056860166572736</v>
      </c>
      <c r="V591" t="str">
        <f>IF(Table1[[#This Row],[Discount]]=0,"No Discount",IF(Table1[[#This Row],[Discount]]&lt;=0.1,"Low",IF(Table1[[#This Row],[Discount]]&lt;=0.2,"medium","high")))</f>
        <v>high</v>
      </c>
    </row>
    <row r="592" spans="1:22" x14ac:dyDescent="0.3">
      <c r="A592" t="s">
        <v>879</v>
      </c>
      <c r="B592" s="6">
        <v>45506</v>
      </c>
      <c r="C592" t="s">
        <v>338</v>
      </c>
      <c r="D592" t="s">
        <v>33</v>
      </c>
      <c r="E592" t="s">
        <v>118</v>
      </c>
      <c r="F592" t="s">
        <v>60</v>
      </c>
      <c r="G592" t="s">
        <v>78</v>
      </c>
      <c r="H592" t="s">
        <v>79</v>
      </c>
      <c r="I592">
        <v>5114.41</v>
      </c>
      <c r="J592">
        <v>7</v>
      </c>
      <c r="K592">
        <v>0.15</v>
      </c>
      <c r="L592">
        <v>567.77</v>
      </c>
      <c r="M592" t="s">
        <v>68</v>
      </c>
      <c r="N592" t="s">
        <v>80</v>
      </c>
      <c r="O592" t="str">
        <f t="shared" si="18"/>
        <v>Bad</v>
      </c>
      <c r="P592">
        <f t="shared" si="19"/>
        <v>730.63</v>
      </c>
      <c r="Q592">
        <v>45506</v>
      </c>
      <c r="R592">
        <f>YEAR(Table1[[#This Row],[Order_Date_New]])</f>
        <v>2024</v>
      </c>
      <c r="S592">
        <f>MONTH(Table1[[#This Row],[Order_Date_New]])</f>
        <v>8</v>
      </c>
      <c r="T592" t="str">
        <f>TEXT(Table1[[#This Row],[Order_Date_New]],"mmmm")</f>
        <v>August</v>
      </c>
      <c r="U592">
        <f>Table1[[#This Row],[Profit]]/Table1[[#This Row],[Sales]]</f>
        <v>0.11101378262595295</v>
      </c>
      <c r="V592" t="str">
        <f>IF(Table1[[#This Row],[Discount]]=0,"No Discount",IF(Table1[[#This Row],[Discount]]&lt;=0.1,"Low",IF(Table1[[#This Row],[Discount]]&lt;=0.2,"medium","high")))</f>
        <v>medium</v>
      </c>
    </row>
    <row r="593" spans="1:22" x14ac:dyDescent="0.3">
      <c r="A593" t="s">
        <v>880</v>
      </c>
      <c r="B593" s="6">
        <v>45557</v>
      </c>
      <c r="C593" t="s">
        <v>186</v>
      </c>
      <c r="D593" t="s">
        <v>53</v>
      </c>
      <c r="E593" t="s">
        <v>107</v>
      </c>
      <c r="F593" t="s">
        <v>26</v>
      </c>
      <c r="G593" t="s">
        <v>35</v>
      </c>
      <c r="H593" t="s">
        <v>36</v>
      </c>
      <c r="I593">
        <v>1392.8</v>
      </c>
      <c r="J593">
        <v>2</v>
      </c>
      <c r="K593">
        <v>0.2</v>
      </c>
      <c r="L593">
        <v>306.72000000000003</v>
      </c>
      <c r="M593" t="s">
        <v>49</v>
      </c>
      <c r="N593" t="s">
        <v>80</v>
      </c>
      <c r="O593" t="str">
        <f t="shared" si="18"/>
        <v>Bad</v>
      </c>
      <c r="P593">
        <f t="shared" si="19"/>
        <v>696.4</v>
      </c>
      <c r="Q593">
        <v>45557</v>
      </c>
      <c r="R593">
        <f>YEAR(Table1[[#This Row],[Order_Date_New]])</f>
        <v>2024</v>
      </c>
      <c r="S593">
        <f>MONTH(Table1[[#This Row],[Order_Date_New]])</f>
        <v>9</v>
      </c>
      <c r="T593" t="str">
        <f>TEXT(Table1[[#This Row],[Order_Date_New]],"mmmm")</f>
        <v>September</v>
      </c>
      <c r="U593">
        <f>Table1[[#This Row],[Profit]]/Table1[[#This Row],[Sales]]</f>
        <v>0.22021826536473293</v>
      </c>
      <c r="V593" t="str">
        <f>IF(Table1[[#This Row],[Discount]]=0,"No Discount",IF(Table1[[#This Row],[Discount]]&lt;=0.1,"Low",IF(Table1[[#This Row],[Discount]]&lt;=0.2,"medium","high")))</f>
        <v>medium</v>
      </c>
    </row>
    <row r="594" spans="1:22" x14ac:dyDescent="0.3">
      <c r="A594" t="s">
        <v>881</v>
      </c>
      <c r="B594" s="6">
        <v>45548</v>
      </c>
      <c r="C594" t="s">
        <v>263</v>
      </c>
      <c r="D594" t="s">
        <v>128</v>
      </c>
      <c r="E594" t="s">
        <v>132</v>
      </c>
      <c r="F594" t="s">
        <v>72</v>
      </c>
      <c r="G594" t="s">
        <v>111</v>
      </c>
      <c r="H594" t="s">
        <v>112</v>
      </c>
      <c r="I594">
        <v>4124.16</v>
      </c>
      <c r="J594">
        <v>9</v>
      </c>
      <c r="K594">
        <v>0.15</v>
      </c>
      <c r="L594">
        <v>509.96</v>
      </c>
      <c r="M594" t="s">
        <v>105</v>
      </c>
      <c r="N594" t="s">
        <v>44</v>
      </c>
      <c r="O594" t="str">
        <f t="shared" si="18"/>
        <v>Bad</v>
      </c>
      <c r="P594">
        <f t="shared" si="19"/>
        <v>458.24</v>
      </c>
      <c r="Q594">
        <v>45548</v>
      </c>
      <c r="R594">
        <f>YEAR(Table1[[#This Row],[Order_Date_New]])</f>
        <v>2024</v>
      </c>
      <c r="S594">
        <f>MONTH(Table1[[#This Row],[Order_Date_New]])</f>
        <v>9</v>
      </c>
      <c r="T594" t="str">
        <f>TEXT(Table1[[#This Row],[Order_Date_New]],"mmmm")</f>
        <v>September</v>
      </c>
      <c r="U594">
        <f>Table1[[#This Row],[Profit]]/Table1[[#This Row],[Sales]]</f>
        <v>0.12365184667908131</v>
      </c>
      <c r="V594" t="str">
        <f>IF(Table1[[#This Row],[Discount]]=0,"No Discount",IF(Table1[[#This Row],[Discount]]&lt;=0.1,"Low",IF(Table1[[#This Row],[Discount]]&lt;=0.2,"medium","high")))</f>
        <v>medium</v>
      </c>
    </row>
    <row r="595" spans="1:22" x14ac:dyDescent="0.3">
      <c r="A595" t="s">
        <v>882</v>
      </c>
      <c r="B595" s="6">
        <v>45714</v>
      </c>
      <c r="C595" t="s">
        <v>324</v>
      </c>
      <c r="D595" t="s">
        <v>33</v>
      </c>
      <c r="E595" t="s">
        <v>118</v>
      </c>
      <c r="F595" t="s">
        <v>26</v>
      </c>
      <c r="G595" t="s">
        <v>27</v>
      </c>
      <c r="H595" t="s">
        <v>28</v>
      </c>
      <c r="I595">
        <v>2343.5300000000002</v>
      </c>
      <c r="J595">
        <v>7</v>
      </c>
      <c r="K595">
        <v>0.25</v>
      </c>
      <c r="L595">
        <v>-358.01</v>
      </c>
      <c r="M595" t="s">
        <v>68</v>
      </c>
      <c r="N595" t="s">
        <v>30</v>
      </c>
      <c r="O595" t="str">
        <f t="shared" si="18"/>
        <v>Bad</v>
      </c>
      <c r="P595">
        <f t="shared" si="19"/>
        <v>334.79</v>
      </c>
      <c r="Q595">
        <v>45714</v>
      </c>
      <c r="R595">
        <f>YEAR(Table1[[#This Row],[Order_Date_New]])</f>
        <v>2025</v>
      </c>
      <c r="S595">
        <f>MONTH(Table1[[#This Row],[Order_Date_New]])</f>
        <v>2</v>
      </c>
      <c r="T595" t="str">
        <f>TEXT(Table1[[#This Row],[Order_Date_New]],"mmmm")</f>
        <v>February</v>
      </c>
      <c r="U595">
        <f>Table1[[#This Row],[Profit]]/Table1[[#This Row],[Sales]]</f>
        <v>-0.15276527290028288</v>
      </c>
      <c r="V595" t="str">
        <f>IF(Table1[[#This Row],[Discount]]=0,"No Discount",IF(Table1[[#This Row],[Discount]]&lt;=0.1,"Low",IF(Table1[[#This Row],[Discount]]&lt;=0.2,"medium","high")))</f>
        <v>high</v>
      </c>
    </row>
    <row r="596" spans="1:22" x14ac:dyDescent="0.3">
      <c r="A596" t="s">
        <v>883</v>
      </c>
      <c r="B596" s="6">
        <v>45299</v>
      </c>
      <c r="C596" t="s">
        <v>226</v>
      </c>
      <c r="D596" t="s">
        <v>33</v>
      </c>
      <c r="E596" t="s">
        <v>34</v>
      </c>
      <c r="F596" t="s">
        <v>26</v>
      </c>
      <c r="G596" t="s">
        <v>41</v>
      </c>
      <c r="H596" t="s">
        <v>108</v>
      </c>
      <c r="I596">
        <v>7065.84</v>
      </c>
      <c r="J596">
        <v>8</v>
      </c>
      <c r="K596">
        <v>0.05</v>
      </c>
      <c r="L596">
        <v>112.31</v>
      </c>
      <c r="M596" t="s">
        <v>170</v>
      </c>
      <c r="N596" t="s">
        <v>44</v>
      </c>
      <c r="O596" t="str">
        <f t="shared" si="18"/>
        <v>Good</v>
      </c>
      <c r="P596">
        <f t="shared" si="19"/>
        <v>883.23</v>
      </c>
      <c r="Q596">
        <v>45299</v>
      </c>
      <c r="R596">
        <f>YEAR(Table1[[#This Row],[Order_Date_New]])</f>
        <v>2024</v>
      </c>
      <c r="S596">
        <f>MONTH(Table1[[#This Row],[Order_Date_New]])</f>
        <v>1</v>
      </c>
      <c r="T596" t="str">
        <f>TEXT(Table1[[#This Row],[Order_Date_New]],"mmmm")</f>
        <v>January</v>
      </c>
      <c r="U596">
        <f>Table1[[#This Row],[Profit]]/Table1[[#This Row],[Sales]]</f>
        <v>1.5894783918118723E-2</v>
      </c>
      <c r="V596" t="str">
        <f>IF(Table1[[#This Row],[Discount]]=0,"No Discount",IF(Table1[[#This Row],[Discount]]&lt;=0.1,"Low",IF(Table1[[#This Row],[Discount]]&lt;=0.2,"medium","high")))</f>
        <v>Low</v>
      </c>
    </row>
    <row r="597" spans="1:22" x14ac:dyDescent="0.3">
      <c r="A597" t="s">
        <v>884</v>
      </c>
      <c r="B597" s="6">
        <v>45778</v>
      </c>
      <c r="C597" t="s">
        <v>441</v>
      </c>
      <c r="D597" t="s">
        <v>128</v>
      </c>
      <c r="E597" t="s">
        <v>132</v>
      </c>
      <c r="F597" t="s">
        <v>72</v>
      </c>
      <c r="G597" t="s">
        <v>73</v>
      </c>
      <c r="H597" t="s">
        <v>74</v>
      </c>
      <c r="I597">
        <v>2349.85</v>
      </c>
      <c r="J597">
        <v>5</v>
      </c>
      <c r="K597">
        <v>0.1</v>
      </c>
      <c r="L597">
        <v>767</v>
      </c>
      <c r="M597" t="s">
        <v>29</v>
      </c>
      <c r="N597" t="s">
        <v>30</v>
      </c>
      <c r="O597" t="str">
        <f t="shared" si="18"/>
        <v>Bad</v>
      </c>
      <c r="P597">
        <f t="shared" si="19"/>
        <v>469.96999999999997</v>
      </c>
      <c r="Q597">
        <v>45778</v>
      </c>
      <c r="R597">
        <f>YEAR(Table1[[#This Row],[Order_Date_New]])</f>
        <v>2025</v>
      </c>
      <c r="S597">
        <f>MONTH(Table1[[#This Row],[Order_Date_New]])</f>
        <v>5</v>
      </c>
      <c r="T597" t="str">
        <f>TEXT(Table1[[#This Row],[Order_Date_New]],"mmmm")</f>
        <v>May</v>
      </c>
      <c r="U597">
        <f>Table1[[#This Row],[Profit]]/Table1[[#This Row],[Sales]]</f>
        <v>0.32640381300934102</v>
      </c>
      <c r="V597" t="str">
        <f>IF(Table1[[#This Row],[Discount]]=0,"No Discount",IF(Table1[[#This Row],[Discount]]&lt;=0.1,"Low",IF(Table1[[#This Row],[Discount]]&lt;=0.2,"medium","high")))</f>
        <v>Low</v>
      </c>
    </row>
    <row r="598" spans="1:22" x14ac:dyDescent="0.3">
      <c r="A598" t="s">
        <v>885</v>
      </c>
      <c r="B598" s="6">
        <v>45300</v>
      </c>
      <c r="C598" t="s">
        <v>83</v>
      </c>
      <c r="D598" t="s">
        <v>33</v>
      </c>
      <c r="E598" t="s">
        <v>48</v>
      </c>
      <c r="F598" t="s">
        <v>26</v>
      </c>
      <c r="G598" t="s">
        <v>27</v>
      </c>
      <c r="H598" t="s">
        <v>271</v>
      </c>
      <c r="I598">
        <v>2595.65</v>
      </c>
      <c r="J598">
        <v>5</v>
      </c>
      <c r="K598">
        <v>0.1</v>
      </c>
      <c r="L598">
        <v>-9.84</v>
      </c>
      <c r="M598" t="s">
        <v>29</v>
      </c>
      <c r="N598" t="s">
        <v>44</v>
      </c>
      <c r="O598" t="str">
        <f t="shared" si="18"/>
        <v>Bad</v>
      </c>
      <c r="P598">
        <f t="shared" si="19"/>
        <v>519.13</v>
      </c>
      <c r="Q598">
        <v>45300</v>
      </c>
      <c r="R598">
        <f>YEAR(Table1[[#This Row],[Order_Date_New]])</f>
        <v>2024</v>
      </c>
      <c r="S598">
        <f>MONTH(Table1[[#This Row],[Order_Date_New]])</f>
        <v>1</v>
      </c>
      <c r="T598" t="str">
        <f>TEXT(Table1[[#This Row],[Order_Date_New]],"mmmm")</f>
        <v>January</v>
      </c>
      <c r="U598">
        <f>Table1[[#This Row],[Profit]]/Table1[[#This Row],[Sales]]</f>
        <v>-3.790957948876004E-3</v>
      </c>
      <c r="V598" t="str">
        <f>IF(Table1[[#This Row],[Discount]]=0,"No Discount",IF(Table1[[#This Row],[Discount]]&lt;=0.1,"Low",IF(Table1[[#This Row],[Discount]]&lt;=0.2,"medium","high")))</f>
        <v>Low</v>
      </c>
    </row>
    <row r="599" spans="1:22" x14ac:dyDescent="0.3">
      <c r="A599" t="s">
        <v>886</v>
      </c>
      <c r="B599" s="6">
        <v>45957</v>
      </c>
      <c r="C599" t="s">
        <v>65</v>
      </c>
      <c r="D599" t="s">
        <v>24</v>
      </c>
      <c r="E599" t="s">
        <v>25</v>
      </c>
      <c r="F599" t="s">
        <v>72</v>
      </c>
      <c r="G599" t="s">
        <v>111</v>
      </c>
      <c r="H599" t="s">
        <v>112</v>
      </c>
      <c r="I599">
        <v>670.55</v>
      </c>
      <c r="J599">
        <v>5</v>
      </c>
      <c r="K599">
        <v>0</v>
      </c>
      <c r="L599">
        <v>239.03</v>
      </c>
      <c r="M599" t="s">
        <v>170</v>
      </c>
      <c r="N599" t="s">
        <v>30</v>
      </c>
      <c r="O599" t="str">
        <f t="shared" si="18"/>
        <v>Bad</v>
      </c>
      <c r="P599">
        <f t="shared" si="19"/>
        <v>134.10999999999999</v>
      </c>
      <c r="Q599">
        <v>45957</v>
      </c>
      <c r="R599">
        <f>YEAR(Table1[[#This Row],[Order_Date_New]])</f>
        <v>2025</v>
      </c>
      <c r="S599">
        <f>MONTH(Table1[[#This Row],[Order_Date_New]])</f>
        <v>10</v>
      </c>
      <c r="T599" t="str">
        <f>TEXT(Table1[[#This Row],[Order_Date_New]],"mmmm")</f>
        <v>October</v>
      </c>
      <c r="U599">
        <f>Table1[[#This Row],[Profit]]/Table1[[#This Row],[Sales]]</f>
        <v>0.35646857057639253</v>
      </c>
      <c r="V599" t="str">
        <f>IF(Table1[[#This Row],[Discount]]=0,"No Discount",IF(Table1[[#This Row],[Discount]]&lt;=0.1,"Low",IF(Table1[[#This Row],[Discount]]&lt;=0.2,"medium","high")))</f>
        <v>No Discount</v>
      </c>
    </row>
    <row r="600" spans="1:22" x14ac:dyDescent="0.3">
      <c r="A600" t="s">
        <v>887</v>
      </c>
      <c r="B600" s="6">
        <v>45501</v>
      </c>
      <c r="C600" t="s">
        <v>148</v>
      </c>
      <c r="D600" t="s">
        <v>24</v>
      </c>
      <c r="E600" t="s">
        <v>59</v>
      </c>
      <c r="F600" t="s">
        <v>72</v>
      </c>
      <c r="G600" t="s">
        <v>73</v>
      </c>
      <c r="H600" t="s">
        <v>293</v>
      </c>
      <c r="I600">
        <v>1326.36</v>
      </c>
      <c r="J600">
        <v>7</v>
      </c>
      <c r="K600">
        <v>0.3</v>
      </c>
      <c r="L600">
        <v>-10.119999999999999</v>
      </c>
      <c r="M600" t="s">
        <v>49</v>
      </c>
      <c r="N600" t="s">
        <v>44</v>
      </c>
      <c r="O600" t="str">
        <f t="shared" si="18"/>
        <v>Bad</v>
      </c>
      <c r="P600">
        <f t="shared" si="19"/>
        <v>189.48</v>
      </c>
      <c r="Q600">
        <v>45501</v>
      </c>
      <c r="R600">
        <f>YEAR(Table1[[#This Row],[Order_Date_New]])</f>
        <v>2024</v>
      </c>
      <c r="S600">
        <f>MONTH(Table1[[#This Row],[Order_Date_New]])</f>
        <v>7</v>
      </c>
      <c r="T600" t="str">
        <f>TEXT(Table1[[#This Row],[Order_Date_New]],"mmmm")</f>
        <v>July</v>
      </c>
      <c r="U600">
        <f>Table1[[#This Row],[Profit]]/Table1[[#This Row],[Sales]]</f>
        <v>-7.6299044000120633E-3</v>
      </c>
      <c r="V600" t="str">
        <f>IF(Table1[[#This Row],[Discount]]=0,"No Discount",IF(Table1[[#This Row],[Discount]]&lt;=0.1,"Low",IF(Table1[[#This Row],[Discount]]&lt;=0.2,"medium","high")))</f>
        <v>high</v>
      </c>
    </row>
    <row r="601" spans="1:22" x14ac:dyDescent="0.3">
      <c r="A601" t="s">
        <v>888</v>
      </c>
      <c r="B601" s="6">
        <v>45307</v>
      </c>
      <c r="C601" t="s">
        <v>417</v>
      </c>
      <c r="D601" t="s">
        <v>53</v>
      </c>
      <c r="E601" t="s">
        <v>87</v>
      </c>
      <c r="F601" t="s">
        <v>72</v>
      </c>
      <c r="G601" t="s">
        <v>111</v>
      </c>
      <c r="H601" t="s">
        <v>182</v>
      </c>
      <c r="I601">
        <v>7943.11</v>
      </c>
      <c r="J601">
        <v>7</v>
      </c>
      <c r="K601">
        <v>0.25</v>
      </c>
      <c r="L601">
        <v>-1363.76</v>
      </c>
      <c r="M601" t="s">
        <v>49</v>
      </c>
      <c r="N601" t="s">
        <v>38</v>
      </c>
      <c r="O601" t="str">
        <f t="shared" si="18"/>
        <v>Bad</v>
      </c>
      <c r="P601">
        <f t="shared" si="19"/>
        <v>1134.73</v>
      </c>
      <c r="Q601">
        <v>45307</v>
      </c>
      <c r="R601">
        <f>YEAR(Table1[[#This Row],[Order_Date_New]])</f>
        <v>2024</v>
      </c>
      <c r="S601">
        <f>MONTH(Table1[[#This Row],[Order_Date_New]])</f>
        <v>1</v>
      </c>
      <c r="T601" t="str">
        <f>TEXT(Table1[[#This Row],[Order_Date_New]],"mmmm")</f>
        <v>January</v>
      </c>
      <c r="U601">
        <f>Table1[[#This Row],[Profit]]/Table1[[#This Row],[Sales]]</f>
        <v>-0.17169093717699996</v>
      </c>
      <c r="V601" t="str">
        <f>IF(Table1[[#This Row],[Discount]]=0,"No Discount",IF(Table1[[#This Row],[Discount]]&lt;=0.1,"Low",IF(Table1[[#This Row],[Discount]]&lt;=0.2,"medium","high")))</f>
        <v>high</v>
      </c>
    </row>
    <row r="602" spans="1:22" x14ac:dyDescent="0.3">
      <c r="A602" t="s">
        <v>889</v>
      </c>
      <c r="B602" s="6">
        <v>45356</v>
      </c>
      <c r="C602" t="s">
        <v>288</v>
      </c>
      <c r="D602" t="s">
        <v>128</v>
      </c>
      <c r="E602" t="s">
        <v>129</v>
      </c>
      <c r="F602" t="s">
        <v>60</v>
      </c>
      <c r="G602" t="s">
        <v>78</v>
      </c>
      <c r="H602" t="s">
        <v>222</v>
      </c>
      <c r="I602">
        <v>5981.34</v>
      </c>
      <c r="J602">
        <v>6</v>
      </c>
      <c r="K602">
        <v>0.2</v>
      </c>
      <c r="L602">
        <v>467.52</v>
      </c>
      <c r="M602" t="s">
        <v>37</v>
      </c>
      <c r="N602" t="s">
        <v>30</v>
      </c>
      <c r="O602" t="str">
        <f t="shared" si="18"/>
        <v>Bad</v>
      </c>
      <c r="P602">
        <f t="shared" si="19"/>
        <v>996.89</v>
      </c>
      <c r="Q602">
        <v>45356</v>
      </c>
      <c r="R602">
        <f>YEAR(Table1[[#This Row],[Order_Date_New]])</f>
        <v>2024</v>
      </c>
      <c r="S602">
        <f>MONTH(Table1[[#This Row],[Order_Date_New]])</f>
        <v>3</v>
      </c>
      <c r="T602" t="str">
        <f>TEXT(Table1[[#This Row],[Order_Date_New]],"mmmm")</f>
        <v>March</v>
      </c>
      <c r="U602">
        <f>Table1[[#This Row],[Profit]]/Table1[[#This Row],[Sales]]</f>
        <v>7.8163087201195719E-2</v>
      </c>
      <c r="V602" t="str">
        <f>IF(Table1[[#This Row],[Discount]]=0,"No Discount",IF(Table1[[#This Row],[Discount]]&lt;=0.1,"Low",IF(Table1[[#This Row],[Discount]]&lt;=0.2,"medium","high")))</f>
        <v>medium</v>
      </c>
    </row>
    <row r="603" spans="1:22" x14ac:dyDescent="0.3">
      <c r="A603" t="s">
        <v>890</v>
      </c>
      <c r="B603" s="6">
        <v>45299</v>
      </c>
      <c r="C603" t="s">
        <v>235</v>
      </c>
      <c r="D603" t="s">
        <v>53</v>
      </c>
      <c r="E603" t="s">
        <v>54</v>
      </c>
      <c r="F603" t="s">
        <v>72</v>
      </c>
      <c r="G603" t="s">
        <v>88</v>
      </c>
      <c r="H603" t="s">
        <v>119</v>
      </c>
      <c r="I603">
        <v>209.72</v>
      </c>
      <c r="J603">
        <v>2</v>
      </c>
      <c r="K603">
        <v>0.05</v>
      </c>
      <c r="L603">
        <v>4.6900000000000004</v>
      </c>
      <c r="M603" t="s">
        <v>68</v>
      </c>
      <c r="N603" t="s">
        <v>30</v>
      </c>
      <c r="O603" t="str">
        <f t="shared" si="18"/>
        <v>Bad</v>
      </c>
      <c r="P603">
        <f t="shared" si="19"/>
        <v>104.86</v>
      </c>
      <c r="Q603">
        <v>45299</v>
      </c>
      <c r="R603">
        <f>YEAR(Table1[[#This Row],[Order_Date_New]])</f>
        <v>2024</v>
      </c>
      <c r="S603">
        <f>MONTH(Table1[[#This Row],[Order_Date_New]])</f>
        <v>1</v>
      </c>
      <c r="T603" t="str">
        <f>TEXT(Table1[[#This Row],[Order_Date_New]],"mmmm")</f>
        <v>January</v>
      </c>
      <c r="U603">
        <f>Table1[[#This Row],[Profit]]/Table1[[#This Row],[Sales]]</f>
        <v>2.2363150867823766E-2</v>
      </c>
      <c r="V603" t="str">
        <f>IF(Table1[[#This Row],[Discount]]=0,"No Discount",IF(Table1[[#This Row],[Discount]]&lt;=0.1,"Low",IF(Table1[[#This Row],[Discount]]&lt;=0.2,"medium","high")))</f>
        <v>Low</v>
      </c>
    </row>
    <row r="604" spans="1:22" x14ac:dyDescent="0.3">
      <c r="A604" t="s">
        <v>891</v>
      </c>
      <c r="B604" s="6">
        <v>45718</v>
      </c>
      <c r="C604" t="s">
        <v>470</v>
      </c>
      <c r="D604" t="s">
        <v>53</v>
      </c>
      <c r="E604" t="s">
        <v>87</v>
      </c>
      <c r="F604" t="s">
        <v>60</v>
      </c>
      <c r="G604" t="s">
        <v>98</v>
      </c>
      <c r="H604" t="s">
        <v>99</v>
      </c>
      <c r="I604">
        <v>1101.76</v>
      </c>
      <c r="J604">
        <v>2</v>
      </c>
      <c r="K604">
        <v>0.25</v>
      </c>
      <c r="L604">
        <v>35.380000000000003</v>
      </c>
      <c r="M604" t="s">
        <v>133</v>
      </c>
      <c r="N604" t="s">
        <v>30</v>
      </c>
      <c r="O604" t="str">
        <f t="shared" si="18"/>
        <v>Bad</v>
      </c>
      <c r="P604">
        <f t="shared" si="19"/>
        <v>550.88</v>
      </c>
      <c r="Q604">
        <v>45718</v>
      </c>
      <c r="R604">
        <f>YEAR(Table1[[#This Row],[Order_Date_New]])</f>
        <v>2025</v>
      </c>
      <c r="S604">
        <f>MONTH(Table1[[#This Row],[Order_Date_New]])</f>
        <v>3</v>
      </c>
      <c r="T604" t="str">
        <f>TEXT(Table1[[#This Row],[Order_Date_New]],"mmmm")</f>
        <v>March</v>
      </c>
      <c r="U604">
        <f>Table1[[#This Row],[Profit]]/Table1[[#This Row],[Sales]]</f>
        <v>3.2112256752831837E-2</v>
      </c>
      <c r="V604" t="str">
        <f>IF(Table1[[#This Row],[Discount]]=0,"No Discount",IF(Table1[[#This Row],[Discount]]&lt;=0.1,"Low",IF(Table1[[#This Row],[Discount]]&lt;=0.2,"medium","high")))</f>
        <v>high</v>
      </c>
    </row>
    <row r="605" spans="1:22" x14ac:dyDescent="0.3">
      <c r="A605" t="s">
        <v>892</v>
      </c>
      <c r="B605" s="6">
        <v>45580</v>
      </c>
      <c r="C605" t="s">
        <v>83</v>
      </c>
      <c r="D605" t="s">
        <v>53</v>
      </c>
      <c r="E605" t="s">
        <v>107</v>
      </c>
      <c r="F605" t="s">
        <v>72</v>
      </c>
      <c r="G605" t="s">
        <v>111</v>
      </c>
      <c r="H605" t="s">
        <v>182</v>
      </c>
      <c r="I605">
        <v>424.4</v>
      </c>
      <c r="J605">
        <v>5</v>
      </c>
      <c r="K605">
        <v>0.15</v>
      </c>
      <c r="L605">
        <v>91.88</v>
      </c>
      <c r="M605" t="s">
        <v>43</v>
      </c>
      <c r="N605" t="s">
        <v>80</v>
      </c>
      <c r="O605" t="str">
        <f t="shared" si="18"/>
        <v>Bad</v>
      </c>
      <c r="P605">
        <f t="shared" si="19"/>
        <v>84.88</v>
      </c>
      <c r="Q605">
        <v>45580</v>
      </c>
      <c r="R605">
        <f>YEAR(Table1[[#This Row],[Order_Date_New]])</f>
        <v>2024</v>
      </c>
      <c r="S605">
        <f>MONTH(Table1[[#This Row],[Order_Date_New]])</f>
        <v>10</v>
      </c>
      <c r="T605" t="str">
        <f>TEXT(Table1[[#This Row],[Order_Date_New]],"mmmm")</f>
        <v>October</v>
      </c>
      <c r="U605">
        <f>Table1[[#This Row],[Profit]]/Table1[[#This Row],[Sales]]</f>
        <v>0.21649387370405279</v>
      </c>
      <c r="V605" t="str">
        <f>IF(Table1[[#This Row],[Discount]]=0,"No Discount",IF(Table1[[#This Row],[Discount]]&lt;=0.1,"Low",IF(Table1[[#This Row],[Discount]]&lt;=0.2,"medium","high")))</f>
        <v>medium</v>
      </c>
    </row>
    <row r="606" spans="1:22" x14ac:dyDescent="0.3">
      <c r="A606" t="s">
        <v>893</v>
      </c>
      <c r="B606" s="6">
        <v>45756</v>
      </c>
      <c r="C606" t="s">
        <v>388</v>
      </c>
      <c r="D606" t="s">
        <v>128</v>
      </c>
      <c r="E606" t="s">
        <v>132</v>
      </c>
      <c r="F606" t="s">
        <v>60</v>
      </c>
      <c r="G606" t="s">
        <v>78</v>
      </c>
      <c r="H606" t="s">
        <v>125</v>
      </c>
      <c r="I606">
        <v>124.72</v>
      </c>
      <c r="J606">
        <v>4</v>
      </c>
      <c r="K606">
        <v>0.15</v>
      </c>
      <c r="L606">
        <v>-3.76</v>
      </c>
      <c r="M606" t="s">
        <v>29</v>
      </c>
      <c r="N606" t="s">
        <v>30</v>
      </c>
      <c r="O606" t="str">
        <f t="shared" si="18"/>
        <v>Bad</v>
      </c>
      <c r="P606">
        <f t="shared" si="19"/>
        <v>31.18</v>
      </c>
      <c r="Q606">
        <v>45756</v>
      </c>
      <c r="R606">
        <f>YEAR(Table1[[#This Row],[Order_Date_New]])</f>
        <v>2025</v>
      </c>
      <c r="S606">
        <f>MONTH(Table1[[#This Row],[Order_Date_New]])</f>
        <v>4</v>
      </c>
      <c r="T606" t="str">
        <f>TEXT(Table1[[#This Row],[Order_Date_New]],"mmmm")</f>
        <v>April</v>
      </c>
      <c r="U606">
        <f>Table1[[#This Row],[Profit]]/Table1[[#This Row],[Sales]]</f>
        <v>-3.0147530468248876E-2</v>
      </c>
      <c r="V606" t="str">
        <f>IF(Table1[[#This Row],[Discount]]=0,"No Discount",IF(Table1[[#This Row],[Discount]]&lt;=0.1,"Low",IF(Table1[[#This Row],[Discount]]&lt;=0.2,"medium","high")))</f>
        <v>medium</v>
      </c>
    </row>
    <row r="607" spans="1:22" x14ac:dyDescent="0.3">
      <c r="A607" t="s">
        <v>894</v>
      </c>
      <c r="B607" s="6">
        <v>45519</v>
      </c>
      <c r="C607" t="s">
        <v>895</v>
      </c>
      <c r="D607" t="s">
        <v>53</v>
      </c>
      <c r="E607" t="s">
        <v>107</v>
      </c>
      <c r="F607" t="s">
        <v>26</v>
      </c>
      <c r="G607" t="s">
        <v>27</v>
      </c>
      <c r="H607" t="s">
        <v>271</v>
      </c>
      <c r="I607">
        <v>638.91</v>
      </c>
      <c r="J607">
        <v>3</v>
      </c>
      <c r="K607">
        <v>0.15</v>
      </c>
      <c r="L607">
        <v>124.97</v>
      </c>
      <c r="M607" t="s">
        <v>37</v>
      </c>
      <c r="N607" t="s">
        <v>44</v>
      </c>
      <c r="O607" t="str">
        <f t="shared" si="18"/>
        <v>Bad</v>
      </c>
      <c r="P607">
        <f t="shared" si="19"/>
        <v>212.97</v>
      </c>
      <c r="Q607">
        <v>45519</v>
      </c>
      <c r="R607">
        <f>YEAR(Table1[[#This Row],[Order_Date_New]])</f>
        <v>2024</v>
      </c>
      <c r="S607">
        <f>MONTH(Table1[[#This Row],[Order_Date_New]])</f>
        <v>8</v>
      </c>
      <c r="T607" t="str">
        <f>TEXT(Table1[[#This Row],[Order_Date_New]],"mmmm")</f>
        <v>August</v>
      </c>
      <c r="U607">
        <f>Table1[[#This Row],[Profit]]/Table1[[#This Row],[Sales]]</f>
        <v>0.19559875412812447</v>
      </c>
      <c r="V607" t="str">
        <f>IF(Table1[[#This Row],[Discount]]=0,"No Discount",IF(Table1[[#This Row],[Discount]]&lt;=0.1,"Low",IF(Table1[[#This Row],[Discount]]&lt;=0.2,"medium","high")))</f>
        <v>medium</v>
      </c>
    </row>
    <row r="608" spans="1:22" x14ac:dyDescent="0.3">
      <c r="A608" t="s">
        <v>896</v>
      </c>
      <c r="B608" s="6">
        <v>45441</v>
      </c>
      <c r="C608" t="s">
        <v>140</v>
      </c>
      <c r="D608" t="s">
        <v>128</v>
      </c>
      <c r="E608" t="s">
        <v>129</v>
      </c>
      <c r="F608" t="s">
        <v>60</v>
      </c>
      <c r="G608" t="s">
        <v>61</v>
      </c>
      <c r="H608" t="s">
        <v>62</v>
      </c>
      <c r="I608">
        <v>121.08</v>
      </c>
      <c r="J608">
        <v>4</v>
      </c>
      <c r="K608">
        <v>0.2</v>
      </c>
      <c r="L608">
        <v>6.65</v>
      </c>
      <c r="M608" t="s">
        <v>49</v>
      </c>
      <c r="N608" t="s">
        <v>80</v>
      </c>
      <c r="O608" t="str">
        <f t="shared" si="18"/>
        <v>Bad</v>
      </c>
      <c r="P608">
        <f t="shared" si="19"/>
        <v>30.27</v>
      </c>
      <c r="Q608">
        <v>45441</v>
      </c>
      <c r="R608">
        <f>YEAR(Table1[[#This Row],[Order_Date_New]])</f>
        <v>2024</v>
      </c>
      <c r="S608">
        <f>MONTH(Table1[[#This Row],[Order_Date_New]])</f>
        <v>5</v>
      </c>
      <c r="T608" t="str">
        <f>TEXT(Table1[[#This Row],[Order_Date_New]],"mmmm")</f>
        <v>May</v>
      </c>
      <c r="U608">
        <f>Table1[[#This Row],[Profit]]/Table1[[#This Row],[Sales]]</f>
        <v>5.4922365378262311E-2</v>
      </c>
      <c r="V608" t="str">
        <f>IF(Table1[[#This Row],[Discount]]=0,"No Discount",IF(Table1[[#This Row],[Discount]]&lt;=0.1,"Low",IF(Table1[[#This Row],[Discount]]&lt;=0.2,"medium","high")))</f>
        <v>medium</v>
      </c>
    </row>
    <row r="609" spans="1:22" x14ac:dyDescent="0.3">
      <c r="A609" t="s">
        <v>897</v>
      </c>
      <c r="B609" s="6">
        <v>45655</v>
      </c>
      <c r="C609" t="s">
        <v>695</v>
      </c>
      <c r="D609" t="s">
        <v>128</v>
      </c>
      <c r="E609" t="s">
        <v>129</v>
      </c>
      <c r="F609" t="s">
        <v>60</v>
      </c>
      <c r="G609" t="s">
        <v>61</v>
      </c>
      <c r="H609" t="s">
        <v>62</v>
      </c>
      <c r="I609">
        <v>3495.92</v>
      </c>
      <c r="J609">
        <v>4</v>
      </c>
      <c r="K609">
        <v>0.3</v>
      </c>
      <c r="L609">
        <v>-379.17</v>
      </c>
      <c r="M609" t="s">
        <v>170</v>
      </c>
      <c r="N609" t="s">
        <v>80</v>
      </c>
      <c r="O609" t="str">
        <f t="shared" si="18"/>
        <v>Bad</v>
      </c>
      <c r="P609">
        <f t="shared" si="19"/>
        <v>873.98</v>
      </c>
      <c r="Q609">
        <v>45655</v>
      </c>
      <c r="R609">
        <f>YEAR(Table1[[#This Row],[Order_Date_New]])</f>
        <v>2024</v>
      </c>
      <c r="S609">
        <f>MONTH(Table1[[#This Row],[Order_Date_New]])</f>
        <v>12</v>
      </c>
      <c r="T609" t="str">
        <f>TEXT(Table1[[#This Row],[Order_Date_New]],"mmmm")</f>
        <v>December</v>
      </c>
      <c r="U609">
        <f>Table1[[#This Row],[Profit]]/Table1[[#This Row],[Sales]]</f>
        <v>-0.10846071992494108</v>
      </c>
      <c r="V609" t="str">
        <f>IF(Table1[[#This Row],[Discount]]=0,"No Discount",IF(Table1[[#This Row],[Discount]]&lt;=0.1,"Low",IF(Table1[[#This Row],[Discount]]&lt;=0.2,"medium","high")))</f>
        <v>high</v>
      </c>
    </row>
    <row r="610" spans="1:22" x14ac:dyDescent="0.3">
      <c r="A610" t="s">
        <v>898</v>
      </c>
      <c r="B610" s="6">
        <v>45514</v>
      </c>
      <c r="C610" t="s">
        <v>361</v>
      </c>
      <c r="D610" t="s">
        <v>24</v>
      </c>
      <c r="E610" t="s">
        <v>25</v>
      </c>
      <c r="F610" t="s">
        <v>26</v>
      </c>
      <c r="G610" t="s">
        <v>41</v>
      </c>
      <c r="H610" t="s">
        <v>108</v>
      </c>
      <c r="I610">
        <v>5155.3</v>
      </c>
      <c r="J610">
        <v>10</v>
      </c>
      <c r="K610">
        <v>0.25</v>
      </c>
      <c r="L610">
        <v>-942.51</v>
      </c>
      <c r="M610" t="s">
        <v>37</v>
      </c>
      <c r="N610" t="s">
        <v>30</v>
      </c>
      <c r="O610" t="str">
        <f t="shared" si="18"/>
        <v>Good</v>
      </c>
      <c r="P610">
        <f t="shared" si="19"/>
        <v>515.53</v>
      </c>
      <c r="Q610">
        <v>45514</v>
      </c>
      <c r="R610">
        <f>YEAR(Table1[[#This Row],[Order_Date_New]])</f>
        <v>2024</v>
      </c>
      <c r="S610">
        <f>MONTH(Table1[[#This Row],[Order_Date_New]])</f>
        <v>8</v>
      </c>
      <c r="T610" t="str">
        <f>TEXT(Table1[[#This Row],[Order_Date_New]],"mmmm")</f>
        <v>August</v>
      </c>
      <c r="U610">
        <f>Table1[[#This Row],[Profit]]/Table1[[#This Row],[Sales]]</f>
        <v>-0.18282350202704012</v>
      </c>
      <c r="V610" t="str">
        <f>IF(Table1[[#This Row],[Discount]]=0,"No Discount",IF(Table1[[#This Row],[Discount]]&lt;=0.1,"Low",IF(Table1[[#This Row],[Discount]]&lt;=0.2,"medium","high")))</f>
        <v>high</v>
      </c>
    </row>
    <row r="611" spans="1:22" x14ac:dyDescent="0.3">
      <c r="A611" t="s">
        <v>899</v>
      </c>
      <c r="B611" s="6">
        <v>45862</v>
      </c>
      <c r="C611" t="s">
        <v>172</v>
      </c>
      <c r="D611" t="s">
        <v>33</v>
      </c>
      <c r="E611" t="s">
        <v>48</v>
      </c>
      <c r="F611" t="s">
        <v>72</v>
      </c>
      <c r="G611" t="s">
        <v>88</v>
      </c>
      <c r="H611" t="s">
        <v>89</v>
      </c>
      <c r="I611">
        <v>4143.5600000000004</v>
      </c>
      <c r="J611">
        <v>4</v>
      </c>
      <c r="K611">
        <v>0.2</v>
      </c>
      <c r="L611">
        <v>63.35</v>
      </c>
      <c r="M611" t="s">
        <v>68</v>
      </c>
      <c r="N611" t="s">
        <v>80</v>
      </c>
      <c r="O611" t="str">
        <f t="shared" si="18"/>
        <v>Bad</v>
      </c>
      <c r="P611">
        <f t="shared" si="19"/>
        <v>1035.8900000000001</v>
      </c>
      <c r="Q611">
        <v>45862</v>
      </c>
      <c r="R611">
        <f>YEAR(Table1[[#This Row],[Order_Date_New]])</f>
        <v>2025</v>
      </c>
      <c r="S611">
        <f>MONTH(Table1[[#This Row],[Order_Date_New]])</f>
        <v>7</v>
      </c>
      <c r="T611" t="str">
        <f>TEXT(Table1[[#This Row],[Order_Date_New]],"mmmm")</f>
        <v>July</v>
      </c>
      <c r="U611">
        <f>Table1[[#This Row],[Profit]]/Table1[[#This Row],[Sales]]</f>
        <v>1.5288785488806725E-2</v>
      </c>
      <c r="V611" t="str">
        <f>IF(Table1[[#This Row],[Discount]]=0,"No Discount",IF(Table1[[#This Row],[Discount]]&lt;=0.1,"Low",IF(Table1[[#This Row],[Discount]]&lt;=0.2,"medium","high")))</f>
        <v>medium</v>
      </c>
    </row>
    <row r="612" spans="1:22" x14ac:dyDescent="0.3">
      <c r="A612" t="s">
        <v>900</v>
      </c>
      <c r="B612" s="6">
        <v>45992</v>
      </c>
      <c r="C612" t="s">
        <v>483</v>
      </c>
      <c r="D612" t="s">
        <v>53</v>
      </c>
      <c r="E612" t="s">
        <v>87</v>
      </c>
      <c r="F612" t="s">
        <v>60</v>
      </c>
      <c r="G612" t="s">
        <v>78</v>
      </c>
      <c r="H612" t="s">
        <v>125</v>
      </c>
      <c r="I612">
        <v>8462.8799999999992</v>
      </c>
      <c r="J612">
        <v>9</v>
      </c>
      <c r="K612">
        <v>0.05</v>
      </c>
      <c r="L612">
        <v>2387.1999999999998</v>
      </c>
      <c r="M612" t="s">
        <v>105</v>
      </c>
      <c r="N612" t="s">
        <v>80</v>
      </c>
      <c r="O612" t="str">
        <f t="shared" si="18"/>
        <v>Good</v>
      </c>
      <c r="P612">
        <f t="shared" si="19"/>
        <v>940.31999999999994</v>
      </c>
      <c r="Q612">
        <v>45992</v>
      </c>
      <c r="R612">
        <f>YEAR(Table1[[#This Row],[Order_Date_New]])</f>
        <v>2025</v>
      </c>
      <c r="S612">
        <f>MONTH(Table1[[#This Row],[Order_Date_New]])</f>
        <v>12</v>
      </c>
      <c r="T612" t="str">
        <f>TEXT(Table1[[#This Row],[Order_Date_New]],"mmmm")</f>
        <v>December</v>
      </c>
      <c r="U612">
        <f>Table1[[#This Row],[Profit]]/Table1[[#This Row],[Sales]]</f>
        <v>0.28207891403399316</v>
      </c>
      <c r="V612" t="str">
        <f>IF(Table1[[#This Row],[Discount]]=0,"No Discount",IF(Table1[[#This Row],[Discount]]&lt;=0.1,"Low",IF(Table1[[#This Row],[Discount]]&lt;=0.2,"medium","high")))</f>
        <v>Low</v>
      </c>
    </row>
    <row r="613" spans="1:22" x14ac:dyDescent="0.3">
      <c r="A613" t="s">
        <v>901</v>
      </c>
      <c r="B613" s="6">
        <v>45646</v>
      </c>
      <c r="C613" t="s">
        <v>124</v>
      </c>
      <c r="D613" t="s">
        <v>128</v>
      </c>
      <c r="E613" t="s">
        <v>202</v>
      </c>
      <c r="F613" t="s">
        <v>60</v>
      </c>
      <c r="G613" t="s">
        <v>98</v>
      </c>
      <c r="H613" t="s">
        <v>99</v>
      </c>
      <c r="I613">
        <v>708.66</v>
      </c>
      <c r="J613">
        <v>3</v>
      </c>
      <c r="K613">
        <v>0.15</v>
      </c>
      <c r="L613">
        <v>108.53</v>
      </c>
      <c r="M613" t="s">
        <v>105</v>
      </c>
      <c r="N613" t="s">
        <v>44</v>
      </c>
      <c r="O613" t="str">
        <f t="shared" si="18"/>
        <v>Bad</v>
      </c>
      <c r="P613">
        <f t="shared" si="19"/>
        <v>236.22</v>
      </c>
      <c r="Q613">
        <v>45646</v>
      </c>
      <c r="R613">
        <f>YEAR(Table1[[#This Row],[Order_Date_New]])</f>
        <v>2024</v>
      </c>
      <c r="S613">
        <f>MONTH(Table1[[#This Row],[Order_Date_New]])</f>
        <v>12</v>
      </c>
      <c r="T613" t="str">
        <f>TEXT(Table1[[#This Row],[Order_Date_New]],"mmmm")</f>
        <v>December</v>
      </c>
      <c r="U613">
        <f>Table1[[#This Row],[Profit]]/Table1[[#This Row],[Sales]]</f>
        <v>0.15314819518527928</v>
      </c>
      <c r="V613" t="str">
        <f>IF(Table1[[#This Row],[Discount]]=0,"No Discount",IF(Table1[[#This Row],[Discount]]&lt;=0.1,"Low",IF(Table1[[#This Row],[Discount]]&lt;=0.2,"medium","high")))</f>
        <v>medium</v>
      </c>
    </row>
    <row r="614" spans="1:22" x14ac:dyDescent="0.3">
      <c r="A614" t="s">
        <v>902</v>
      </c>
      <c r="B614" s="6">
        <v>45737</v>
      </c>
      <c r="C614" t="s">
        <v>246</v>
      </c>
      <c r="D614" t="s">
        <v>128</v>
      </c>
      <c r="E614" t="s">
        <v>129</v>
      </c>
      <c r="F614" t="s">
        <v>26</v>
      </c>
      <c r="G614" t="s">
        <v>35</v>
      </c>
      <c r="H614" t="s">
        <v>55</v>
      </c>
      <c r="I614">
        <v>6601.5</v>
      </c>
      <c r="J614">
        <v>10</v>
      </c>
      <c r="K614">
        <v>0.1</v>
      </c>
      <c r="L614">
        <v>1066.8499999999999</v>
      </c>
      <c r="M614" t="s">
        <v>133</v>
      </c>
      <c r="N614" t="s">
        <v>38</v>
      </c>
      <c r="O614" t="str">
        <f t="shared" si="18"/>
        <v>Good</v>
      </c>
      <c r="P614">
        <f t="shared" si="19"/>
        <v>660.15</v>
      </c>
      <c r="Q614">
        <v>45737</v>
      </c>
      <c r="R614">
        <f>YEAR(Table1[[#This Row],[Order_Date_New]])</f>
        <v>2025</v>
      </c>
      <c r="S614">
        <f>MONTH(Table1[[#This Row],[Order_Date_New]])</f>
        <v>3</v>
      </c>
      <c r="T614" t="str">
        <f>TEXT(Table1[[#This Row],[Order_Date_New]],"mmmm")</f>
        <v>March</v>
      </c>
      <c r="U614">
        <f>Table1[[#This Row],[Profit]]/Table1[[#This Row],[Sales]]</f>
        <v>0.1616072104824661</v>
      </c>
      <c r="V614" t="str">
        <f>IF(Table1[[#This Row],[Discount]]=0,"No Discount",IF(Table1[[#This Row],[Discount]]&lt;=0.1,"Low",IF(Table1[[#This Row],[Discount]]&lt;=0.2,"medium","high")))</f>
        <v>Low</v>
      </c>
    </row>
    <row r="615" spans="1:22" x14ac:dyDescent="0.3">
      <c r="A615" t="s">
        <v>903</v>
      </c>
      <c r="B615" s="6">
        <v>45800</v>
      </c>
      <c r="C615" t="s">
        <v>65</v>
      </c>
      <c r="D615" t="s">
        <v>33</v>
      </c>
      <c r="E615" t="s">
        <v>66</v>
      </c>
      <c r="F615" t="s">
        <v>72</v>
      </c>
      <c r="G615" t="s">
        <v>88</v>
      </c>
      <c r="H615" t="s">
        <v>119</v>
      </c>
      <c r="I615">
        <v>3207.42</v>
      </c>
      <c r="J615">
        <v>6</v>
      </c>
      <c r="K615">
        <v>0.15</v>
      </c>
      <c r="L615">
        <v>-100.21</v>
      </c>
      <c r="M615" t="s">
        <v>90</v>
      </c>
      <c r="N615" t="s">
        <v>38</v>
      </c>
      <c r="O615" t="str">
        <f t="shared" si="18"/>
        <v>Bad</v>
      </c>
      <c r="P615">
        <f t="shared" si="19"/>
        <v>534.57000000000005</v>
      </c>
      <c r="Q615">
        <v>45800</v>
      </c>
      <c r="R615">
        <f>YEAR(Table1[[#This Row],[Order_Date_New]])</f>
        <v>2025</v>
      </c>
      <c r="S615">
        <f>MONTH(Table1[[#This Row],[Order_Date_New]])</f>
        <v>5</v>
      </c>
      <c r="T615" t="str">
        <f>TEXT(Table1[[#This Row],[Order_Date_New]],"mmmm")</f>
        <v>May</v>
      </c>
      <c r="U615">
        <f>Table1[[#This Row],[Profit]]/Table1[[#This Row],[Sales]]</f>
        <v>-3.124317987666099E-2</v>
      </c>
      <c r="V615" t="str">
        <f>IF(Table1[[#This Row],[Discount]]=0,"No Discount",IF(Table1[[#This Row],[Discount]]&lt;=0.1,"Low",IF(Table1[[#This Row],[Discount]]&lt;=0.2,"medium","high")))</f>
        <v>medium</v>
      </c>
    </row>
    <row r="616" spans="1:22" x14ac:dyDescent="0.3">
      <c r="A616" t="s">
        <v>904</v>
      </c>
      <c r="B616" s="6">
        <v>45739</v>
      </c>
      <c r="C616" t="s">
        <v>135</v>
      </c>
      <c r="D616" t="s">
        <v>24</v>
      </c>
      <c r="E616" t="s">
        <v>84</v>
      </c>
      <c r="F616" t="s">
        <v>72</v>
      </c>
      <c r="G616" t="s">
        <v>88</v>
      </c>
      <c r="H616" t="s">
        <v>89</v>
      </c>
      <c r="I616">
        <v>477.98</v>
      </c>
      <c r="J616">
        <v>2</v>
      </c>
      <c r="K616">
        <v>0.3</v>
      </c>
      <c r="L616">
        <v>-27.44</v>
      </c>
      <c r="M616" t="s">
        <v>133</v>
      </c>
      <c r="N616" t="s">
        <v>80</v>
      </c>
      <c r="O616" t="str">
        <f t="shared" si="18"/>
        <v>Bad</v>
      </c>
      <c r="P616">
        <f t="shared" si="19"/>
        <v>238.99</v>
      </c>
      <c r="Q616">
        <v>45739</v>
      </c>
      <c r="R616">
        <f>YEAR(Table1[[#This Row],[Order_Date_New]])</f>
        <v>2025</v>
      </c>
      <c r="S616">
        <f>MONTH(Table1[[#This Row],[Order_Date_New]])</f>
        <v>3</v>
      </c>
      <c r="T616" t="str">
        <f>TEXT(Table1[[#This Row],[Order_Date_New]],"mmmm")</f>
        <v>March</v>
      </c>
      <c r="U616">
        <f>Table1[[#This Row],[Profit]]/Table1[[#This Row],[Sales]]</f>
        <v>-5.740825975982259E-2</v>
      </c>
      <c r="V616" t="str">
        <f>IF(Table1[[#This Row],[Discount]]=0,"No Discount",IF(Table1[[#This Row],[Discount]]&lt;=0.1,"Low",IF(Table1[[#This Row],[Discount]]&lt;=0.2,"medium","high")))</f>
        <v>high</v>
      </c>
    </row>
    <row r="617" spans="1:22" x14ac:dyDescent="0.3">
      <c r="A617" t="s">
        <v>905</v>
      </c>
      <c r="B617" s="6">
        <v>45301</v>
      </c>
      <c r="C617" t="s">
        <v>135</v>
      </c>
      <c r="D617" t="s">
        <v>24</v>
      </c>
      <c r="E617" t="s">
        <v>25</v>
      </c>
      <c r="F617" t="s">
        <v>60</v>
      </c>
      <c r="G617" t="s">
        <v>78</v>
      </c>
      <c r="H617" t="s">
        <v>222</v>
      </c>
      <c r="I617">
        <v>8957.52</v>
      </c>
      <c r="J617">
        <v>9</v>
      </c>
      <c r="K617">
        <v>0.05</v>
      </c>
      <c r="L617">
        <v>2687.85</v>
      </c>
      <c r="M617" t="s">
        <v>43</v>
      </c>
      <c r="N617" t="s">
        <v>30</v>
      </c>
      <c r="O617" t="str">
        <f t="shared" si="18"/>
        <v>Good</v>
      </c>
      <c r="P617">
        <f t="shared" si="19"/>
        <v>995.28000000000009</v>
      </c>
      <c r="Q617">
        <v>45301</v>
      </c>
      <c r="R617">
        <f>YEAR(Table1[[#This Row],[Order_Date_New]])</f>
        <v>2024</v>
      </c>
      <c r="S617">
        <f>MONTH(Table1[[#This Row],[Order_Date_New]])</f>
        <v>1</v>
      </c>
      <c r="T617" t="str">
        <f>TEXT(Table1[[#This Row],[Order_Date_New]],"mmmm")</f>
        <v>January</v>
      </c>
      <c r="U617">
        <f>Table1[[#This Row],[Profit]]/Table1[[#This Row],[Sales]]</f>
        <v>0.30006631299734743</v>
      </c>
      <c r="V617" t="str">
        <f>IF(Table1[[#This Row],[Discount]]=0,"No Discount",IF(Table1[[#This Row],[Discount]]&lt;=0.1,"Low",IF(Table1[[#This Row],[Discount]]&lt;=0.2,"medium","high")))</f>
        <v>Low</v>
      </c>
    </row>
    <row r="618" spans="1:22" x14ac:dyDescent="0.3">
      <c r="A618" t="s">
        <v>906</v>
      </c>
      <c r="B618" s="6">
        <v>45476</v>
      </c>
      <c r="C618" t="s">
        <v>454</v>
      </c>
      <c r="D618" t="s">
        <v>33</v>
      </c>
      <c r="E618" t="s">
        <v>66</v>
      </c>
      <c r="F618" t="s">
        <v>72</v>
      </c>
      <c r="G618" t="s">
        <v>73</v>
      </c>
      <c r="H618" t="s">
        <v>102</v>
      </c>
      <c r="I618">
        <v>234.84</v>
      </c>
      <c r="J618">
        <v>6</v>
      </c>
      <c r="K618">
        <v>0.1</v>
      </c>
      <c r="L618">
        <v>20.02</v>
      </c>
      <c r="M618" t="s">
        <v>49</v>
      </c>
      <c r="N618" t="s">
        <v>80</v>
      </c>
      <c r="O618" t="str">
        <f t="shared" si="18"/>
        <v>Bad</v>
      </c>
      <c r="P618">
        <f t="shared" si="19"/>
        <v>39.14</v>
      </c>
      <c r="Q618">
        <v>45476</v>
      </c>
      <c r="R618">
        <f>YEAR(Table1[[#This Row],[Order_Date_New]])</f>
        <v>2024</v>
      </c>
      <c r="S618">
        <f>MONTH(Table1[[#This Row],[Order_Date_New]])</f>
        <v>7</v>
      </c>
      <c r="T618" t="str">
        <f>TEXT(Table1[[#This Row],[Order_Date_New]],"mmmm")</f>
        <v>July</v>
      </c>
      <c r="U618">
        <f>Table1[[#This Row],[Profit]]/Table1[[#This Row],[Sales]]</f>
        <v>8.5249531595980241E-2</v>
      </c>
      <c r="V618" t="str">
        <f>IF(Table1[[#This Row],[Discount]]=0,"No Discount",IF(Table1[[#This Row],[Discount]]&lt;=0.1,"Low",IF(Table1[[#This Row],[Discount]]&lt;=0.2,"medium","high")))</f>
        <v>Low</v>
      </c>
    </row>
    <row r="619" spans="1:22" x14ac:dyDescent="0.3">
      <c r="A619" t="s">
        <v>907</v>
      </c>
      <c r="B619" s="6">
        <v>45876</v>
      </c>
      <c r="C619" t="s">
        <v>629</v>
      </c>
      <c r="D619" t="s">
        <v>53</v>
      </c>
      <c r="E619" t="s">
        <v>87</v>
      </c>
      <c r="F619" t="s">
        <v>72</v>
      </c>
      <c r="G619" t="s">
        <v>88</v>
      </c>
      <c r="H619" t="s">
        <v>209</v>
      </c>
      <c r="I619">
        <v>1061.58</v>
      </c>
      <c r="J619">
        <v>6</v>
      </c>
      <c r="K619">
        <v>0.25</v>
      </c>
      <c r="L619">
        <v>-95.35</v>
      </c>
      <c r="M619" t="s">
        <v>113</v>
      </c>
      <c r="N619" t="s">
        <v>38</v>
      </c>
      <c r="O619" t="str">
        <f t="shared" si="18"/>
        <v>Bad</v>
      </c>
      <c r="P619">
        <f t="shared" si="19"/>
        <v>176.92999999999998</v>
      </c>
      <c r="Q619">
        <v>45876</v>
      </c>
      <c r="R619">
        <f>YEAR(Table1[[#This Row],[Order_Date_New]])</f>
        <v>2025</v>
      </c>
      <c r="S619">
        <f>MONTH(Table1[[#This Row],[Order_Date_New]])</f>
        <v>8</v>
      </c>
      <c r="T619" t="str">
        <f>TEXT(Table1[[#This Row],[Order_Date_New]],"mmmm")</f>
        <v>August</v>
      </c>
      <c r="U619">
        <f>Table1[[#This Row],[Profit]]/Table1[[#This Row],[Sales]]</f>
        <v>-8.9818949113585414E-2</v>
      </c>
      <c r="V619" t="str">
        <f>IF(Table1[[#This Row],[Discount]]=0,"No Discount",IF(Table1[[#This Row],[Discount]]&lt;=0.1,"Low",IF(Table1[[#This Row],[Discount]]&lt;=0.2,"medium","high")))</f>
        <v>high</v>
      </c>
    </row>
    <row r="620" spans="1:22" x14ac:dyDescent="0.3">
      <c r="A620" t="s">
        <v>908</v>
      </c>
      <c r="B620" s="6">
        <v>45411</v>
      </c>
      <c r="C620" t="s">
        <v>163</v>
      </c>
      <c r="D620" t="s">
        <v>53</v>
      </c>
      <c r="E620" t="s">
        <v>107</v>
      </c>
      <c r="F620" t="s">
        <v>72</v>
      </c>
      <c r="G620" t="s">
        <v>73</v>
      </c>
      <c r="H620" t="s">
        <v>102</v>
      </c>
      <c r="I620">
        <v>1102.8499999999999</v>
      </c>
      <c r="J620">
        <v>7</v>
      </c>
      <c r="K620">
        <v>0</v>
      </c>
      <c r="L620">
        <v>490.92</v>
      </c>
      <c r="M620" t="s">
        <v>133</v>
      </c>
      <c r="N620" t="s">
        <v>44</v>
      </c>
      <c r="O620" t="str">
        <f t="shared" si="18"/>
        <v>Bad</v>
      </c>
      <c r="P620">
        <f t="shared" si="19"/>
        <v>157.54999999999998</v>
      </c>
      <c r="Q620">
        <v>45411</v>
      </c>
      <c r="R620">
        <f>YEAR(Table1[[#This Row],[Order_Date_New]])</f>
        <v>2024</v>
      </c>
      <c r="S620">
        <f>MONTH(Table1[[#This Row],[Order_Date_New]])</f>
        <v>4</v>
      </c>
      <c r="T620" t="str">
        <f>TEXT(Table1[[#This Row],[Order_Date_New]],"mmmm")</f>
        <v>April</v>
      </c>
      <c r="U620">
        <f>Table1[[#This Row],[Profit]]/Table1[[#This Row],[Sales]]</f>
        <v>0.44513759804143815</v>
      </c>
      <c r="V620" t="str">
        <f>IF(Table1[[#This Row],[Discount]]=0,"No Discount",IF(Table1[[#This Row],[Discount]]&lt;=0.1,"Low",IF(Table1[[#This Row],[Discount]]&lt;=0.2,"medium","high")))</f>
        <v>No Discount</v>
      </c>
    </row>
    <row r="621" spans="1:22" x14ac:dyDescent="0.3">
      <c r="A621" t="s">
        <v>909</v>
      </c>
      <c r="B621" s="6">
        <v>45858</v>
      </c>
      <c r="C621" t="s">
        <v>695</v>
      </c>
      <c r="D621" t="s">
        <v>24</v>
      </c>
      <c r="E621" t="s">
        <v>84</v>
      </c>
      <c r="F621" t="s">
        <v>60</v>
      </c>
      <c r="G621" t="s">
        <v>61</v>
      </c>
      <c r="H621" t="s">
        <v>122</v>
      </c>
      <c r="I621">
        <v>628.94000000000005</v>
      </c>
      <c r="J621">
        <v>1</v>
      </c>
      <c r="K621">
        <v>0.25</v>
      </c>
      <c r="L621">
        <v>-59.35</v>
      </c>
      <c r="M621" t="s">
        <v>133</v>
      </c>
      <c r="N621" t="s">
        <v>44</v>
      </c>
      <c r="O621" t="str">
        <f t="shared" si="18"/>
        <v>Bad</v>
      </c>
      <c r="P621">
        <f t="shared" si="19"/>
        <v>628.94000000000005</v>
      </c>
      <c r="Q621">
        <v>45858</v>
      </c>
      <c r="R621">
        <f>YEAR(Table1[[#This Row],[Order_Date_New]])</f>
        <v>2025</v>
      </c>
      <c r="S621">
        <f>MONTH(Table1[[#This Row],[Order_Date_New]])</f>
        <v>7</v>
      </c>
      <c r="T621" t="str">
        <f>TEXT(Table1[[#This Row],[Order_Date_New]],"mmmm")</f>
        <v>July</v>
      </c>
      <c r="U621">
        <f>Table1[[#This Row],[Profit]]/Table1[[#This Row],[Sales]]</f>
        <v>-9.4365122269214868E-2</v>
      </c>
      <c r="V621" t="str">
        <f>IF(Table1[[#This Row],[Discount]]=0,"No Discount",IF(Table1[[#This Row],[Discount]]&lt;=0.1,"Low",IF(Table1[[#This Row],[Discount]]&lt;=0.2,"medium","high")))</f>
        <v>high</v>
      </c>
    </row>
    <row r="622" spans="1:22" x14ac:dyDescent="0.3">
      <c r="A622" t="s">
        <v>910</v>
      </c>
      <c r="B622" s="6">
        <v>45613</v>
      </c>
      <c r="C622" t="s">
        <v>427</v>
      </c>
      <c r="D622" t="s">
        <v>128</v>
      </c>
      <c r="E622" t="s">
        <v>129</v>
      </c>
      <c r="F622" t="s">
        <v>72</v>
      </c>
      <c r="G622" t="s">
        <v>73</v>
      </c>
      <c r="H622" t="s">
        <v>74</v>
      </c>
      <c r="I622">
        <v>5274.08</v>
      </c>
      <c r="J622">
        <v>7</v>
      </c>
      <c r="K622">
        <v>0.2</v>
      </c>
      <c r="L622">
        <v>786.64</v>
      </c>
      <c r="M622" t="s">
        <v>105</v>
      </c>
      <c r="N622" t="s">
        <v>30</v>
      </c>
      <c r="O622" t="str">
        <f t="shared" si="18"/>
        <v>Bad</v>
      </c>
      <c r="P622">
        <f t="shared" si="19"/>
        <v>753.43999999999994</v>
      </c>
      <c r="Q622">
        <v>45613</v>
      </c>
      <c r="R622">
        <f>YEAR(Table1[[#This Row],[Order_Date_New]])</f>
        <v>2024</v>
      </c>
      <c r="S622">
        <f>MONTH(Table1[[#This Row],[Order_Date_New]])</f>
        <v>11</v>
      </c>
      <c r="T622" t="str">
        <f>TEXT(Table1[[#This Row],[Order_Date_New]],"mmmm")</f>
        <v>November</v>
      </c>
      <c r="U622">
        <f>Table1[[#This Row],[Profit]]/Table1[[#This Row],[Sales]]</f>
        <v>0.14915207960440494</v>
      </c>
      <c r="V622" t="str">
        <f>IF(Table1[[#This Row],[Discount]]=0,"No Discount",IF(Table1[[#This Row],[Discount]]&lt;=0.1,"Low",IF(Table1[[#This Row],[Discount]]&lt;=0.2,"medium","high")))</f>
        <v>medium</v>
      </c>
    </row>
    <row r="623" spans="1:22" x14ac:dyDescent="0.3">
      <c r="A623" t="s">
        <v>911</v>
      </c>
      <c r="B623" s="6">
        <v>45948</v>
      </c>
      <c r="C623" t="s">
        <v>263</v>
      </c>
      <c r="D623" t="s">
        <v>24</v>
      </c>
      <c r="E623" t="s">
        <v>97</v>
      </c>
      <c r="F623" t="s">
        <v>60</v>
      </c>
      <c r="G623" t="s">
        <v>98</v>
      </c>
      <c r="H623" t="s">
        <v>141</v>
      </c>
      <c r="I623">
        <v>3317.4</v>
      </c>
      <c r="J623">
        <v>5</v>
      </c>
      <c r="K623">
        <v>0.3</v>
      </c>
      <c r="L623">
        <v>-370.43</v>
      </c>
      <c r="M623" t="s">
        <v>90</v>
      </c>
      <c r="N623" t="s">
        <v>44</v>
      </c>
      <c r="O623" t="str">
        <f t="shared" si="18"/>
        <v>Bad</v>
      </c>
      <c r="P623">
        <f t="shared" si="19"/>
        <v>663.48</v>
      </c>
      <c r="Q623">
        <v>45948</v>
      </c>
      <c r="R623">
        <f>YEAR(Table1[[#This Row],[Order_Date_New]])</f>
        <v>2025</v>
      </c>
      <c r="S623">
        <f>MONTH(Table1[[#This Row],[Order_Date_New]])</f>
        <v>10</v>
      </c>
      <c r="T623" t="str">
        <f>TEXT(Table1[[#This Row],[Order_Date_New]],"mmmm")</f>
        <v>October</v>
      </c>
      <c r="U623">
        <f>Table1[[#This Row],[Profit]]/Table1[[#This Row],[Sales]]</f>
        <v>-0.11166274793512992</v>
      </c>
      <c r="V623" t="str">
        <f>IF(Table1[[#This Row],[Discount]]=0,"No Discount",IF(Table1[[#This Row],[Discount]]&lt;=0.1,"Low",IF(Table1[[#This Row],[Discount]]&lt;=0.2,"medium","high")))</f>
        <v>high</v>
      </c>
    </row>
    <row r="624" spans="1:22" x14ac:dyDescent="0.3">
      <c r="A624" t="s">
        <v>912</v>
      </c>
      <c r="B624" s="6">
        <v>45385</v>
      </c>
      <c r="C624" t="s">
        <v>647</v>
      </c>
      <c r="D624" t="s">
        <v>33</v>
      </c>
      <c r="E624" t="s">
        <v>48</v>
      </c>
      <c r="F624" t="s">
        <v>72</v>
      </c>
      <c r="G624" t="s">
        <v>111</v>
      </c>
      <c r="H624" t="s">
        <v>158</v>
      </c>
      <c r="I624">
        <v>8726.58</v>
      </c>
      <c r="J624">
        <v>9</v>
      </c>
      <c r="K624">
        <v>0.3</v>
      </c>
      <c r="L624">
        <v>-1012.32</v>
      </c>
      <c r="M624" t="s">
        <v>105</v>
      </c>
      <c r="N624" t="s">
        <v>38</v>
      </c>
      <c r="O624" t="str">
        <f t="shared" si="18"/>
        <v>Good</v>
      </c>
      <c r="P624">
        <f t="shared" si="19"/>
        <v>969.62</v>
      </c>
      <c r="Q624">
        <v>45385</v>
      </c>
      <c r="R624">
        <f>YEAR(Table1[[#This Row],[Order_Date_New]])</f>
        <v>2024</v>
      </c>
      <c r="S624">
        <f>MONTH(Table1[[#This Row],[Order_Date_New]])</f>
        <v>4</v>
      </c>
      <c r="T624" t="str">
        <f>TEXT(Table1[[#This Row],[Order_Date_New]],"mmmm")</f>
        <v>April</v>
      </c>
      <c r="U624">
        <f>Table1[[#This Row],[Profit]]/Table1[[#This Row],[Sales]]</f>
        <v>-0.11600420783399683</v>
      </c>
      <c r="V624" t="str">
        <f>IF(Table1[[#This Row],[Discount]]=0,"No Discount",IF(Table1[[#This Row],[Discount]]&lt;=0.1,"Low",IF(Table1[[#This Row],[Discount]]&lt;=0.2,"medium","high")))</f>
        <v>high</v>
      </c>
    </row>
    <row r="625" spans="1:22" x14ac:dyDescent="0.3">
      <c r="A625" t="s">
        <v>913</v>
      </c>
      <c r="B625" s="6">
        <v>45741</v>
      </c>
      <c r="C625" t="s">
        <v>208</v>
      </c>
      <c r="D625" t="s">
        <v>33</v>
      </c>
      <c r="E625" t="s">
        <v>34</v>
      </c>
      <c r="F625" t="s">
        <v>26</v>
      </c>
      <c r="G625" t="s">
        <v>27</v>
      </c>
      <c r="H625" t="s">
        <v>28</v>
      </c>
      <c r="I625">
        <v>401.73</v>
      </c>
      <c r="J625">
        <v>1</v>
      </c>
      <c r="K625">
        <v>0.15</v>
      </c>
      <c r="L625">
        <v>-7.94</v>
      </c>
      <c r="M625" t="s">
        <v>29</v>
      </c>
      <c r="N625" t="s">
        <v>38</v>
      </c>
      <c r="O625" t="str">
        <f t="shared" si="18"/>
        <v>Bad</v>
      </c>
      <c r="P625">
        <f t="shared" si="19"/>
        <v>401.73</v>
      </c>
      <c r="Q625">
        <v>45741</v>
      </c>
      <c r="R625">
        <f>YEAR(Table1[[#This Row],[Order_Date_New]])</f>
        <v>2025</v>
      </c>
      <c r="S625">
        <f>MONTH(Table1[[#This Row],[Order_Date_New]])</f>
        <v>3</v>
      </c>
      <c r="T625" t="str">
        <f>TEXT(Table1[[#This Row],[Order_Date_New]],"mmmm")</f>
        <v>March</v>
      </c>
      <c r="U625">
        <f>Table1[[#This Row],[Profit]]/Table1[[#This Row],[Sales]]</f>
        <v>-1.9764518457670573E-2</v>
      </c>
      <c r="V625" t="str">
        <f>IF(Table1[[#This Row],[Discount]]=0,"No Discount",IF(Table1[[#This Row],[Discount]]&lt;=0.1,"Low",IF(Table1[[#This Row],[Discount]]&lt;=0.2,"medium","high")))</f>
        <v>medium</v>
      </c>
    </row>
    <row r="626" spans="1:22" x14ac:dyDescent="0.3">
      <c r="A626" t="s">
        <v>914</v>
      </c>
      <c r="B626" s="6">
        <v>45891</v>
      </c>
      <c r="C626" t="s">
        <v>211</v>
      </c>
      <c r="D626" t="s">
        <v>24</v>
      </c>
      <c r="E626" t="s">
        <v>97</v>
      </c>
      <c r="F626" t="s">
        <v>72</v>
      </c>
      <c r="G626" t="s">
        <v>73</v>
      </c>
      <c r="H626" t="s">
        <v>74</v>
      </c>
      <c r="I626">
        <v>919.94</v>
      </c>
      <c r="J626">
        <v>7</v>
      </c>
      <c r="K626">
        <v>0.1</v>
      </c>
      <c r="L626">
        <v>69.42</v>
      </c>
      <c r="M626" t="s">
        <v>49</v>
      </c>
      <c r="N626" t="s">
        <v>30</v>
      </c>
      <c r="O626" t="str">
        <f t="shared" si="18"/>
        <v>Bad</v>
      </c>
      <c r="P626">
        <f t="shared" si="19"/>
        <v>131.42000000000002</v>
      </c>
      <c r="Q626">
        <v>45891</v>
      </c>
      <c r="R626">
        <f>YEAR(Table1[[#This Row],[Order_Date_New]])</f>
        <v>2025</v>
      </c>
      <c r="S626">
        <f>MONTH(Table1[[#This Row],[Order_Date_New]])</f>
        <v>8</v>
      </c>
      <c r="T626" t="str">
        <f>TEXT(Table1[[#This Row],[Order_Date_New]],"mmmm")</f>
        <v>August</v>
      </c>
      <c r="U626">
        <f>Table1[[#This Row],[Profit]]/Table1[[#This Row],[Sales]]</f>
        <v>7.5461443137595924E-2</v>
      </c>
      <c r="V626" t="str">
        <f>IF(Table1[[#This Row],[Discount]]=0,"No Discount",IF(Table1[[#This Row],[Discount]]&lt;=0.1,"Low",IF(Table1[[#This Row],[Discount]]&lt;=0.2,"medium","high")))</f>
        <v>Low</v>
      </c>
    </row>
    <row r="627" spans="1:22" x14ac:dyDescent="0.3">
      <c r="A627" t="s">
        <v>915</v>
      </c>
      <c r="B627" s="6">
        <v>45754</v>
      </c>
      <c r="C627" t="s">
        <v>40</v>
      </c>
      <c r="D627" t="s">
        <v>128</v>
      </c>
      <c r="E627" t="s">
        <v>202</v>
      </c>
      <c r="F627" t="s">
        <v>60</v>
      </c>
      <c r="G627" t="s">
        <v>98</v>
      </c>
      <c r="H627" t="s">
        <v>141</v>
      </c>
      <c r="I627">
        <v>11195.2</v>
      </c>
      <c r="J627">
        <v>10</v>
      </c>
      <c r="K627">
        <v>0.2</v>
      </c>
      <c r="L627">
        <v>-778.78</v>
      </c>
      <c r="M627" t="s">
        <v>133</v>
      </c>
      <c r="N627" t="s">
        <v>30</v>
      </c>
      <c r="O627" t="str">
        <f t="shared" si="18"/>
        <v>Good</v>
      </c>
      <c r="P627">
        <f t="shared" si="19"/>
        <v>1119.52</v>
      </c>
      <c r="Q627">
        <v>45754</v>
      </c>
      <c r="R627">
        <f>YEAR(Table1[[#This Row],[Order_Date_New]])</f>
        <v>2025</v>
      </c>
      <c r="S627">
        <f>MONTH(Table1[[#This Row],[Order_Date_New]])</f>
        <v>4</v>
      </c>
      <c r="T627" t="str">
        <f>TEXT(Table1[[#This Row],[Order_Date_New]],"mmmm")</f>
        <v>April</v>
      </c>
      <c r="U627">
        <f>Table1[[#This Row],[Profit]]/Table1[[#This Row],[Sales]]</f>
        <v>-6.9563741603544366E-2</v>
      </c>
      <c r="V627" t="str">
        <f>IF(Table1[[#This Row],[Discount]]=0,"No Discount",IF(Table1[[#This Row],[Discount]]&lt;=0.1,"Low",IF(Table1[[#This Row],[Discount]]&lt;=0.2,"medium","high")))</f>
        <v>medium</v>
      </c>
    </row>
    <row r="628" spans="1:22" x14ac:dyDescent="0.3">
      <c r="A628" t="s">
        <v>916</v>
      </c>
      <c r="B628" s="6">
        <v>45566</v>
      </c>
      <c r="C628" t="s">
        <v>698</v>
      </c>
      <c r="D628" t="s">
        <v>53</v>
      </c>
      <c r="E628" t="s">
        <v>87</v>
      </c>
      <c r="F628" t="s">
        <v>26</v>
      </c>
      <c r="G628" t="s">
        <v>27</v>
      </c>
      <c r="H628" t="s">
        <v>271</v>
      </c>
      <c r="I628">
        <v>4920.03</v>
      </c>
      <c r="J628">
        <v>9</v>
      </c>
      <c r="K628">
        <v>0.25</v>
      </c>
      <c r="L628">
        <v>357.74</v>
      </c>
      <c r="M628" t="s">
        <v>170</v>
      </c>
      <c r="N628" t="s">
        <v>30</v>
      </c>
      <c r="O628" t="str">
        <f t="shared" si="18"/>
        <v>Bad</v>
      </c>
      <c r="P628">
        <f t="shared" si="19"/>
        <v>546.66999999999996</v>
      </c>
      <c r="Q628">
        <v>45566</v>
      </c>
      <c r="R628">
        <f>YEAR(Table1[[#This Row],[Order_Date_New]])</f>
        <v>2024</v>
      </c>
      <c r="S628">
        <f>MONTH(Table1[[#This Row],[Order_Date_New]])</f>
        <v>10</v>
      </c>
      <c r="T628" t="str">
        <f>TEXT(Table1[[#This Row],[Order_Date_New]],"mmmm")</f>
        <v>October</v>
      </c>
      <c r="U628">
        <f>Table1[[#This Row],[Profit]]/Table1[[#This Row],[Sales]]</f>
        <v>7.2710938754438501E-2</v>
      </c>
      <c r="V628" t="str">
        <f>IF(Table1[[#This Row],[Discount]]=0,"No Discount",IF(Table1[[#This Row],[Discount]]&lt;=0.1,"Low",IF(Table1[[#This Row],[Discount]]&lt;=0.2,"medium","high")))</f>
        <v>high</v>
      </c>
    </row>
    <row r="629" spans="1:22" x14ac:dyDescent="0.3">
      <c r="A629" t="s">
        <v>917</v>
      </c>
      <c r="B629" s="6">
        <v>45620</v>
      </c>
      <c r="C629" t="s">
        <v>760</v>
      </c>
      <c r="D629" t="s">
        <v>53</v>
      </c>
      <c r="E629" t="s">
        <v>77</v>
      </c>
      <c r="F629" t="s">
        <v>72</v>
      </c>
      <c r="G629" t="s">
        <v>73</v>
      </c>
      <c r="H629" t="s">
        <v>74</v>
      </c>
      <c r="I629">
        <v>9882.18</v>
      </c>
      <c r="J629">
        <v>9</v>
      </c>
      <c r="K629">
        <v>0.2</v>
      </c>
      <c r="L629">
        <v>-637.38</v>
      </c>
      <c r="M629" t="s">
        <v>105</v>
      </c>
      <c r="N629" t="s">
        <v>30</v>
      </c>
      <c r="O629" t="str">
        <f t="shared" si="18"/>
        <v>Good</v>
      </c>
      <c r="P629">
        <f t="shared" si="19"/>
        <v>1098.02</v>
      </c>
      <c r="Q629">
        <v>45620</v>
      </c>
      <c r="R629">
        <f>YEAR(Table1[[#This Row],[Order_Date_New]])</f>
        <v>2024</v>
      </c>
      <c r="S629">
        <f>MONTH(Table1[[#This Row],[Order_Date_New]])</f>
        <v>11</v>
      </c>
      <c r="T629" t="str">
        <f>TEXT(Table1[[#This Row],[Order_Date_New]],"mmmm")</f>
        <v>November</v>
      </c>
      <c r="U629">
        <f>Table1[[#This Row],[Profit]]/Table1[[#This Row],[Sales]]</f>
        <v>-6.4497914427788197E-2</v>
      </c>
      <c r="V629" t="str">
        <f>IF(Table1[[#This Row],[Discount]]=0,"No Discount",IF(Table1[[#This Row],[Discount]]&lt;=0.1,"Low",IF(Table1[[#This Row],[Discount]]&lt;=0.2,"medium","high")))</f>
        <v>medium</v>
      </c>
    </row>
    <row r="630" spans="1:22" x14ac:dyDescent="0.3">
      <c r="A630" t="s">
        <v>918</v>
      </c>
      <c r="B630" s="6">
        <v>45955</v>
      </c>
      <c r="C630" t="s">
        <v>211</v>
      </c>
      <c r="D630" t="s">
        <v>53</v>
      </c>
      <c r="E630" t="s">
        <v>54</v>
      </c>
      <c r="F630" t="s">
        <v>72</v>
      </c>
      <c r="G630" t="s">
        <v>73</v>
      </c>
      <c r="H630" t="s">
        <v>293</v>
      </c>
      <c r="I630">
        <v>286.83999999999997</v>
      </c>
      <c r="J630">
        <v>4</v>
      </c>
      <c r="K630">
        <v>0.15</v>
      </c>
      <c r="L630">
        <v>45.37</v>
      </c>
      <c r="M630" t="s">
        <v>68</v>
      </c>
      <c r="N630" t="s">
        <v>30</v>
      </c>
      <c r="O630" t="str">
        <f t="shared" si="18"/>
        <v>Bad</v>
      </c>
      <c r="P630">
        <f t="shared" si="19"/>
        <v>71.709999999999994</v>
      </c>
      <c r="Q630">
        <v>45955</v>
      </c>
      <c r="R630">
        <f>YEAR(Table1[[#This Row],[Order_Date_New]])</f>
        <v>2025</v>
      </c>
      <c r="S630">
        <f>MONTH(Table1[[#This Row],[Order_Date_New]])</f>
        <v>10</v>
      </c>
      <c r="T630" t="str">
        <f>TEXT(Table1[[#This Row],[Order_Date_New]],"mmmm")</f>
        <v>October</v>
      </c>
      <c r="U630">
        <f>Table1[[#This Row],[Profit]]/Table1[[#This Row],[Sales]]</f>
        <v>0.15817180309580253</v>
      </c>
      <c r="V630" t="str">
        <f>IF(Table1[[#This Row],[Discount]]=0,"No Discount",IF(Table1[[#This Row],[Discount]]&lt;=0.1,"Low",IF(Table1[[#This Row],[Discount]]&lt;=0.2,"medium","high")))</f>
        <v>medium</v>
      </c>
    </row>
    <row r="631" spans="1:22" x14ac:dyDescent="0.3">
      <c r="A631" t="s">
        <v>919</v>
      </c>
      <c r="B631" s="6">
        <v>45567</v>
      </c>
      <c r="C631" t="s">
        <v>336</v>
      </c>
      <c r="D631" t="s">
        <v>53</v>
      </c>
      <c r="E631" t="s">
        <v>87</v>
      </c>
      <c r="F631" t="s">
        <v>26</v>
      </c>
      <c r="G631" t="s">
        <v>41</v>
      </c>
      <c r="H631" t="s">
        <v>108</v>
      </c>
      <c r="I631">
        <v>8572.23</v>
      </c>
      <c r="J631">
        <v>9</v>
      </c>
      <c r="K631">
        <v>0.1</v>
      </c>
      <c r="L631">
        <v>443.72</v>
      </c>
      <c r="M631" t="s">
        <v>37</v>
      </c>
      <c r="N631" t="s">
        <v>38</v>
      </c>
      <c r="O631" t="str">
        <f t="shared" si="18"/>
        <v>Good</v>
      </c>
      <c r="P631">
        <f t="shared" si="19"/>
        <v>952.46999999999991</v>
      </c>
      <c r="Q631">
        <v>45567</v>
      </c>
      <c r="R631">
        <f>YEAR(Table1[[#This Row],[Order_Date_New]])</f>
        <v>2024</v>
      </c>
      <c r="S631">
        <f>MONTH(Table1[[#This Row],[Order_Date_New]])</f>
        <v>10</v>
      </c>
      <c r="T631" t="str">
        <f>TEXT(Table1[[#This Row],[Order_Date_New]],"mmmm")</f>
        <v>October</v>
      </c>
      <c r="U631">
        <f>Table1[[#This Row],[Profit]]/Table1[[#This Row],[Sales]]</f>
        <v>5.1762493540187332E-2</v>
      </c>
      <c r="V631" t="str">
        <f>IF(Table1[[#This Row],[Discount]]=0,"No Discount",IF(Table1[[#This Row],[Discount]]&lt;=0.1,"Low",IF(Table1[[#This Row],[Discount]]&lt;=0.2,"medium","high")))</f>
        <v>Low</v>
      </c>
    </row>
    <row r="632" spans="1:22" x14ac:dyDescent="0.3">
      <c r="A632" t="s">
        <v>920</v>
      </c>
      <c r="B632" s="6">
        <v>45666</v>
      </c>
      <c r="C632" t="s">
        <v>96</v>
      </c>
      <c r="D632" t="s">
        <v>24</v>
      </c>
      <c r="E632" t="s">
        <v>59</v>
      </c>
      <c r="F632" t="s">
        <v>26</v>
      </c>
      <c r="G632" t="s">
        <v>41</v>
      </c>
      <c r="H632" t="s">
        <v>42</v>
      </c>
      <c r="I632">
        <v>4252.59</v>
      </c>
      <c r="J632">
        <v>9</v>
      </c>
      <c r="K632">
        <v>0.25</v>
      </c>
      <c r="L632">
        <v>828.49</v>
      </c>
      <c r="M632" t="s">
        <v>43</v>
      </c>
      <c r="N632" t="s">
        <v>80</v>
      </c>
      <c r="O632" t="str">
        <f t="shared" si="18"/>
        <v>Bad</v>
      </c>
      <c r="P632">
        <f t="shared" si="19"/>
        <v>472.51</v>
      </c>
      <c r="Q632">
        <v>45666</v>
      </c>
      <c r="R632">
        <f>YEAR(Table1[[#This Row],[Order_Date_New]])</f>
        <v>2025</v>
      </c>
      <c r="S632">
        <f>MONTH(Table1[[#This Row],[Order_Date_New]])</f>
        <v>1</v>
      </c>
      <c r="T632" t="str">
        <f>TEXT(Table1[[#This Row],[Order_Date_New]],"mmmm")</f>
        <v>January</v>
      </c>
      <c r="U632">
        <f>Table1[[#This Row],[Profit]]/Table1[[#This Row],[Sales]]</f>
        <v>0.19482009786976878</v>
      </c>
      <c r="V632" t="str">
        <f>IF(Table1[[#This Row],[Discount]]=0,"No Discount",IF(Table1[[#This Row],[Discount]]&lt;=0.1,"Low",IF(Table1[[#This Row],[Discount]]&lt;=0.2,"medium","high")))</f>
        <v>high</v>
      </c>
    </row>
    <row r="633" spans="1:22" x14ac:dyDescent="0.3">
      <c r="A633" t="s">
        <v>921</v>
      </c>
      <c r="B633" s="6">
        <v>45449</v>
      </c>
      <c r="C633" t="s">
        <v>228</v>
      </c>
      <c r="D633" t="s">
        <v>33</v>
      </c>
      <c r="E633" t="s">
        <v>66</v>
      </c>
      <c r="F633" t="s">
        <v>26</v>
      </c>
      <c r="G633" t="s">
        <v>41</v>
      </c>
      <c r="H633" t="s">
        <v>189</v>
      </c>
      <c r="I633">
        <v>4932</v>
      </c>
      <c r="J633">
        <v>5</v>
      </c>
      <c r="K633">
        <v>0.25</v>
      </c>
      <c r="L633">
        <v>-299.17</v>
      </c>
      <c r="M633" t="s">
        <v>113</v>
      </c>
      <c r="N633" t="s">
        <v>30</v>
      </c>
      <c r="O633" t="str">
        <f t="shared" si="18"/>
        <v>Bad</v>
      </c>
      <c r="P633">
        <f t="shared" si="19"/>
        <v>986.4</v>
      </c>
      <c r="Q633">
        <v>45449</v>
      </c>
      <c r="R633">
        <f>YEAR(Table1[[#This Row],[Order_Date_New]])</f>
        <v>2024</v>
      </c>
      <c r="S633">
        <f>MONTH(Table1[[#This Row],[Order_Date_New]])</f>
        <v>6</v>
      </c>
      <c r="T633" t="str">
        <f>TEXT(Table1[[#This Row],[Order_Date_New]],"mmmm")</f>
        <v>June</v>
      </c>
      <c r="U633">
        <f>Table1[[#This Row],[Profit]]/Table1[[#This Row],[Sales]]</f>
        <v>-6.0658961881589625E-2</v>
      </c>
      <c r="V633" t="str">
        <f>IF(Table1[[#This Row],[Discount]]=0,"No Discount",IF(Table1[[#This Row],[Discount]]&lt;=0.1,"Low",IF(Table1[[#This Row],[Discount]]&lt;=0.2,"medium","high")))</f>
        <v>high</v>
      </c>
    </row>
    <row r="634" spans="1:22" x14ac:dyDescent="0.3">
      <c r="A634" t="s">
        <v>922</v>
      </c>
      <c r="B634" s="6">
        <v>45300</v>
      </c>
      <c r="C634" t="s">
        <v>376</v>
      </c>
      <c r="D634" t="s">
        <v>24</v>
      </c>
      <c r="E634" t="s">
        <v>84</v>
      </c>
      <c r="F634" t="s">
        <v>60</v>
      </c>
      <c r="G634" t="s">
        <v>98</v>
      </c>
      <c r="H634" t="s">
        <v>99</v>
      </c>
      <c r="I634">
        <v>4775.26</v>
      </c>
      <c r="J634">
        <v>7</v>
      </c>
      <c r="K634">
        <v>0.1</v>
      </c>
      <c r="L634">
        <v>988.97</v>
      </c>
      <c r="M634" t="s">
        <v>29</v>
      </c>
      <c r="N634" t="s">
        <v>44</v>
      </c>
      <c r="O634" t="str">
        <f t="shared" si="18"/>
        <v>Bad</v>
      </c>
      <c r="P634">
        <f t="shared" si="19"/>
        <v>682.18000000000006</v>
      </c>
      <c r="Q634">
        <v>45300</v>
      </c>
      <c r="R634">
        <f>YEAR(Table1[[#This Row],[Order_Date_New]])</f>
        <v>2024</v>
      </c>
      <c r="S634">
        <f>MONTH(Table1[[#This Row],[Order_Date_New]])</f>
        <v>1</v>
      </c>
      <c r="T634" t="str">
        <f>TEXT(Table1[[#This Row],[Order_Date_New]],"mmmm")</f>
        <v>January</v>
      </c>
      <c r="U634">
        <f>Table1[[#This Row],[Profit]]/Table1[[#This Row],[Sales]]</f>
        <v>0.20710285932074901</v>
      </c>
      <c r="V634" t="str">
        <f>IF(Table1[[#This Row],[Discount]]=0,"No Discount",IF(Table1[[#This Row],[Discount]]&lt;=0.1,"Low",IF(Table1[[#This Row],[Discount]]&lt;=0.2,"medium","high")))</f>
        <v>Low</v>
      </c>
    </row>
    <row r="635" spans="1:22" x14ac:dyDescent="0.3">
      <c r="A635" t="s">
        <v>923</v>
      </c>
      <c r="B635" s="6">
        <v>46010</v>
      </c>
      <c r="C635" t="s">
        <v>388</v>
      </c>
      <c r="D635" t="s">
        <v>53</v>
      </c>
      <c r="E635" t="s">
        <v>54</v>
      </c>
      <c r="F635" t="s">
        <v>26</v>
      </c>
      <c r="G635" t="s">
        <v>27</v>
      </c>
      <c r="H635" t="s">
        <v>271</v>
      </c>
      <c r="I635">
        <v>6775.28</v>
      </c>
      <c r="J635">
        <v>8</v>
      </c>
      <c r="K635">
        <v>0.05</v>
      </c>
      <c r="L635">
        <v>2213.81</v>
      </c>
      <c r="M635" t="s">
        <v>170</v>
      </c>
      <c r="N635" t="s">
        <v>30</v>
      </c>
      <c r="O635" t="str">
        <f t="shared" si="18"/>
        <v>Good</v>
      </c>
      <c r="P635">
        <f t="shared" si="19"/>
        <v>846.91</v>
      </c>
      <c r="Q635">
        <v>46010</v>
      </c>
      <c r="R635">
        <f>YEAR(Table1[[#This Row],[Order_Date_New]])</f>
        <v>2025</v>
      </c>
      <c r="S635">
        <f>MONTH(Table1[[#This Row],[Order_Date_New]])</f>
        <v>12</v>
      </c>
      <c r="T635" t="str">
        <f>TEXT(Table1[[#This Row],[Order_Date_New]],"mmmm")</f>
        <v>December</v>
      </c>
      <c r="U635">
        <f>Table1[[#This Row],[Profit]]/Table1[[#This Row],[Sales]]</f>
        <v>0.32674811963490807</v>
      </c>
      <c r="V635" t="str">
        <f>IF(Table1[[#This Row],[Discount]]=0,"No Discount",IF(Table1[[#This Row],[Discount]]&lt;=0.1,"Low",IF(Table1[[#This Row],[Discount]]&lt;=0.2,"medium","high")))</f>
        <v>Low</v>
      </c>
    </row>
    <row r="636" spans="1:22" x14ac:dyDescent="0.3">
      <c r="A636" t="s">
        <v>924</v>
      </c>
      <c r="B636" s="6">
        <v>45835</v>
      </c>
      <c r="C636" t="s">
        <v>751</v>
      </c>
      <c r="D636" t="s">
        <v>128</v>
      </c>
      <c r="E636" t="s">
        <v>202</v>
      </c>
      <c r="F636" t="s">
        <v>72</v>
      </c>
      <c r="G636" t="s">
        <v>111</v>
      </c>
      <c r="H636" t="s">
        <v>112</v>
      </c>
      <c r="I636">
        <v>11325.1</v>
      </c>
      <c r="J636">
        <v>10</v>
      </c>
      <c r="K636">
        <v>0.25</v>
      </c>
      <c r="L636">
        <v>775.22</v>
      </c>
      <c r="M636" t="s">
        <v>29</v>
      </c>
      <c r="N636" t="s">
        <v>38</v>
      </c>
      <c r="O636" t="str">
        <f t="shared" si="18"/>
        <v>Good</v>
      </c>
      <c r="P636">
        <f t="shared" si="19"/>
        <v>1132.51</v>
      </c>
      <c r="Q636">
        <v>45835</v>
      </c>
      <c r="R636">
        <f>YEAR(Table1[[#This Row],[Order_Date_New]])</f>
        <v>2025</v>
      </c>
      <c r="S636">
        <f>MONTH(Table1[[#This Row],[Order_Date_New]])</f>
        <v>6</v>
      </c>
      <c r="T636" t="str">
        <f>TEXT(Table1[[#This Row],[Order_Date_New]],"mmmm")</f>
        <v>June</v>
      </c>
      <c r="U636">
        <f>Table1[[#This Row],[Profit]]/Table1[[#This Row],[Sales]]</f>
        <v>6.8451492702051198E-2</v>
      </c>
      <c r="V636" t="str">
        <f>IF(Table1[[#This Row],[Discount]]=0,"No Discount",IF(Table1[[#This Row],[Discount]]&lt;=0.1,"Low",IF(Table1[[#This Row],[Discount]]&lt;=0.2,"medium","high")))</f>
        <v>high</v>
      </c>
    </row>
    <row r="637" spans="1:22" x14ac:dyDescent="0.3">
      <c r="A637" t="s">
        <v>925</v>
      </c>
      <c r="B637" s="6">
        <v>45657</v>
      </c>
      <c r="C637" t="s">
        <v>191</v>
      </c>
      <c r="D637" t="s">
        <v>128</v>
      </c>
      <c r="E637" t="s">
        <v>132</v>
      </c>
      <c r="F637" t="s">
        <v>26</v>
      </c>
      <c r="G637" t="s">
        <v>27</v>
      </c>
      <c r="H637" t="s">
        <v>200</v>
      </c>
      <c r="I637">
        <v>4778.3599999999997</v>
      </c>
      <c r="J637">
        <v>4</v>
      </c>
      <c r="K637">
        <v>0.25</v>
      </c>
      <c r="L637">
        <v>939.71</v>
      </c>
      <c r="M637" t="s">
        <v>113</v>
      </c>
      <c r="N637" t="s">
        <v>44</v>
      </c>
      <c r="O637" t="str">
        <f t="shared" si="18"/>
        <v>Bad</v>
      </c>
      <c r="P637">
        <f t="shared" si="19"/>
        <v>1194.5899999999999</v>
      </c>
      <c r="Q637">
        <v>45657</v>
      </c>
      <c r="R637">
        <f>YEAR(Table1[[#This Row],[Order_Date_New]])</f>
        <v>2024</v>
      </c>
      <c r="S637">
        <f>MONTH(Table1[[#This Row],[Order_Date_New]])</f>
        <v>12</v>
      </c>
      <c r="T637" t="str">
        <f>TEXT(Table1[[#This Row],[Order_Date_New]],"mmmm")</f>
        <v>December</v>
      </c>
      <c r="U637">
        <f>Table1[[#This Row],[Profit]]/Table1[[#This Row],[Sales]]</f>
        <v>0.19665952335110792</v>
      </c>
      <c r="V637" t="str">
        <f>IF(Table1[[#This Row],[Discount]]=0,"No Discount",IF(Table1[[#This Row],[Discount]]&lt;=0.1,"Low",IF(Table1[[#This Row],[Discount]]&lt;=0.2,"medium","high")))</f>
        <v>high</v>
      </c>
    </row>
    <row r="638" spans="1:22" x14ac:dyDescent="0.3">
      <c r="A638" t="s">
        <v>926</v>
      </c>
      <c r="B638" s="6">
        <v>45650</v>
      </c>
      <c r="C638" t="s">
        <v>96</v>
      </c>
      <c r="D638" t="s">
        <v>128</v>
      </c>
      <c r="E638" t="s">
        <v>129</v>
      </c>
      <c r="F638" t="s">
        <v>26</v>
      </c>
      <c r="G638" t="s">
        <v>41</v>
      </c>
      <c r="H638" t="s">
        <v>108</v>
      </c>
      <c r="I638">
        <v>3493.44</v>
      </c>
      <c r="J638">
        <v>3</v>
      </c>
      <c r="K638">
        <v>0.25</v>
      </c>
      <c r="L638">
        <v>-384.47</v>
      </c>
      <c r="M638" t="s">
        <v>90</v>
      </c>
      <c r="N638" t="s">
        <v>44</v>
      </c>
      <c r="O638" t="str">
        <f t="shared" si="18"/>
        <v>Bad</v>
      </c>
      <c r="P638">
        <f t="shared" si="19"/>
        <v>1164.48</v>
      </c>
      <c r="Q638">
        <v>45650</v>
      </c>
      <c r="R638">
        <f>YEAR(Table1[[#This Row],[Order_Date_New]])</f>
        <v>2024</v>
      </c>
      <c r="S638">
        <f>MONTH(Table1[[#This Row],[Order_Date_New]])</f>
        <v>12</v>
      </c>
      <c r="T638" t="str">
        <f>TEXT(Table1[[#This Row],[Order_Date_New]],"mmmm")</f>
        <v>December</v>
      </c>
      <c r="U638">
        <f>Table1[[#This Row],[Profit]]/Table1[[#This Row],[Sales]]</f>
        <v>-0.11005484565356784</v>
      </c>
      <c r="V638" t="str">
        <f>IF(Table1[[#This Row],[Discount]]=0,"No Discount",IF(Table1[[#This Row],[Discount]]&lt;=0.1,"Low",IF(Table1[[#This Row],[Discount]]&lt;=0.2,"medium","high")))</f>
        <v>high</v>
      </c>
    </row>
    <row r="639" spans="1:22" x14ac:dyDescent="0.3">
      <c r="A639" t="s">
        <v>927</v>
      </c>
      <c r="B639" s="6">
        <v>46008</v>
      </c>
      <c r="C639" t="s">
        <v>572</v>
      </c>
      <c r="D639" t="s">
        <v>128</v>
      </c>
      <c r="E639" t="s">
        <v>129</v>
      </c>
      <c r="F639" t="s">
        <v>26</v>
      </c>
      <c r="G639" t="s">
        <v>41</v>
      </c>
      <c r="H639" t="s">
        <v>189</v>
      </c>
      <c r="I639">
        <v>528.78</v>
      </c>
      <c r="J639">
        <v>3</v>
      </c>
      <c r="K639">
        <v>0.2</v>
      </c>
      <c r="L639">
        <v>77.349999999999994</v>
      </c>
      <c r="M639" t="s">
        <v>49</v>
      </c>
      <c r="N639" t="s">
        <v>80</v>
      </c>
      <c r="O639" t="str">
        <f t="shared" si="18"/>
        <v>Bad</v>
      </c>
      <c r="P639">
        <f t="shared" si="19"/>
        <v>176.26</v>
      </c>
      <c r="Q639">
        <v>46008</v>
      </c>
      <c r="R639">
        <f>YEAR(Table1[[#This Row],[Order_Date_New]])</f>
        <v>2025</v>
      </c>
      <c r="S639">
        <f>MONTH(Table1[[#This Row],[Order_Date_New]])</f>
        <v>12</v>
      </c>
      <c r="T639" t="str">
        <f>TEXT(Table1[[#This Row],[Order_Date_New]],"mmmm")</f>
        <v>December</v>
      </c>
      <c r="U639">
        <f>Table1[[#This Row],[Profit]]/Table1[[#This Row],[Sales]]</f>
        <v>0.1462801164945724</v>
      </c>
      <c r="V639" t="str">
        <f>IF(Table1[[#This Row],[Discount]]=0,"No Discount",IF(Table1[[#This Row],[Discount]]&lt;=0.1,"Low",IF(Table1[[#This Row],[Discount]]&lt;=0.2,"medium","high")))</f>
        <v>medium</v>
      </c>
    </row>
    <row r="640" spans="1:22" x14ac:dyDescent="0.3">
      <c r="A640" t="s">
        <v>928</v>
      </c>
      <c r="B640" s="6">
        <v>45416</v>
      </c>
      <c r="C640" t="s">
        <v>143</v>
      </c>
      <c r="D640" t="s">
        <v>33</v>
      </c>
      <c r="E640" t="s">
        <v>34</v>
      </c>
      <c r="F640" t="s">
        <v>72</v>
      </c>
      <c r="G640" t="s">
        <v>88</v>
      </c>
      <c r="H640" t="s">
        <v>119</v>
      </c>
      <c r="I640">
        <v>5847.8</v>
      </c>
      <c r="J640">
        <v>5</v>
      </c>
      <c r="K640">
        <v>0.1</v>
      </c>
      <c r="L640">
        <v>1776.8</v>
      </c>
      <c r="M640" t="s">
        <v>90</v>
      </c>
      <c r="N640" t="s">
        <v>44</v>
      </c>
      <c r="O640" t="str">
        <f t="shared" si="18"/>
        <v>Bad</v>
      </c>
      <c r="P640">
        <f t="shared" si="19"/>
        <v>1169.56</v>
      </c>
      <c r="Q640">
        <v>45416</v>
      </c>
      <c r="R640">
        <f>YEAR(Table1[[#This Row],[Order_Date_New]])</f>
        <v>2024</v>
      </c>
      <c r="S640">
        <f>MONTH(Table1[[#This Row],[Order_Date_New]])</f>
        <v>5</v>
      </c>
      <c r="T640" t="str">
        <f>TEXT(Table1[[#This Row],[Order_Date_New]],"mmmm")</f>
        <v>May</v>
      </c>
      <c r="U640">
        <f>Table1[[#This Row],[Profit]]/Table1[[#This Row],[Sales]]</f>
        <v>0.30384076062792842</v>
      </c>
      <c r="V640" t="str">
        <f>IF(Table1[[#This Row],[Discount]]=0,"No Discount",IF(Table1[[#This Row],[Discount]]&lt;=0.1,"Low",IF(Table1[[#This Row],[Discount]]&lt;=0.2,"medium","high")))</f>
        <v>Low</v>
      </c>
    </row>
    <row r="641" spans="1:22" x14ac:dyDescent="0.3">
      <c r="A641" t="s">
        <v>929</v>
      </c>
      <c r="B641" s="6">
        <v>45750</v>
      </c>
      <c r="C641" t="s">
        <v>444</v>
      </c>
      <c r="D641" t="s">
        <v>24</v>
      </c>
      <c r="E641" t="s">
        <v>25</v>
      </c>
      <c r="F641" t="s">
        <v>60</v>
      </c>
      <c r="G641" t="s">
        <v>98</v>
      </c>
      <c r="H641" t="s">
        <v>99</v>
      </c>
      <c r="I641">
        <v>3363.81</v>
      </c>
      <c r="J641">
        <v>3</v>
      </c>
      <c r="K641">
        <v>0.25</v>
      </c>
      <c r="L641">
        <v>500.79</v>
      </c>
      <c r="M641" t="s">
        <v>68</v>
      </c>
      <c r="N641" t="s">
        <v>44</v>
      </c>
      <c r="O641" t="str">
        <f t="shared" si="18"/>
        <v>Bad</v>
      </c>
      <c r="P641">
        <f t="shared" si="19"/>
        <v>1121.27</v>
      </c>
      <c r="Q641">
        <v>45750</v>
      </c>
      <c r="R641">
        <f>YEAR(Table1[[#This Row],[Order_Date_New]])</f>
        <v>2025</v>
      </c>
      <c r="S641">
        <f>MONTH(Table1[[#This Row],[Order_Date_New]])</f>
        <v>4</v>
      </c>
      <c r="T641" t="str">
        <f>TEXT(Table1[[#This Row],[Order_Date_New]],"mmmm")</f>
        <v>April</v>
      </c>
      <c r="U641">
        <f>Table1[[#This Row],[Profit]]/Table1[[#This Row],[Sales]]</f>
        <v>0.14887582830183632</v>
      </c>
      <c r="V641" t="str">
        <f>IF(Table1[[#This Row],[Discount]]=0,"No Discount",IF(Table1[[#This Row],[Discount]]&lt;=0.1,"Low",IF(Table1[[#This Row],[Discount]]&lt;=0.2,"medium","high")))</f>
        <v>high</v>
      </c>
    </row>
    <row r="642" spans="1:22" x14ac:dyDescent="0.3">
      <c r="A642" t="s">
        <v>930</v>
      </c>
      <c r="B642" s="6">
        <v>45874</v>
      </c>
      <c r="C642" t="s">
        <v>327</v>
      </c>
      <c r="D642" t="s">
        <v>24</v>
      </c>
      <c r="E642" t="s">
        <v>25</v>
      </c>
      <c r="F642" t="s">
        <v>72</v>
      </c>
      <c r="G642" t="s">
        <v>88</v>
      </c>
      <c r="H642" t="s">
        <v>119</v>
      </c>
      <c r="I642">
        <v>6961.52</v>
      </c>
      <c r="J642">
        <v>8</v>
      </c>
      <c r="K642">
        <v>0.15</v>
      </c>
      <c r="L642">
        <v>2065.69</v>
      </c>
      <c r="M642" t="s">
        <v>90</v>
      </c>
      <c r="N642" t="s">
        <v>30</v>
      </c>
      <c r="O642" t="str">
        <f t="shared" ref="O642:O705" si="20">IF(AND(I642&gt;5000,J642&gt;7),"Good","Bad")</f>
        <v>Good</v>
      </c>
      <c r="P642">
        <f t="shared" ref="P642:P705" si="21">I642/J642</f>
        <v>870.19</v>
      </c>
      <c r="Q642">
        <v>45874</v>
      </c>
      <c r="R642">
        <f>YEAR(Table1[[#This Row],[Order_Date_New]])</f>
        <v>2025</v>
      </c>
      <c r="S642">
        <f>MONTH(Table1[[#This Row],[Order_Date_New]])</f>
        <v>8</v>
      </c>
      <c r="T642" t="str">
        <f>TEXT(Table1[[#This Row],[Order_Date_New]],"mmmm")</f>
        <v>August</v>
      </c>
      <c r="U642">
        <f>Table1[[#This Row],[Profit]]/Table1[[#This Row],[Sales]]</f>
        <v>0.29672973718383339</v>
      </c>
      <c r="V642" t="str">
        <f>IF(Table1[[#This Row],[Discount]]=0,"No Discount",IF(Table1[[#This Row],[Discount]]&lt;=0.1,"Low",IF(Table1[[#This Row],[Discount]]&lt;=0.2,"medium","high")))</f>
        <v>medium</v>
      </c>
    </row>
    <row r="643" spans="1:22" x14ac:dyDescent="0.3">
      <c r="A643" t="s">
        <v>931</v>
      </c>
      <c r="B643" s="6">
        <v>45755</v>
      </c>
      <c r="C643" t="s">
        <v>932</v>
      </c>
      <c r="D643" t="s">
        <v>53</v>
      </c>
      <c r="E643" t="s">
        <v>54</v>
      </c>
      <c r="F643" t="s">
        <v>72</v>
      </c>
      <c r="G643" t="s">
        <v>73</v>
      </c>
      <c r="H643" t="s">
        <v>102</v>
      </c>
      <c r="I643">
        <v>10626.6</v>
      </c>
      <c r="J643">
        <v>10</v>
      </c>
      <c r="K643">
        <v>0.3</v>
      </c>
      <c r="L643">
        <v>-297.55</v>
      </c>
      <c r="M643" t="s">
        <v>133</v>
      </c>
      <c r="N643" t="s">
        <v>44</v>
      </c>
      <c r="O643" t="str">
        <f t="shared" si="20"/>
        <v>Good</v>
      </c>
      <c r="P643">
        <f t="shared" si="21"/>
        <v>1062.6600000000001</v>
      </c>
      <c r="Q643">
        <v>45755</v>
      </c>
      <c r="R643">
        <f>YEAR(Table1[[#This Row],[Order_Date_New]])</f>
        <v>2025</v>
      </c>
      <c r="S643">
        <f>MONTH(Table1[[#This Row],[Order_Date_New]])</f>
        <v>4</v>
      </c>
      <c r="T643" t="str">
        <f>TEXT(Table1[[#This Row],[Order_Date_New]],"mmmm")</f>
        <v>April</v>
      </c>
      <c r="U643">
        <f>Table1[[#This Row],[Profit]]/Table1[[#This Row],[Sales]]</f>
        <v>-2.800048933807615E-2</v>
      </c>
      <c r="V643" t="str">
        <f>IF(Table1[[#This Row],[Discount]]=0,"No Discount",IF(Table1[[#This Row],[Discount]]&lt;=0.1,"Low",IF(Table1[[#This Row],[Discount]]&lt;=0.2,"medium","high")))</f>
        <v>high</v>
      </c>
    </row>
    <row r="644" spans="1:22" x14ac:dyDescent="0.3">
      <c r="A644" t="s">
        <v>933</v>
      </c>
      <c r="B644" s="6">
        <v>45358</v>
      </c>
      <c r="C644" t="s">
        <v>124</v>
      </c>
      <c r="D644" t="s">
        <v>33</v>
      </c>
      <c r="E644" t="s">
        <v>48</v>
      </c>
      <c r="F644" t="s">
        <v>72</v>
      </c>
      <c r="G644" t="s">
        <v>88</v>
      </c>
      <c r="H644" t="s">
        <v>209</v>
      </c>
      <c r="I644">
        <v>2613.48</v>
      </c>
      <c r="J644">
        <v>3</v>
      </c>
      <c r="K644">
        <v>0.1</v>
      </c>
      <c r="L644">
        <v>245.82</v>
      </c>
      <c r="M644" t="s">
        <v>105</v>
      </c>
      <c r="N644" t="s">
        <v>80</v>
      </c>
      <c r="O644" t="str">
        <f t="shared" si="20"/>
        <v>Bad</v>
      </c>
      <c r="P644">
        <f t="shared" si="21"/>
        <v>871.16</v>
      </c>
      <c r="Q644">
        <v>45358</v>
      </c>
      <c r="R644">
        <f>YEAR(Table1[[#This Row],[Order_Date_New]])</f>
        <v>2024</v>
      </c>
      <c r="S644">
        <f>MONTH(Table1[[#This Row],[Order_Date_New]])</f>
        <v>3</v>
      </c>
      <c r="T644" t="str">
        <f>TEXT(Table1[[#This Row],[Order_Date_New]],"mmmm")</f>
        <v>March</v>
      </c>
      <c r="U644">
        <f>Table1[[#This Row],[Profit]]/Table1[[#This Row],[Sales]]</f>
        <v>9.4058496717020976E-2</v>
      </c>
      <c r="V644" t="str">
        <f>IF(Table1[[#This Row],[Discount]]=0,"No Discount",IF(Table1[[#This Row],[Discount]]&lt;=0.1,"Low",IF(Table1[[#This Row],[Discount]]&lt;=0.2,"medium","high")))</f>
        <v>Low</v>
      </c>
    </row>
    <row r="645" spans="1:22" x14ac:dyDescent="0.3">
      <c r="A645" t="s">
        <v>934</v>
      </c>
      <c r="B645" s="6">
        <v>45586</v>
      </c>
      <c r="C645" t="s">
        <v>47</v>
      </c>
      <c r="D645" t="s">
        <v>24</v>
      </c>
      <c r="E645" t="s">
        <v>84</v>
      </c>
      <c r="F645" t="s">
        <v>72</v>
      </c>
      <c r="G645" t="s">
        <v>73</v>
      </c>
      <c r="H645" t="s">
        <v>293</v>
      </c>
      <c r="I645">
        <v>892.48</v>
      </c>
      <c r="J645">
        <v>2</v>
      </c>
      <c r="K645">
        <v>0.05</v>
      </c>
      <c r="L645">
        <v>120.83</v>
      </c>
      <c r="M645" t="s">
        <v>90</v>
      </c>
      <c r="N645" t="s">
        <v>38</v>
      </c>
      <c r="O645" t="str">
        <f t="shared" si="20"/>
        <v>Bad</v>
      </c>
      <c r="P645">
        <f t="shared" si="21"/>
        <v>446.24</v>
      </c>
      <c r="Q645">
        <v>45586</v>
      </c>
      <c r="R645">
        <f>YEAR(Table1[[#This Row],[Order_Date_New]])</f>
        <v>2024</v>
      </c>
      <c r="S645">
        <f>MONTH(Table1[[#This Row],[Order_Date_New]])</f>
        <v>10</v>
      </c>
      <c r="T645" t="str">
        <f>TEXT(Table1[[#This Row],[Order_Date_New]],"mmmm")</f>
        <v>October</v>
      </c>
      <c r="U645">
        <f>Table1[[#This Row],[Profit]]/Table1[[#This Row],[Sales]]</f>
        <v>0.13538678737898888</v>
      </c>
      <c r="V645" t="str">
        <f>IF(Table1[[#This Row],[Discount]]=0,"No Discount",IF(Table1[[#This Row],[Discount]]&lt;=0.1,"Low",IF(Table1[[#This Row],[Discount]]&lt;=0.2,"medium","high")))</f>
        <v>Low</v>
      </c>
    </row>
    <row r="646" spans="1:22" x14ac:dyDescent="0.3">
      <c r="A646" t="s">
        <v>935</v>
      </c>
      <c r="B646" s="6">
        <v>45485</v>
      </c>
      <c r="C646" t="s">
        <v>393</v>
      </c>
      <c r="D646" t="s">
        <v>128</v>
      </c>
      <c r="E646" t="s">
        <v>202</v>
      </c>
      <c r="F646" t="s">
        <v>26</v>
      </c>
      <c r="G646" t="s">
        <v>27</v>
      </c>
      <c r="H646" t="s">
        <v>28</v>
      </c>
      <c r="I646">
        <v>3232.2</v>
      </c>
      <c r="J646">
        <v>3</v>
      </c>
      <c r="K646">
        <v>0.05</v>
      </c>
      <c r="L646">
        <v>844.98</v>
      </c>
      <c r="M646" t="s">
        <v>29</v>
      </c>
      <c r="N646" t="s">
        <v>30</v>
      </c>
      <c r="O646" t="str">
        <f t="shared" si="20"/>
        <v>Bad</v>
      </c>
      <c r="P646">
        <f t="shared" si="21"/>
        <v>1077.3999999999999</v>
      </c>
      <c r="Q646">
        <v>45485</v>
      </c>
      <c r="R646">
        <f>YEAR(Table1[[#This Row],[Order_Date_New]])</f>
        <v>2024</v>
      </c>
      <c r="S646">
        <f>MONTH(Table1[[#This Row],[Order_Date_New]])</f>
        <v>7</v>
      </c>
      <c r="T646" t="str">
        <f>TEXT(Table1[[#This Row],[Order_Date_New]],"mmmm")</f>
        <v>July</v>
      </c>
      <c r="U646">
        <f>Table1[[#This Row],[Profit]]/Table1[[#This Row],[Sales]]</f>
        <v>0.26142565435307225</v>
      </c>
      <c r="V646" t="str">
        <f>IF(Table1[[#This Row],[Discount]]=0,"No Discount",IF(Table1[[#This Row],[Discount]]&lt;=0.1,"Low",IF(Table1[[#This Row],[Discount]]&lt;=0.2,"medium","high")))</f>
        <v>Low</v>
      </c>
    </row>
    <row r="647" spans="1:22" x14ac:dyDescent="0.3">
      <c r="A647" t="s">
        <v>936</v>
      </c>
      <c r="B647" s="6">
        <v>45706</v>
      </c>
      <c r="C647" t="s">
        <v>186</v>
      </c>
      <c r="D647" t="s">
        <v>24</v>
      </c>
      <c r="E647" t="s">
        <v>84</v>
      </c>
      <c r="F647" t="s">
        <v>60</v>
      </c>
      <c r="G647" t="s">
        <v>78</v>
      </c>
      <c r="H647" t="s">
        <v>222</v>
      </c>
      <c r="I647">
        <v>2752.44</v>
      </c>
      <c r="J647">
        <v>4</v>
      </c>
      <c r="K647">
        <v>0.15</v>
      </c>
      <c r="L647">
        <v>-271.36</v>
      </c>
      <c r="M647" t="s">
        <v>105</v>
      </c>
      <c r="N647" t="s">
        <v>80</v>
      </c>
      <c r="O647" t="str">
        <f t="shared" si="20"/>
        <v>Bad</v>
      </c>
      <c r="P647">
        <f t="shared" si="21"/>
        <v>688.11</v>
      </c>
      <c r="Q647">
        <v>45706</v>
      </c>
      <c r="R647">
        <f>YEAR(Table1[[#This Row],[Order_Date_New]])</f>
        <v>2025</v>
      </c>
      <c r="S647">
        <f>MONTH(Table1[[#This Row],[Order_Date_New]])</f>
        <v>2</v>
      </c>
      <c r="T647" t="str">
        <f>TEXT(Table1[[#This Row],[Order_Date_New]],"mmmm")</f>
        <v>February</v>
      </c>
      <c r="U647">
        <f>Table1[[#This Row],[Profit]]/Table1[[#This Row],[Sales]]</f>
        <v>-9.8588888404470221E-2</v>
      </c>
      <c r="V647" t="str">
        <f>IF(Table1[[#This Row],[Discount]]=0,"No Discount",IF(Table1[[#This Row],[Discount]]&lt;=0.1,"Low",IF(Table1[[#This Row],[Discount]]&lt;=0.2,"medium","high")))</f>
        <v>medium</v>
      </c>
    </row>
    <row r="648" spans="1:22" x14ac:dyDescent="0.3">
      <c r="A648" t="s">
        <v>937</v>
      </c>
      <c r="B648" s="6">
        <v>45524</v>
      </c>
      <c r="C648" t="s">
        <v>698</v>
      </c>
      <c r="D648" t="s">
        <v>53</v>
      </c>
      <c r="E648" t="s">
        <v>77</v>
      </c>
      <c r="F648" t="s">
        <v>26</v>
      </c>
      <c r="G648" t="s">
        <v>41</v>
      </c>
      <c r="H648" t="s">
        <v>108</v>
      </c>
      <c r="I648">
        <v>7049.34</v>
      </c>
      <c r="J648">
        <v>6</v>
      </c>
      <c r="K648">
        <v>0.2</v>
      </c>
      <c r="L648">
        <v>1539.25</v>
      </c>
      <c r="M648" t="s">
        <v>37</v>
      </c>
      <c r="N648" t="s">
        <v>44</v>
      </c>
      <c r="O648" t="str">
        <f t="shared" si="20"/>
        <v>Bad</v>
      </c>
      <c r="P648">
        <f t="shared" si="21"/>
        <v>1174.8900000000001</v>
      </c>
      <c r="Q648">
        <v>45524</v>
      </c>
      <c r="R648">
        <f>YEAR(Table1[[#This Row],[Order_Date_New]])</f>
        <v>2024</v>
      </c>
      <c r="S648">
        <f>MONTH(Table1[[#This Row],[Order_Date_New]])</f>
        <v>8</v>
      </c>
      <c r="T648" t="str">
        <f>TEXT(Table1[[#This Row],[Order_Date_New]],"mmmm")</f>
        <v>August</v>
      </c>
      <c r="U648">
        <f>Table1[[#This Row],[Profit]]/Table1[[#This Row],[Sales]]</f>
        <v>0.21835377496332989</v>
      </c>
      <c r="V648" t="str">
        <f>IF(Table1[[#This Row],[Discount]]=0,"No Discount",IF(Table1[[#This Row],[Discount]]&lt;=0.1,"Low",IF(Table1[[#This Row],[Discount]]&lt;=0.2,"medium","high")))</f>
        <v>medium</v>
      </c>
    </row>
    <row r="649" spans="1:22" x14ac:dyDescent="0.3">
      <c r="A649" t="s">
        <v>938</v>
      </c>
      <c r="B649" s="6">
        <v>45707</v>
      </c>
      <c r="C649" t="s">
        <v>939</v>
      </c>
      <c r="D649" t="s">
        <v>24</v>
      </c>
      <c r="E649" t="s">
        <v>25</v>
      </c>
      <c r="F649" t="s">
        <v>26</v>
      </c>
      <c r="G649" t="s">
        <v>35</v>
      </c>
      <c r="H649" t="s">
        <v>36</v>
      </c>
      <c r="I649">
        <v>3526.02</v>
      </c>
      <c r="J649">
        <v>9</v>
      </c>
      <c r="K649">
        <v>0.2</v>
      </c>
      <c r="L649">
        <v>236.86</v>
      </c>
      <c r="M649" t="s">
        <v>113</v>
      </c>
      <c r="N649" t="s">
        <v>80</v>
      </c>
      <c r="O649" t="str">
        <f t="shared" si="20"/>
        <v>Bad</v>
      </c>
      <c r="P649">
        <f t="shared" si="21"/>
        <v>391.78</v>
      </c>
      <c r="Q649">
        <v>45707</v>
      </c>
      <c r="R649">
        <f>YEAR(Table1[[#This Row],[Order_Date_New]])</f>
        <v>2025</v>
      </c>
      <c r="S649">
        <f>MONTH(Table1[[#This Row],[Order_Date_New]])</f>
        <v>2</v>
      </c>
      <c r="T649" t="str">
        <f>TEXT(Table1[[#This Row],[Order_Date_New]],"mmmm")</f>
        <v>February</v>
      </c>
      <c r="U649">
        <f>Table1[[#This Row],[Profit]]/Table1[[#This Row],[Sales]]</f>
        <v>6.7174888401086777E-2</v>
      </c>
      <c r="V649" t="str">
        <f>IF(Table1[[#This Row],[Discount]]=0,"No Discount",IF(Table1[[#This Row],[Discount]]&lt;=0.1,"Low",IF(Table1[[#This Row],[Discount]]&lt;=0.2,"medium","high")))</f>
        <v>medium</v>
      </c>
    </row>
    <row r="650" spans="1:22" x14ac:dyDescent="0.3">
      <c r="A650" t="s">
        <v>940</v>
      </c>
      <c r="B650" s="6">
        <v>45487</v>
      </c>
      <c r="C650" t="s">
        <v>248</v>
      </c>
      <c r="D650" t="s">
        <v>33</v>
      </c>
      <c r="E650" t="s">
        <v>34</v>
      </c>
      <c r="F650" t="s">
        <v>60</v>
      </c>
      <c r="G650" t="s">
        <v>78</v>
      </c>
      <c r="H650" t="s">
        <v>222</v>
      </c>
      <c r="I650">
        <v>260.01</v>
      </c>
      <c r="J650">
        <v>9</v>
      </c>
      <c r="K650">
        <v>0</v>
      </c>
      <c r="L650">
        <v>68.900000000000006</v>
      </c>
      <c r="M650" t="s">
        <v>105</v>
      </c>
      <c r="N650" t="s">
        <v>44</v>
      </c>
      <c r="O650" t="str">
        <f t="shared" si="20"/>
        <v>Bad</v>
      </c>
      <c r="P650">
        <f t="shared" si="21"/>
        <v>28.89</v>
      </c>
      <c r="Q650">
        <v>45487</v>
      </c>
      <c r="R650">
        <f>YEAR(Table1[[#This Row],[Order_Date_New]])</f>
        <v>2024</v>
      </c>
      <c r="S650">
        <f>MONTH(Table1[[#This Row],[Order_Date_New]])</f>
        <v>7</v>
      </c>
      <c r="T650" t="str">
        <f>TEXT(Table1[[#This Row],[Order_Date_New]],"mmmm")</f>
        <v>July</v>
      </c>
      <c r="U650">
        <f>Table1[[#This Row],[Profit]]/Table1[[#This Row],[Sales]]</f>
        <v>0.2649898080843045</v>
      </c>
      <c r="V650" t="str">
        <f>IF(Table1[[#This Row],[Discount]]=0,"No Discount",IF(Table1[[#This Row],[Discount]]&lt;=0.1,"Low",IF(Table1[[#This Row],[Discount]]&lt;=0.2,"medium","high")))</f>
        <v>No Discount</v>
      </c>
    </row>
    <row r="651" spans="1:22" x14ac:dyDescent="0.3">
      <c r="A651" t="s">
        <v>941</v>
      </c>
      <c r="B651" s="6">
        <v>45487</v>
      </c>
      <c r="C651" t="s">
        <v>609</v>
      </c>
      <c r="D651" t="s">
        <v>24</v>
      </c>
      <c r="E651" t="s">
        <v>25</v>
      </c>
      <c r="F651" t="s">
        <v>60</v>
      </c>
      <c r="G651" t="s">
        <v>61</v>
      </c>
      <c r="H651" t="s">
        <v>122</v>
      </c>
      <c r="I651">
        <v>817.08</v>
      </c>
      <c r="J651">
        <v>4</v>
      </c>
      <c r="K651">
        <v>0.2</v>
      </c>
      <c r="L651">
        <v>-106.36</v>
      </c>
      <c r="M651" t="s">
        <v>37</v>
      </c>
      <c r="N651" t="s">
        <v>38</v>
      </c>
      <c r="O651" t="str">
        <f t="shared" si="20"/>
        <v>Bad</v>
      </c>
      <c r="P651">
        <f t="shared" si="21"/>
        <v>204.27</v>
      </c>
      <c r="Q651">
        <v>45487</v>
      </c>
      <c r="R651">
        <f>YEAR(Table1[[#This Row],[Order_Date_New]])</f>
        <v>2024</v>
      </c>
      <c r="S651">
        <f>MONTH(Table1[[#This Row],[Order_Date_New]])</f>
        <v>7</v>
      </c>
      <c r="T651" t="str">
        <f>TEXT(Table1[[#This Row],[Order_Date_New]],"mmmm")</f>
        <v>July</v>
      </c>
      <c r="U651">
        <f>Table1[[#This Row],[Profit]]/Table1[[#This Row],[Sales]]</f>
        <v>-0.13017085230332404</v>
      </c>
      <c r="V651" t="str">
        <f>IF(Table1[[#This Row],[Discount]]=0,"No Discount",IF(Table1[[#This Row],[Discount]]&lt;=0.1,"Low",IF(Table1[[#This Row],[Discount]]&lt;=0.2,"medium","high")))</f>
        <v>medium</v>
      </c>
    </row>
    <row r="652" spans="1:22" x14ac:dyDescent="0.3">
      <c r="A652" t="s">
        <v>942</v>
      </c>
      <c r="B652" s="6">
        <v>45474</v>
      </c>
      <c r="C652" t="s">
        <v>895</v>
      </c>
      <c r="D652" t="s">
        <v>128</v>
      </c>
      <c r="E652" t="s">
        <v>129</v>
      </c>
      <c r="F652" t="s">
        <v>26</v>
      </c>
      <c r="G652" t="s">
        <v>27</v>
      </c>
      <c r="H652" t="s">
        <v>200</v>
      </c>
      <c r="I652">
        <v>5958.7</v>
      </c>
      <c r="J652">
        <v>5</v>
      </c>
      <c r="K652">
        <v>0</v>
      </c>
      <c r="L652">
        <v>1683.94</v>
      </c>
      <c r="M652" t="s">
        <v>113</v>
      </c>
      <c r="N652" t="s">
        <v>30</v>
      </c>
      <c r="O652" t="str">
        <f t="shared" si="20"/>
        <v>Bad</v>
      </c>
      <c r="P652">
        <f t="shared" si="21"/>
        <v>1191.74</v>
      </c>
      <c r="Q652">
        <v>45474</v>
      </c>
      <c r="R652">
        <f>YEAR(Table1[[#This Row],[Order_Date_New]])</f>
        <v>2024</v>
      </c>
      <c r="S652">
        <f>MONTH(Table1[[#This Row],[Order_Date_New]])</f>
        <v>7</v>
      </c>
      <c r="T652" t="str">
        <f>TEXT(Table1[[#This Row],[Order_Date_New]],"mmmm")</f>
        <v>July</v>
      </c>
      <c r="U652">
        <f>Table1[[#This Row],[Profit]]/Table1[[#This Row],[Sales]]</f>
        <v>0.28260190981254302</v>
      </c>
      <c r="V652" t="str">
        <f>IF(Table1[[#This Row],[Discount]]=0,"No Discount",IF(Table1[[#This Row],[Discount]]&lt;=0.1,"Low",IF(Table1[[#This Row],[Discount]]&lt;=0.2,"medium","high")))</f>
        <v>No Discount</v>
      </c>
    </row>
    <row r="653" spans="1:22" x14ac:dyDescent="0.3">
      <c r="A653" t="s">
        <v>943</v>
      </c>
      <c r="B653" s="6">
        <v>45990</v>
      </c>
      <c r="C653" t="s">
        <v>311</v>
      </c>
      <c r="D653" t="s">
        <v>24</v>
      </c>
      <c r="E653" t="s">
        <v>59</v>
      </c>
      <c r="F653" t="s">
        <v>60</v>
      </c>
      <c r="G653" t="s">
        <v>78</v>
      </c>
      <c r="H653" t="s">
        <v>222</v>
      </c>
      <c r="I653">
        <v>4756.8</v>
      </c>
      <c r="J653">
        <v>10</v>
      </c>
      <c r="K653">
        <v>0.05</v>
      </c>
      <c r="L653">
        <v>1652.38</v>
      </c>
      <c r="M653" t="s">
        <v>49</v>
      </c>
      <c r="N653" t="s">
        <v>80</v>
      </c>
      <c r="O653" t="str">
        <f t="shared" si="20"/>
        <v>Bad</v>
      </c>
      <c r="P653">
        <f t="shared" si="21"/>
        <v>475.68</v>
      </c>
      <c r="Q653">
        <v>45990</v>
      </c>
      <c r="R653">
        <f>YEAR(Table1[[#This Row],[Order_Date_New]])</f>
        <v>2025</v>
      </c>
      <c r="S653">
        <f>MONTH(Table1[[#This Row],[Order_Date_New]])</f>
        <v>11</v>
      </c>
      <c r="T653" t="str">
        <f>TEXT(Table1[[#This Row],[Order_Date_New]],"mmmm")</f>
        <v>November</v>
      </c>
      <c r="U653">
        <f>Table1[[#This Row],[Profit]]/Table1[[#This Row],[Sales]]</f>
        <v>0.34737218298015471</v>
      </c>
      <c r="V653" t="str">
        <f>IF(Table1[[#This Row],[Discount]]=0,"No Discount",IF(Table1[[#This Row],[Discount]]&lt;=0.1,"Low",IF(Table1[[#This Row],[Discount]]&lt;=0.2,"medium","high")))</f>
        <v>Low</v>
      </c>
    </row>
    <row r="654" spans="1:22" x14ac:dyDescent="0.3">
      <c r="A654" t="s">
        <v>944</v>
      </c>
      <c r="B654" s="6">
        <v>45770</v>
      </c>
      <c r="C654" t="s">
        <v>599</v>
      </c>
      <c r="D654" t="s">
        <v>24</v>
      </c>
      <c r="E654" t="s">
        <v>84</v>
      </c>
      <c r="F654" t="s">
        <v>26</v>
      </c>
      <c r="G654" t="s">
        <v>27</v>
      </c>
      <c r="H654" t="s">
        <v>28</v>
      </c>
      <c r="I654">
        <v>2476.1999999999998</v>
      </c>
      <c r="J654">
        <v>4</v>
      </c>
      <c r="K654">
        <v>0.15</v>
      </c>
      <c r="L654">
        <v>508.1</v>
      </c>
      <c r="M654" t="s">
        <v>170</v>
      </c>
      <c r="N654" t="s">
        <v>38</v>
      </c>
      <c r="O654" t="str">
        <f t="shared" si="20"/>
        <v>Bad</v>
      </c>
      <c r="P654">
        <f t="shared" si="21"/>
        <v>619.04999999999995</v>
      </c>
      <c r="Q654">
        <v>45770</v>
      </c>
      <c r="R654">
        <f>YEAR(Table1[[#This Row],[Order_Date_New]])</f>
        <v>2025</v>
      </c>
      <c r="S654">
        <f>MONTH(Table1[[#This Row],[Order_Date_New]])</f>
        <v>4</v>
      </c>
      <c r="T654" t="str">
        <f>TEXT(Table1[[#This Row],[Order_Date_New]],"mmmm")</f>
        <v>April</v>
      </c>
      <c r="U654">
        <f>Table1[[#This Row],[Profit]]/Table1[[#This Row],[Sales]]</f>
        <v>0.20519344156368632</v>
      </c>
      <c r="V654" t="str">
        <f>IF(Table1[[#This Row],[Discount]]=0,"No Discount",IF(Table1[[#This Row],[Discount]]&lt;=0.1,"Low",IF(Table1[[#This Row],[Discount]]&lt;=0.2,"medium","high")))</f>
        <v>medium</v>
      </c>
    </row>
    <row r="655" spans="1:22" x14ac:dyDescent="0.3">
      <c r="A655" t="s">
        <v>945</v>
      </c>
      <c r="B655" s="6">
        <v>45687</v>
      </c>
      <c r="C655" t="s">
        <v>427</v>
      </c>
      <c r="D655" t="s">
        <v>128</v>
      </c>
      <c r="E655" t="s">
        <v>202</v>
      </c>
      <c r="F655" t="s">
        <v>60</v>
      </c>
      <c r="G655" t="s">
        <v>78</v>
      </c>
      <c r="H655" t="s">
        <v>222</v>
      </c>
      <c r="I655">
        <v>8951.1299999999992</v>
      </c>
      <c r="J655">
        <v>9</v>
      </c>
      <c r="K655">
        <v>0.2</v>
      </c>
      <c r="L655">
        <v>1737.78</v>
      </c>
      <c r="M655" t="s">
        <v>170</v>
      </c>
      <c r="N655" t="s">
        <v>44</v>
      </c>
      <c r="O655" t="str">
        <f t="shared" si="20"/>
        <v>Good</v>
      </c>
      <c r="P655">
        <f t="shared" si="21"/>
        <v>994.56999999999994</v>
      </c>
      <c r="Q655">
        <v>45687</v>
      </c>
      <c r="R655">
        <f>YEAR(Table1[[#This Row],[Order_Date_New]])</f>
        <v>2025</v>
      </c>
      <c r="S655">
        <f>MONTH(Table1[[#This Row],[Order_Date_New]])</f>
        <v>1</v>
      </c>
      <c r="T655" t="str">
        <f>TEXT(Table1[[#This Row],[Order_Date_New]],"mmmm")</f>
        <v>January</v>
      </c>
      <c r="U655">
        <f>Table1[[#This Row],[Profit]]/Table1[[#This Row],[Sales]]</f>
        <v>0.19414085149025878</v>
      </c>
      <c r="V655" t="str">
        <f>IF(Table1[[#This Row],[Discount]]=0,"No Discount",IF(Table1[[#This Row],[Discount]]&lt;=0.1,"Low",IF(Table1[[#This Row],[Discount]]&lt;=0.2,"medium","high")))</f>
        <v>medium</v>
      </c>
    </row>
    <row r="656" spans="1:22" x14ac:dyDescent="0.3">
      <c r="A656" t="s">
        <v>946</v>
      </c>
      <c r="B656" s="6">
        <v>45538</v>
      </c>
      <c r="C656" t="s">
        <v>215</v>
      </c>
      <c r="D656" t="s">
        <v>53</v>
      </c>
      <c r="E656" t="s">
        <v>54</v>
      </c>
      <c r="F656" t="s">
        <v>60</v>
      </c>
      <c r="G656" t="s">
        <v>61</v>
      </c>
      <c r="H656" t="s">
        <v>67</v>
      </c>
      <c r="I656">
        <v>6868.98</v>
      </c>
      <c r="J656">
        <v>6</v>
      </c>
      <c r="K656">
        <v>0.1</v>
      </c>
      <c r="L656">
        <v>1645.73</v>
      </c>
      <c r="M656" t="s">
        <v>49</v>
      </c>
      <c r="N656" t="s">
        <v>80</v>
      </c>
      <c r="O656" t="str">
        <f t="shared" si="20"/>
        <v>Bad</v>
      </c>
      <c r="P656">
        <f t="shared" si="21"/>
        <v>1144.83</v>
      </c>
      <c r="Q656">
        <v>45538</v>
      </c>
      <c r="R656">
        <f>YEAR(Table1[[#This Row],[Order_Date_New]])</f>
        <v>2024</v>
      </c>
      <c r="S656">
        <f>MONTH(Table1[[#This Row],[Order_Date_New]])</f>
        <v>9</v>
      </c>
      <c r="T656" t="str">
        <f>TEXT(Table1[[#This Row],[Order_Date_New]],"mmmm")</f>
        <v>September</v>
      </c>
      <c r="U656">
        <f>Table1[[#This Row],[Profit]]/Table1[[#This Row],[Sales]]</f>
        <v>0.23958870167040813</v>
      </c>
      <c r="V656" t="str">
        <f>IF(Table1[[#This Row],[Discount]]=0,"No Discount",IF(Table1[[#This Row],[Discount]]&lt;=0.1,"Low",IF(Table1[[#This Row],[Discount]]&lt;=0.2,"medium","high")))</f>
        <v>Low</v>
      </c>
    </row>
    <row r="657" spans="1:22" x14ac:dyDescent="0.3">
      <c r="A657" t="s">
        <v>947</v>
      </c>
      <c r="B657" s="6">
        <v>45497</v>
      </c>
      <c r="C657" t="s">
        <v>556</v>
      </c>
      <c r="D657" t="s">
        <v>128</v>
      </c>
      <c r="E657" t="s">
        <v>132</v>
      </c>
      <c r="F657" t="s">
        <v>60</v>
      </c>
      <c r="G657" t="s">
        <v>78</v>
      </c>
      <c r="H657" t="s">
        <v>222</v>
      </c>
      <c r="I657">
        <v>788.48</v>
      </c>
      <c r="J657">
        <v>2</v>
      </c>
      <c r="K657">
        <v>0.05</v>
      </c>
      <c r="L657">
        <v>241.47</v>
      </c>
      <c r="M657" t="s">
        <v>37</v>
      </c>
      <c r="N657" t="s">
        <v>38</v>
      </c>
      <c r="O657" t="str">
        <f t="shared" si="20"/>
        <v>Bad</v>
      </c>
      <c r="P657">
        <f t="shared" si="21"/>
        <v>394.24</v>
      </c>
      <c r="Q657">
        <v>45497</v>
      </c>
      <c r="R657">
        <f>YEAR(Table1[[#This Row],[Order_Date_New]])</f>
        <v>2024</v>
      </c>
      <c r="S657">
        <f>MONTH(Table1[[#This Row],[Order_Date_New]])</f>
        <v>7</v>
      </c>
      <c r="T657" t="str">
        <f>TEXT(Table1[[#This Row],[Order_Date_New]],"mmmm")</f>
        <v>July</v>
      </c>
      <c r="U657">
        <f>Table1[[#This Row],[Profit]]/Table1[[#This Row],[Sales]]</f>
        <v>0.30624746347402598</v>
      </c>
      <c r="V657" t="str">
        <f>IF(Table1[[#This Row],[Discount]]=0,"No Discount",IF(Table1[[#This Row],[Discount]]&lt;=0.1,"Low",IF(Table1[[#This Row],[Discount]]&lt;=0.2,"medium","high")))</f>
        <v>Low</v>
      </c>
    </row>
    <row r="658" spans="1:22" x14ac:dyDescent="0.3">
      <c r="A658" t="s">
        <v>948</v>
      </c>
      <c r="B658" s="6">
        <v>45856</v>
      </c>
      <c r="C658" t="s">
        <v>47</v>
      </c>
      <c r="D658" t="s">
        <v>128</v>
      </c>
      <c r="E658" t="s">
        <v>202</v>
      </c>
      <c r="F658" t="s">
        <v>60</v>
      </c>
      <c r="G658" t="s">
        <v>78</v>
      </c>
      <c r="H658" t="s">
        <v>79</v>
      </c>
      <c r="I658">
        <v>2815.83</v>
      </c>
      <c r="J658">
        <v>9</v>
      </c>
      <c r="K658">
        <v>0.2</v>
      </c>
      <c r="L658">
        <v>88.72</v>
      </c>
      <c r="M658" t="s">
        <v>49</v>
      </c>
      <c r="N658" t="s">
        <v>80</v>
      </c>
      <c r="O658" t="str">
        <f t="shared" si="20"/>
        <v>Bad</v>
      </c>
      <c r="P658">
        <f t="shared" si="21"/>
        <v>312.87</v>
      </c>
      <c r="Q658">
        <v>45856</v>
      </c>
      <c r="R658">
        <f>YEAR(Table1[[#This Row],[Order_Date_New]])</f>
        <v>2025</v>
      </c>
      <c r="S658">
        <f>MONTH(Table1[[#This Row],[Order_Date_New]])</f>
        <v>7</v>
      </c>
      <c r="T658" t="str">
        <f>TEXT(Table1[[#This Row],[Order_Date_New]],"mmmm")</f>
        <v>July</v>
      </c>
      <c r="U658">
        <f>Table1[[#This Row],[Profit]]/Table1[[#This Row],[Sales]]</f>
        <v>3.1507583909539991E-2</v>
      </c>
      <c r="V658" t="str">
        <f>IF(Table1[[#This Row],[Discount]]=0,"No Discount",IF(Table1[[#This Row],[Discount]]&lt;=0.1,"Low",IF(Table1[[#This Row],[Discount]]&lt;=0.2,"medium","high")))</f>
        <v>medium</v>
      </c>
    </row>
    <row r="659" spans="1:22" x14ac:dyDescent="0.3">
      <c r="A659" t="s">
        <v>949</v>
      </c>
      <c r="B659" s="6">
        <v>45298</v>
      </c>
      <c r="C659" t="s">
        <v>556</v>
      </c>
      <c r="D659" t="s">
        <v>53</v>
      </c>
      <c r="E659" t="s">
        <v>54</v>
      </c>
      <c r="F659" t="s">
        <v>72</v>
      </c>
      <c r="G659" t="s">
        <v>88</v>
      </c>
      <c r="H659" t="s">
        <v>119</v>
      </c>
      <c r="I659">
        <v>6828.96</v>
      </c>
      <c r="J659">
        <v>8</v>
      </c>
      <c r="K659">
        <v>0.05</v>
      </c>
      <c r="L659">
        <v>1192.5899999999999</v>
      </c>
      <c r="M659" t="s">
        <v>113</v>
      </c>
      <c r="N659" t="s">
        <v>30</v>
      </c>
      <c r="O659" t="str">
        <f t="shared" si="20"/>
        <v>Good</v>
      </c>
      <c r="P659">
        <f t="shared" si="21"/>
        <v>853.62</v>
      </c>
      <c r="Q659">
        <v>45298</v>
      </c>
      <c r="R659">
        <f>YEAR(Table1[[#This Row],[Order_Date_New]])</f>
        <v>2024</v>
      </c>
      <c r="S659">
        <f>MONTH(Table1[[#This Row],[Order_Date_New]])</f>
        <v>1</v>
      </c>
      <c r="T659" t="str">
        <f>TEXT(Table1[[#This Row],[Order_Date_New]],"mmmm")</f>
        <v>January</v>
      </c>
      <c r="U659">
        <f>Table1[[#This Row],[Profit]]/Table1[[#This Row],[Sales]]</f>
        <v>0.17463713361917479</v>
      </c>
      <c r="V659" t="str">
        <f>IF(Table1[[#This Row],[Discount]]=0,"No Discount",IF(Table1[[#This Row],[Discount]]&lt;=0.1,"Low",IF(Table1[[#This Row],[Discount]]&lt;=0.2,"medium","high")))</f>
        <v>Low</v>
      </c>
    </row>
    <row r="660" spans="1:22" x14ac:dyDescent="0.3">
      <c r="A660" t="s">
        <v>950</v>
      </c>
      <c r="B660" s="6">
        <v>45364</v>
      </c>
      <c r="C660" t="s">
        <v>188</v>
      </c>
      <c r="D660" t="s">
        <v>53</v>
      </c>
      <c r="E660" t="s">
        <v>54</v>
      </c>
      <c r="F660" t="s">
        <v>60</v>
      </c>
      <c r="G660" t="s">
        <v>78</v>
      </c>
      <c r="H660" t="s">
        <v>125</v>
      </c>
      <c r="I660">
        <v>2283.6</v>
      </c>
      <c r="J660">
        <v>4</v>
      </c>
      <c r="K660">
        <v>0.25</v>
      </c>
      <c r="L660">
        <v>-384.32</v>
      </c>
      <c r="M660" t="s">
        <v>43</v>
      </c>
      <c r="N660" t="s">
        <v>44</v>
      </c>
      <c r="O660" t="str">
        <f t="shared" si="20"/>
        <v>Bad</v>
      </c>
      <c r="P660">
        <f t="shared" si="21"/>
        <v>570.9</v>
      </c>
      <c r="Q660">
        <v>45364</v>
      </c>
      <c r="R660">
        <f>YEAR(Table1[[#This Row],[Order_Date_New]])</f>
        <v>2024</v>
      </c>
      <c r="S660">
        <f>MONTH(Table1[[#This Row],[Order_Date_New]])</f>
        <v>3</v>
      </c>
      <c r="T660" t="str">
        <f>TEXT(Table1[[#This Row],[Order_Date_New]],"mmmm")</f>
        <v>March</v>
      </c>
      <c r="U660">
        <f>Table1[[#This Row],[Profit]]/Table1[[#This Row],[Sales]]</f>
        <v>-0.16829567349798563</v>
      </c>
      <c r="V660" t="str">
        <f>IF(Table1[[#This Row],[Discount]]=0,"No Discount",IF(Table1[[#This Row],[Discount]]&lt;=0.1,"Low",IF(Table1[[#This Row],[Discount]]&lt;=0.2,"medium","high")))</f>
        <v>high</v>
      </c>
    </row>
    <row r="661" spans="1:22" x14ac:dyDescent="0.3">
      <c r="A661" t="s">
        <v>951</v>
      </c>
      <c r="B661" s="6">
        <v>45638</v>
      </c>
      <c r="C661" t="s">
        <v>288</v>
      </c>
      <c r="D661" t="s">
        <v>128</v>
      </c>
      <c r="E661" t="s">
        <v>129</v>
      </c>
      <c r="F661" t="s">
        <v>26</v>
      </c>
      <c r="G661" t="s">
        <v>35</v>
      </c>
      <c r="H661" t="s">
        <v>173</v>
      </c>
      <c r="I661">
        <v>3086.13</v>
      </c>
      <c r="J661">
        <v>3</v>
      </c>
      <c r="K661">
        <v>0.15</v>
      </c>
      <c r="L661">
        <v>577.42999999999995</v>
      </c>
      <c r="M661" t="s">
        <v>68</v>
      </c>
      <c r="N661" t="s">
        <v>44</v>
      </c>
      <c r="O661" t="str">
        <f t="shared" si="20"/>
        <v>Bad</v>
      </c>
      <c r="P661">
        <f t="shared" si="21"/>
        <v>1028.71</v>
      </c>
      <c r="Q661">
        <v>45638</v>
      </c>
      <c r="R661">
        <f>YEAR(Table1[[#This Row],[Order_Date_New]])</f>
        <v>2024</v>
      </c>
      <c r="S661">
        <f>MONTH(Table1[[#This Row],[Order_Date_New]])</f>
        <v>12</v>
      </c>
      <c r="T661" t="str">
        <f>TEXT(Table1[[#This Row],[Order_Date_New]],"mmmm")</f>
        <v>December</v>
      </c>
      <c r="U661">
        <f>Table1[[#This Row],[Profit]]/Table1[[#This Row],[Sales]]</f>
        <v>0.18710488540664194</v>
      </c>
      <c r="V661" t="str">
        <f>IF(Table1[[#This Row],[Discount]]=0,"No Discount",IF(Table1[[#This Row],[Discount]]&lt;=0.1,"Low",IF(Table1[[#This Row],[Discount]]&lt;=0.2,"medium","high")))</f>
        <v>medium</v>
      </c>
    </row>
    <row r="662" spans="1:22" x14ac:dyDescent="0.3">
      <c r="A662" t="s">
        <v>952</v>
      </c>
      <c r="B662" s="6">
        <v>45945</v>
      </c>
      <c r="C662" t="s">
        <v>354</v>
      </c>
      <c r="D662" t="s">
        <v>33</v>
      </c>
      <c r="E662" t="s">
        <v>66</v>
      </c>
      <c r="F662" t="s">
        <v>26</v>
      </c>
      <c r="G662" t="s">
        <v>35</v>
      </c>
      <c r="H662" t="s">
        <v>55</v>
      </c>
      <c r="I662">
        <v>3039.57</v>
      </c>
      <c r="J662">
        <v>3</v>
      </c>
      <c r="K662">
        <v>0.3</v>
      </c>
      <c r="L662">
        <v>249.52</v>
      </c>
      <c r="M662" t="s">
        <v>90</v>
      </c>
      <c r="N662" t="s">
        <v>30</v>
      </c>
      <c r="O662" t="str">
        <f t="shared" si="20"/>
        <v>Bad</v>
      </c>
      <c r="P662">
        <f t="shared" si="21"/>
        <v>1013.19</v>
      </c>
      <c r="Q662">
        <v>45945</v>
      </c>
      <c r="R662">
        <f>YEAR(Table1[[#This Row],[Order_Date_New]])</f>
        <v>2025</v>
      </c>
      <c r="S662">
        <f>MONTH(Table1[[#This Row],[Order_Date_New]])</f>
        <v>10</v>
      </c>
      <c r="T662" t="str">
        <f>TEXT(Table1[[#This Row],[Order_Date_New]],"mmmm")</f>
        <v>October</v>
      </c>
      <c r="U662">
        <f>Table1[[#This Row],[Profit]]/Table1[[#This Row],[Sales]]</f>
        <v>8.2090558861944288E-2</v>
      </c>
      <c r="V662" t="str">
        <f>IF(Table1[[#This Row],[Discount]]=0,"No Discount",IF(Table1[[#This Row],[Discount]]&lt;=0.1,"Low",IF(Table1[[#This Row],[Discount]]&lt;=0.2,"medium","high")))</f>
        <v>high</v>
      </c>
    </row>
    <row r="663" spans="1:22" x14ac:dyDescent="0.3">
      <c r="A663" t="s">
        <v>953</v>
      </c>
      <c r="B663" s="6">
        <v>45793</v>
      </c>
      <c r="C663" t="s">
        <v>659</v>
      </c>
      <c r="D663" t="s">
        <v>24</v>
      </c>
      <c r="E663" t="s">
        <v>59</v>
      </c>
      <c r="F663" t="s">
        <v>60</v>
      </c>
      <c r="G663" t="s">
        <v>61</v>
      </c>
      <c r="H663" t="s">
        <v>67</v>
      </c>
      <c r="I663">
        <v>6604.38</v>
      </c>
      <c r="J663">
        <v>9</v>
      </c>
      <c r="K663">
        <v>0</v>
      </c>
      <c r="L663">
        <v>2780.36</v>
      </c>
      <c r="M663" t="s">
        <v>105</v>
      </c>
      <c r="N663" t="s">
        <v>80</v>
      </c>
      <c r="O663" t="str">
        <f t="shared" si="20"/>
        <v>Good</v>
      </c>
      <c r="P663">
        <f t="shared" si="21"/>
        <v>733.82</v>
      </c>
      <c r="Q663">
        <v>45793</v>
      </c>
      <c r="R663">
        <f>YEAR(Table1[[#This Row],[Order_Date_New]])</f>
        <v>2025</v>
      </c>
      <c r="S663">
        <f>MONTH(Table1[[#This Row],[Order_Date_New]])</f>
        <v>5</v>
      </c>
      <c r="T663" t="str">
        <f>TEXT(Table1[[#This Row],[Order_Date_New]],"mmmm")</f>
        <v>May</v>
      </c>
      <c r="U663">
        <f>Table1[[#This Row],[Profit]]/Table1[[#This Row],[Sales]]</f>
        <v>0.42098728419624554</v>
      </c>
      <c r="V663" t="str">
        <f>IF(Table1[[#This Row],[Discount]]=0,"No Discount",IF(Table1[[#This Row],[Discount]]&lt;=0.1,"Low",IF(Table1[[#This Row],[Discount]]&lt;=0.2,"medium","high")))</f>
        <v>No Discount</v>
      </c>
    </row>
    <row r="664" spans="1:22" x14ac:dyDescent="0.3">
      <c r="A664" t="s">
        <v>954</v>
      </c>
      <c r="B664" s="6">
        <v>45857</v>
      </c>
      <c r="C664" t="s">
        <v>163</v>
      </c>
      <c r="D664" t="s">
        <v>24</v>
      </c>
      <c r="E664" t="s">
        <v>97</v>
      </c>
      <c r="F664" t="s">
        <v>72</v>
      </c>
      <c r="G664" t="s">
        <v>73</v>
      </c>
      <c r="H664" t="s">
        <v>102</v>
      </c>
      <c r="I664">
        <v>5846.46</v>
      </c>
      <c r="J664">
        <v>6</v>
      </c>
      <c r="K664">
        <v>0.3</v>
      </c>
      <c r="L664">
        <v>-877.6</v>
      </c>
      <c r="M664" t="s">
        <v>49</v>
      </c>
      <c r="N664" t="s">
        <v>30</v>
      </c>
      <c r="O664" t="str">
        <f t="shared" si="20"/>
        <v>Bad</v>
      </c>
      <c r="P664">
        <f t="shared" si="21"/>
        <v>974.41</v>
      </c>
      <c r="Q664">
        <v>45857</v>
      </c>
      <c r="R664">
        <f>YEAR(Table1[[#This Row],[Order_Date_New]])</f>
        <v>2025</v>
      </c>
      <c r="S664">
        <f>MONTH(Table1[[#This Row],[Order_Date_New]])</f>
        <v>7</v>
      </c>
      <c r="T664" t="str">
        <f>TEXT(Table1[[#This Row],[Order_Date_New]],"mmmm")</f>
        <v>July</v>
      </c>
      <c r="U664">
        <f>Table1[[#This Row],[Profit]]/Table1[[#This Row],[Sales]]</f>
        <v>-0.15010792855847813</v>
      </c>
      <c r="V664" t="str">
        <f>IF(Table1[[#This Row],[Discount]]=0,"No Discount",IF(Table1[[#This Row],[Discount]]&lt;=0.1,"Low",IF(Table1[[#This Row],[Discount]]&lt;=0.2,"medium","high")))</f>
        <v>high</v>
      </c>
    </row>
    <row r="665" spans="1:22" x14ac:dyDescent="0.3">
      <c r="A665" t="s">
        <v>955</v>
      </c>
      <c r="B665" s="6">
        <v>46000</v>
      </c>
      <c r="C665" t="s">
        <v>273</v>
      </c>
      <c r="D665" t="s">
        <v>24</v>
      </c>
      <c r="E665" t="s">
        <v>25</v>
      </c>
      <c r="F665" t="s">
        <v>72</v>
      </c>
      <c r="G665" t="s">
        <v>111</v>
      </c>
      <c r="H665" t="s">
        <v>182</v>
      </c>
      <c r="I665">
        <v>7543.08</v>
      </c>
      <c r="J665">
        <v>9</v>
      </c>
      <c r="K665">
        <v>0.25</v>
      </c>
      <c r="L665">
        <v>-659.09</v>
      </c>
      <c r="M665" t="s">
        <v>43</v>
      </c>
      <c r="N665" t="s">
        <v>44</v>
      </c>
      <c r="O665" t="str">
        <f t="shared" si="20"/>
        <v>Good</v>
      </c>
      <c r="P665">
        <f t="shared" si="21"/>
        <v>838.12</v>
      </c>
      <c r="Q665">
        <v>46000</v>
      </c>
      <c r="R665">
        <f>YEAR(Table1[[#This Row],[Order_Date_New]])</f>
        <v>2025</v>
      </c>
      <c r="S665">
        <f>MONTH(Table1[[#This Row],[Order_Date_New]])</f>
        <v>12</v>
      </c>
      <c r="T665" t="str">
        <f>TEXT(Table1[[#This Row],[Order_Date_New]],"mmmm")</f>
        <v>December</v>
      </c>
      <c r="U665">
        <f>Table1[[#This Row],[Profit]]/Table1[[#This Row],[Sales]]</f>
        <v>-8.737677447408751E-2</v>
      </c>
      <c r="V665" t="str">
        <f>IF(Table1[[#This Row],[Discount]]=0,"No Discount",IF(Table1[[#This Row],[Discount]]&lt;=0.1,"Low",IF(Table1[[#This Row],[Discount]]&lt;=0.2,"medium","high")))</f>
        <v>high</v>
      </c>
    </row>
    <row r="666" spans="1:22" x14ac:dyDescent="0.3">
      <c r="A666" t="s">
        <v>956</v>
      </c>
      <c r="B666" s="6">
        <v>45842</v>
      </c>
      <c r="C666" t="s">
        <v>601</v>
      </c>
      <c r="D666" t="s">
        <v>128</v>
      </c>
      <c r="E666" t="s">
        <v>202</v>
      </c>
      <c r="F666" t="s">
        <v>72</v>
      </c>
      <c r="G666" t="s">
        <v>88</v>
      </c>
      <c r="H666" t="s">
        <v>89</v>
      </c>
      <c r="I666">
        <v>1887.74</v>
      </c>
      <c r="J666">
        <v>2</v>
      </c>
      <c r="K666">
        <v>0.05</v>
      </c>
      <c r="L666">
        <v>95.72</v>
      </c>
      <c r="M666" t="s">
        <v>170</v>
      </c>
      <c r="N666" t="s">
        <v>38</v>
      </c>
      <c r="O666" t="str">
        <f t="shared" si="20"/>
        <v>Bad</v>
      </c>
      <c r="P666">
        <f t="shared" si="21"/>
        <v>943.87</v>
      </c>
      <c r="Q666">
        <v>45842</v>
      </c>
      <c r="R666">
        <f>YEAR(Table1[[#This Row],[Order_Date_New]])</f>
        <v>2025</v>
      </c>
      <c r="S666">
        <f>MONTH(Table1[[#This Row],[Order_Date_New]])</f>
        <v>7</v>
      </c>
      <c r="T666" t="str">
        <f>TEXT(Table1[[#This Row],[Order_Date_New]],"mmmm")</f>
        <v>July</v>
      </c>
      <c r="U666">
        <f>Table1[[#This Row],[Profit]]/Table1[[#This Row],[Sales]]</f>
        <v>5.0706135378812758E-2</v>
      </c>
      <c r="V666" t="str">
        <f>IF(Table1[[#This Row],[Discount]]=0,"No Discount",IF(Table1[[#This Row],[Discount]]&lt;=0.1,"Low",IF(Table1[[#This Row],[Discount]]&lt;=0.2,"medium","high")))</f>
        <v>Low</v>
      </c>
    </row>
    <row r="667" spans="1:22" x14ac:dyDescent="0.3">
      <c r="A667" t="s">
        <v>957</v>
      </c>
      <c r="B667" s="6">
        <v>45432</v>
      </c>
      <c r="C667" t="s">
        <v>454</v>
      </c>
      <c r="D667" t="s">
        <v>33</v>
      </c>
      <c r="E667" t="s">
        <v>48</v>
      </c>
      <c r="F667" t="s">
        <v>72</v>
      </c>
      <c r="G667" t="s">
        <v>73</v>
      </c>
      <c r="H667" t="s">
        <v>293</v>
      </c>
      <c r="I667">
        <v>7645.89</v>
      </c>
      <c r="J667">
        <v>7</v>
      </c>
      <c r="K667">
        <v>0.05</v>
      </c>
      <c r="L667">
        <v>945.67</v>
      </c>
      <c r="M667" t="s">
        <v>113</v>
      </c>
      <c r="N667" t="s">
        <v>38</v>
      </c>
      <c r="O667" t="str">
        <f t="shared" si="20"/>
        <v>Bad</v>
      </c>
      <c r="P667">
        <f t="shared" si="21"/>
        <v>1092.27</v>
      </c>
      <c r="Q667">
        <v>45432</v>
      </c>
      <c r="R667">
        <f>YEAR(Table1[[#This Row],[Order_Date_New]])</f>
        <v>2024</v>
      </c>
      <c r="S667">
        <f>MONTH(Table1[[#This Row],[Order_Date_New]])</f>
        <v>5</v>
      </c>
      <c r="T667" t="str">
        <f>TEXT(Table1[[#This Row],[Order_Date_New]],"mmmm")</f>
        <v>May</v>
      </c>
      <c r="U667">
        <f>Table1[[#This Row],[Profit]]/Table1[[#This Row],[Sales]]</f>
        <v>0.12368344300009547</v>
      </c>
      <c r="V667" t="str">
        <f>IF(Table1[[#This Row],[Discount]]=0,"No Discount",IF(Table1[[#This Row],[Discount]]&lt;=0.1,"Low",IF(Table1[[#This Row],[Discount]]&lt;=0.2,"medium","high")))</f>
        <v>Low</v>
      </c>
    </row>
    <row r="668" spans="1:22" x14ac:dyDescent="0.3">
      <c r="A668" t="s">
        <v>958</v>
      </c>
      <c r="B668" s="6">
        <v>45772</v>
      </c>
      <c r="C668" t="s">
        <v>518</v>
      </c>
      <c r="D668" t="s">
        <v>53</v>
      </c>
      <c r="E668" t="s">
        <v>87</v>
      </c>
      <c r="F668" t="s">
        <v>72</v>
      </c>
      <c r="G668" t="s">
        <v>73</v>
      </c>
      <c r="H668" t="s">
        <v>293</v>
      </c>
      <c r="I668">
        <v>3463.38</v>
      </c>
      <c r="J668">
        <v>9</v>
      </c>
      <c r="K668">
        <v>0.1</v>
      </c>
      <c r="L668">
        <v>171.98</v>
      </c>
      <c r="M668" t="s">
        <v>49</v>
      </c>
      <c r="N668" t="s">
        <v>80</v>
      </c>
      <c r="O668" t="str">
        <f t="shared" si="20"/>
        <v>Bad</v>
      </c>
      <c r="P668">
        <f t="shared" si="21"/>
        <v>384.82</v>
      </c>
      <c r="Q668">
        <v>45772</v>
      </c>
      <c r="R668">
        <f>YEAR(Table1[[#This Row],[Order_Date_New]])</f>
        <v>2025</v>
      </c>
      <c r="S668">
        <f>MONTH(Table1[[#This Row],[Order_Date_New]])</f>
        <v>4</v>
      </c>
      <c r="T668" t="str">
        <f>TEXT(Table1[[#This Row],[Order_Date_New]],"mmmm")</f>
        <v>April</v>
      </c>
      <c r="U668">
        <f>Table1[[#This Row],[Profit]]/Table1[[#This Row],[Sales]]</f>
        <v>4.9656693750036091E-2</v>
      </c>
      <c r="V668" t="str">
        <f>IF(Table1[[#This Row],[Discount]]=0,"No Discount",IF(Table1[[#This Row],[Discount]]&lt;=0.1,"Low",IF(Table1[[#This Row],[Discount]]&lt;=0.2,"medium","high")))</f>
        <v>Low</v>
      </c>
    </row>
    <row r="669" spans="1:22" x14ac:dyDescent="0.3">
      <c r="A669" t="s">
        <v>959</v>
      </c>
      <c r="B669" s="6">
        <v>45826</v>
      </c>
      <c r="C669" t="s">
        <v>367</v>
      </c>
      <c r="D669" t="s">
        <v>128</v>
      </c>
      <c r="E669" t="s">
        <v>202</v>
      </c>
      <c r="F669" t="s">
        <v>60</v>
      </c>
      <c r="G669" t="s">
        <v>78</v>
      </c>
      <c r="H669" t="s">
        <v>222</v>
      </c>
      <c r="I669">
        <v>363.12</v>
      </c>
      <c r="J669">
        <v>3</v>
      </c>
      <c r="K669">
        <v>0.1</v>
      </c>
      <c r="L669">
        <v>50.23</v>
      </c>
      <c r="M669" t="s">
        <v>37</v>
      </c>
      <c r="N669" t="s">
        <v>80</v>
      </c>
      <c r="O669" t="str">
        <f t="shared" si="20"/>
        <v>Bad</v>
      </c>
      <c r="P669">
        <f t="shared" si="21"/>
        <v>121.04</v>
      </c>
      <c r="Q669">
        <v>45826</v>
      </c>
      <c r="R669">
        <f>YEAR(Table1[[#This Row],[Order_Date_New]])</f>
        <v>2025</v>
      </c>
      <c r="S669">
        <f>MONTH(Table1[[#This Row],[Order_Date_New]])</f>
        <v>6</v>
      </c>
      <c r="T669" t="str">
        <f>TEXT(Table1[[#This Row],[Order_Date_New]],"mmmm")</f>
        <v>June</v>
      </c>
      <c r="U669">
        <f>Table1[[#This Row],[Profit]]/Table1[[#This Row],[Sales]]</f>
        <v>0.13832892707644856</v>
      </c>
      <c r="V669" t="str">
        <f>IF(Table1[[#This Row],[Discount]]=0,"No Discount",IF(Table1[[#This Row],[Discount]]&lt;=0.1,"Low",IF(Table1[[#This Row],[Discount]]&lt;=0.2,"medium","high")))</f>
        <v>Low</v>
      </c>
    </row>
    <row r="670" spans="1:22" x14ac:dyDescent="0.3">
      <c r="A670" t="s">
        <v>960</v>
      </c>
      <c r="B670" s="6">
        <v>45599</v>
      </c>
      <c r="C670" t="s">
        <v>86</v>
      </c>
      <c r="D670" t="s">
        <v>24</v>
      </c>
      <c r="E670" t="s">
        <v>84</v>
      </c>
      <c r="F670" t="s">
        <v>60</v>
      </c>
      <c r="G670" t="s">
        <v>78</v>
      </c>
      <c r="H670" t="s">
        <v>79</v>
      </c>
      <c r="I670">
        <v>162.28</v>
      </c>
      <c r="J670">
        <v>4</v>
      </c>
      <c r="K670">
        <v>0.05</v>
      </c>
      <c r="L670">
        <v>48.67</v>
      </c>
      <c r="M670" t="s">
        <v>105</v>
      </c>
      <c r="N670" t="s">
        <v>80</v>
      </c>
      <c r="O670" t="str">
        <f t="shared" si="20"/>
        <v>Bad</v>
      </c>
      <c r="P670">
        <f t="shared" si="21"/>
        <v>40.57</v>
      </c>
      <c r="Q670">
        <v>45599</v>
      </c>
      <c r="R670">
        <f>YEAR(Table1[[#This Row],[Order_Date_New]])</f>
        <v>2024</v>
      </c>
      <c r="S670">
        <f>MONTH(Table1[[#This Row],[Order_Date_New]])</f>
        <v>11</v>
      </c>
      <c r="T670" t="str">
        <f>TEXT(Table1[[#This Row],[Order_Date_New]],"mmmm")</f>
        <v>November</v>
      </c>
      <c r="U670">
        <f>Table1[[#This Row],[Profit]]/Table1[[#This Row],[Sales]]</f>
        <v>0.29991372935666749</v>
      </c>
      <c r="V670" t="str">
        <f>IF(Table1[[#This Row],[Discount]]=0,"No Discount",IF(Table1[[#This Row],[Discount]]&lt;=0.1,"Low",IF(Table1[[#This Row],[Discount]]&lt;=0.2,"medium","high")))</f>
        <v>Low</v>
      </c>
    </row>
    <row r="671" spans="1:22" x14ac:dyDescent="0.3">
      <c r="A671" t="s">
        <v>961</v>
      </c>
      <c r="B671" s="6">
        <v>45507</v>
      </c>
      <c r="C671" t="s">
        <v>285</v>
      </c>
      <c r="D671" t="s">
        <v>33</v>
      </c>
      <c r="E671" t="s">
        <v>48</v>
      </c>
      <c r="F671" t="s">
        <v>26</v>
      </c>
      <c r="G671" t="s">
        <v>41</v>
      </c>
      <c r="H671" t="s">
        <v>42</v>
      </c>
      <c r="I671">
        <v>3088.89</v>
      </c>
      <c r="J671">
        <v>3</v>
      </c>
      <c r="K671">
        <v>0.2</v>
      </c>
      <c r="L671">
        <v>-205.08</v>
      </c>
      <c r="M671" t="s">
        <v>43</v>
      </c>
      <c r="N671" t="s">
        <v>44</v>
      </c>
      <c r="O671" t="str">
        <f t="shared" si="20"/>
        <v>Bad</v>
      </c>
      <c r="P671">
        <f t="shared" si="21"/>
        <v>1029.6299999999999</v>
      </c>
      <c r="Q671">
        <v>45507</v>
      </c>
      <c r="R671">
        <f>YEAR(Table1[[#This Row],[Order_Date_New]])</f>
        <v>2024</v>
      </c>
      <c r="S671">
        <f>MONTH(Table1[[#This Row],[Order_Date_New]])</f>
        <v>8</v>
      </c>
      <c r="T671" t="str">
        <f>TEXT(Table1[[#This Row],[Order_Date_New]],"mmmm")</f>
        <v>August</v>
      </c>
      <c r="U671">
        <f>Table1[[#This Row],[Profit]]/Table1[[#This Row],[Sales]]</f>
        <v>-6.6392781873100049E-2</v>
      </c>
      <c r="V671" t="str">
        <f>IF(Table1[[#This Row],[Discount]]=0,"No Discount",IF(Table1[[#This Row],[Discount]]&lt;=0.1,"Low",IF(Table1[[#This Row],[Discount]]&lt;=0.2,"medium","high")))</f>
        <v>medium</v>
      </c>
    </row>
    <row r="672" spans="1:22" x14ac:dyDescent="0.3">
      <c r="A672" t="s">
        <v>962</v>
      </c>
      <c r="B672" s="6">
        <v>45576</v>
      </c>
      <c r="C672" t="s">
        <v>161</v>
      </c>
      <c r="D672" t="s">
        <v>24</v>
      </c>
      <c r="E672" t="s">
        <v>59</v>
      </c>
      <c r="F672" t="s">
        <v>60</v>
      </c>
      <c r="G672" t="s">
        <v>78</v>
      </c>
      <c r="H672" t="s">
        <v>79</v>
      </c>
      <c r="I672">
        <v>2454.27</v>
      </c>
      <c r="J672">
        <v>3</v>
      </c>
      <c r="K672">
        <v>0.15</v>
      </c>
      <c r="L672">
        <v>-219.41</v>
      </c>
      <c r="M672" t="s">
        <v>105</v>
      </c>
      <c r="N672" t="s">
        <v>44</v>
      </c>
      <c r="O672" t="str">
        <f t="shared" si="20"/>
        <v>Bad</v>
      </c>
      <c r="P672">
        <f t="shared" si="21"/>
        <v>818.09</v>
      </c>
      <c r="Q672">
        <v>45576</v>
      </c>
      <c r="R672">
        <f>YEAR(Table1[[#This Row],[Order_Date_New]])</f>
        <v>2024</v>
      </c>
      <c r="S672">
        <f>MONTH(Table1[[#This Row],[Order_Date_New]])</f>
        <v>10</v>
      </c>
      <c r="T672" t="str">
        <f>TEXT(Table1[[#This Row],[Order_Date_New]],"mmmm")</f>
        <v>October</v>
      </c>
      <c r="U672">
        <f>Table1[[#This Row],[Profit]]/Table1[[#This Row],[Sales]]</f>
        <v>-8.9399291846455356E-2</v>
      </c>
      <c r="V672" t="str">
        <f>IF(Table1[[#This Row],[Discount]]=0,"No Discount",IF(Table1[[#This Row],[Discount]]&lt;=0.1,"Low",IF(Table1[[#This Row],[Discount]]&lt;=0.2,"medium","high")))</f>
        <v>medium</v>
      </c>
    </row>
    <row r="673" spans="1:22" x14ac:dyDescent="0.3">
      <c r="A673" t="s">
        <v>963</v>
      </c>
      <c r="B673" s="6">
        <v>45406</v>
      </c>
      <c r="C673" t="s">
        <v>150</v>
      </c>
      <c r="D673" t="s">
        <v>53</v>
      </c>
      <c r="E673" t="s">
        <v>54</v>
      </c>
      <c r="F673" t="s">
        <v>26</v>
      </c>
      <c r="G673" t="s">
        <v>27</v>
      </c>
      <c r="H673" t="s">
        <v>28</v>
      </c>
      <c r="I673">
        <v>1143.3800000000001</v>
      </c>
      <c r="J673">
        <v>2</v>
      </c>
      <c r="K673">
        <v>0.05</v>
      </c>
      <c r="L673">
        <v>108.57</v>
      </c>
      <c r="M673" t="s">
        <v>49</v>
      </c>
      <c r="N673" t="s">
        <v>44</v>
      </c>
      <c r="O673" t="str">
        <f t="shared" si="20"/>
        <v>Bad</v>
      </c>
      <c r="P673">
        <f t="shared" si="21"/>
        <v>571.69000000000005</v>
      </c>
      <c r="Q673">
        <v>45406</v>
      </c>
      <c r="R673">
        <f>YEAR(Table1[[#This Row],[Order_Date_New]])</f>
        <v>2024</v>
      </c>
      <c r="S673">
        <f>MONTH(Table1[[#This Row],[Order_Date_New]])</f>
        <v>4</v>
      </c>
      <c r="T673" t="str">
        <f>TEXT(Table1[[#This Row],[Order_Date_New]],"mmmm")</f>
        <v>April</v>
      </c>
      <c r="U673">
        <f>Table1[[#This Row],[Profit]]/Table1[[#This Row],[Sales]]</f>
        <v>9.4955307946614415E-2</v>
      </c>
      <c r="V673" t="str">
        <f>IF(Table1[[#This Row],[Discount]]=0,"No Discount",IF(Table1[[#This Row],[Discount]]&lt;=0.1,"Low",IF(Table1[[#This Row],[Discount]]&lt;=0.2,"medium","high")))</f>
        <v>Low</v>
      </c>
    </row>
    <row r="674" spans="1:22" x14ac:dyDescent="0.3">
      <c r="A674" t="s">
        <v>964</v>
      </c>
      <c r="B674" s="6">
        <v>45687</v>
      </c>
      <c r="C674" t="s">
        <v>246</v>
      </c>
      <c r="D674" t="s">
        <v>33</v>
      </c>
      <c r="E674" t="s">
        <v>118</v>
      </c>
      <c r="F674" t="s">
        <v>26</v>
      </c>
      <c r="G674" t="s">
        <v>41</v>
      </c>
      <c r="H674" t="s">
        <v>189</v>
      </c>
      <c r="I674">
        <v>4499.46</v>
      </c>
      <c r="J674">
        <v>6</v>
      </c>
      <c r="K674">
        <v>0</v>
      </c>
      <c r="L674">
        <v>1658.78</v>
      </c>
      <c r="M674" t="s">
        <v>170</v>
      </c>
      <c r="N674" t="s">
        <v>80</v>
      </c>
      <c r="O674" t="str">
        <f t="shared" si="20"/>
        <v>Bad</v>
      </c>
      <c r="P674">
        <f t="shared" si="21"/>
        <v>749.91</v>
      </c>
      <c r="Q674">
        <v>45687</v>
      </c>
      <c r="R674">
        <f>YEAR(Table1[[#This Row],[Order_Date_New]])</f>
        <v>2025</v>
      </c>
      <c r="S674">
        <f>MONTH(Table1[[#This Row],[Order_Date_New]])</f>
        <v>1</v>
      </c>
      <c r="T674" t="str">
        <f>TEXT(Table1[[#This Row],[Order_Date_New]],"mmmm")</f>
        <v>January</v>
      </c>
      <c r="U674">
        <f>Table1[[#This Row],[Profit]]/Table1[[#This Row],[Sales]]</f>
        <v>0.36866201721984415</v>
      </c>
      <c r="V674" t="str">
        <f>IF(Table1[[#This Row],[Discount]]=0,"No Discount",IF(Table1[[#This Row],[Discount]]&lt;=0.1,"Low",IF(Table1[[#This Row],[Discount]]&lt;=0.2,"medium","high")))</f>
        <v>No Discount</v>
      </c>
    </row>
    <row r="675" spans="1:22" x14ac:dyDescent="0.3">
      <c r="A675" t="s">
        <v>965</v>
      </c>
      <c r="B675" s="6">
        <v>45347</v>
      </c>
      <c r="C675" t="s">
        <v>687</v>
      </c>
      <c r="D675" t="s">
        <v>128</v>
      </c>
      <c r="E675" t="s">
        <v>132</v>
      </c>
      <c r="F675" t="s">
        <v>60</v>
      </c>
      <c r="G675" t="s">
        <v>98</v>
      </c>
      <c r="H675" t="s">
        <v>138</v>
      </c>
      <c r="I675">
        <v>230.28</v>
      </c>
      <c r="J675">
        <v>2</v>
      </c>
      <c r="K675">
        <v>0</v>
      </c>
      <c r="L675">
        <v>52.39</v>
      </c>
      <c r="M675" t="s">
        <v>170</v>
      </c>
      <c r="N675" t="s">
        <v>44</v>
      </c>
      <c r="O675" t="str">
        <f t="shared" si="20"/>
        <v>Bad</v>
      </c>
      <c r="P675">
        <f t="shared" si="21"/>
        <v>115.14</v>
      </c>
      <c r="Q675">
        <v>45347</v>
      </c>
      <c r="R675">
        <f>YEAR(Table1[[#This Row],[Order_Date_New]])</f>
        <v>2024</v>
      </c>
      <c r="S675">
        <f>MONTH(Table1[[#This Row],[Order_Date_New]])</f>
        <v>2</v>
      </c>
      <c r="T675" t="str">
        <f>TEXT(Table1[[#This Row],[Order_Date_New]],"mmmm")</f>
        <v>February</v>
      </c>
      <c r="U675">
        <f>Table1[[#This Row],[Profit]]/Table1[[#This Row],[Sales]]</f>
        <v>0.22750564530137224</v>
      </c>
      <c r="V675" t="str">
        <f>IF(Table1[[#This Row],[Discount]]=0,"No Discount",IF(Table1[[#This Row],[Discount]]&lt;=0.1,"Low",IF(Table1[[#This Row],[Discount]]&lt;=0.2,"medium","high")))</f>
        <v>No Discount</v>
      </c>
    </row>
    <row r="676" spans="1:22" x14ac:dyDescent="0.3">
      <c r="A676" t="s">
        <v>966</v>
      </c>
      <c r="B676" s="6">
        <v>45589</v>
      </c>
      <c r="C676" t="s">
        <v>266</v>
      </c>
      <c r="D676" t="s">
        <v>128</v>
      </c>
      <c r="E676" t="s">
        <v>146</v>
      </c>
      <c r="F676" t="s">
        <v>26</v>
      </c>
      <c r="G676" t="s">
        <v>41</v>
      </c>
      <c r="H676" t="s">
        <v>189</v>
      </c>
      <c r="I676">
        <v>3270.15</v>
      </c>
      <c r="J676">
        <v>9</v>
      </c>
      <c r="K676">
        <v>0.05</v>
      </c>
      <c r="L676">
        <v>1153.78</v>
      </c>
      <c r="M676" t="s">
        <v>113</v>
      </c>
      <c r="N676" t="s">
        <v>80</v>
      </c>
      <c r="O676" t="str">
        <f t="shared" si="20"/>
        <v>Bad</v>
      </c>
      <c r="P676">
        <f t="shared" si="21"/>
        <v>363.35</v>
      </c>
      <c r="Q676">
        <v>45589</v>
      </c>
      <c r="R676">
        <f>YEAR(Table1[[#This Row],[Order_Date_New]])</f>
        <v>2024</v>
      </c>
      <c r="S676">
        <f>MONTH(Table1[[#This Row],[Order_Date_New]])</f>
        <v>10</v>
      </c>
      <c r="T676" t="str">
        <f>TEXT(Table1[[#This Row],[Order_Date_New]],"mmmm")</f>
        <v>October</v>
      </c>
      <c r="U676">
        <f>Table1[[#This Row],[Profit]]/Table1[[#This Row],[Sales]]</f>
        <v>0.35282173600599359</v>
      </c>
      <c r="V676" t="str">
        <f>IF(Table1[[#This Row],[Discount]]=0,"No Discount",IF(Table1[[#This Row],[Discount]]&lt;=0.1,"Low",IF(Table1[[#This Row],[Discount]]&lt;=0.2,"medium","high")))</f>
        <v>Low</v>
      </c>
    </row>
    <row r="677" spans="1:22" x14ac:dyDescent="0.3">
      <c r="A677" t="s">
        <v>967</v>
      </c>
      <c r="B677" s="6">
        <v>45568</v>
      </c>
      <c r="C677" t="s">
        <v>242</v>
      </c>
      <c r="D677" t="s">
        <v>24</v>
      </c>
      <c r="E677" t="s">
        <v>84</v>
      </c>
      <c r="F677" t="s">
        <v>72</v>
      </c>
      <c r="G677" t="s">
        <v>73</v>
      </c>
      <c r="H677" t="s">
        <v>102</v>
      </c>
      <c r="I677">
        <v>2502.96</v>
      </c>
      <c r="J677">
        <v>4</v>
      </c>
      <c r="K677">
        <v>0.2</v>
      </c>
      <c r="L677">
        <v>426.78</v>
      </c>
      <c r="M677" t="s">
        <v>37</v>
      </c>
      <c r="N677" t="s">
        <v>38</v>
      </c>
      <c r="O677" t="str">
        <f t="shared" si="20"/>
        <v>Bad</v>
      </c>
      <c r="P677">
        <f t="shared" si="21"/>
        <v>625.74</v>
      </c>
      <c r="Q677">
        <v>45568</v>
      </c>
      <c r="R677">
        <f>YEAR(Table1[[#This Row],[Order_Date_New]])</f>
        <v>2024</v>
      </c>
      <c r="S677">
        <f>MONTH(Table1[[#This Row],[Order_Date_New]])</f>
        <v>10</v>
      </c>
      <c r="T677" t="str">
        <f>TEXT(Table1[[#This Row],[Order_Date_New]],"mmmm")</f>
        <v>October</v>
      </c>
      <c r="U677">
        <f>Table1[[#This Row],[Profit]]/Table1[[#This Row],[Sales]]</f>
        <v>0.17051011602262919</v>
      </c>
      <c r="V677" t="str">
        <f>IF(Table1[[#This Row],[Discount]]=0,"No Discount",IF(Table1[[#This Row],[Discount]]&lt;=0.1,"Low",IF(Table1[[#This Row],[Discount]]&lt;=0.2,"medium","high")))</f>
        <v>medium</v>
      </c>
    </row>
    <row r="678" spans="1:22" x14ac:dyDescent="0.3">
      <c r="A678" t="s">
        <v>968</v>
      </c>
      <c r="B678" s="6">
        <v>45975</v>
      </c>
      <c r="C678" t="s">
        <v>193</v>
      </c>
      <c r="D678" t="s">
        <v>24</v>
      </c>
      <c r="E678" t="s">
        <v>59</v>
      </c>
      <c r="F678" t="s">
        <v>26</v>
      </c>
      <c r="G678" t="s">
        <v>27</v>
      </c>
      <c r="H678" t="s">
        <v>271</v>
      </c>
      <c r="I678">
        <v>7827.82</v>
      </c>
      <c r="J678">
        <v>7</v>
      </c>
      <c r="K678">
        <v>0.1</v>
      </c>
      <c r="L678">
        <v>2285.9899999999998</v>
      </c>
      <c r="M678" t="s">
        <v>170</v>
      </c>
      <c r="N678" t="s">
        <v>38</v>
      </c>
      <c r="O678" t="str">
        <f t="shared" si="20"/>
        <v>Bad</v>
      </c>
      <c r="P678">
        <f t="shared" si="21"/>
        <v>1118.26</v>
      </c>
      <c r="Q678">
        <v>45975</v>
      </c>
      <c r="R678">
        <f>YEAR(Table1[[#This Row],[Order_Date_New]])</f>
        <v>2025</v>
      </c>
      <c r="S678">
        <f>MONTH(Table1[[#This Row],[Order_Date_New]])</f>
        <v>11</v>
      </c>
      <c r="T678" t="str">
        <f>TEXT(Table1[[#This Row],[Order_Date_New]],"mmmm")</f>
        <v>November</v>
      </c>
      <c r="U678">
        <f>Table1[[#This Row],[Profit]]/Table1[[#This Row],[Sales]]</f>
        <v>0.29203405290361811</v>
      </c>
      <c r="V678" t="str">
        <f>IF(Table1[[#This Row],[Discount]]=0,"No Discount",IF(Table1[[#This Row],[Discount]]&lt;=0.1,"Low",IF(Table1[[#This Row],[Discount]]&lt;=0.2,"medium","high")))</f>
        <v>Low</v>
      </c>
    </row>
    <row r="679" spans="1:22" x14ac:dyDescent="0.3">
      <c r="A679" t="s">
        <v>969</v>
      </c>
      <c r="B679" s="6">
        <v>45640</v>
      </c>
      <c r="C679" t="s">
        <v>704</v>
      </c>
      <c r="D679" t="s">
        <v>128</v>
      </c>
      <c r="E679" t="s">
        <v>129</v>
      </c>
      <c r="F679" t="s">
        <v>72</v>
      </c>
      <c r="G679" t="s">
        <v>111</v>
      </c>
      <c r="H679" t="s">
        <v>112</v>
      </c>
      <c r="I679">
        <v>484.96</v>
      </c>
      <c r="J679">
        <v>8</v>
      </c>
      <c r="K679">
        <v>0.05</v>
      </c>
      <c r="L679">
        <v>141.27000000000001</v>
      </c>
      <c r="M679" t="s">
        <v>105</v>
      </c>
      <c r="N679" t="s">
        <v>38</v>
      </c>
      <c r="O679" t="str">
        <f t="shared" si="20"/>
        <v>Bad</v>
      </c>
      <c r="P679">
        <f t="shared" si="21"/>
        <v>60.62</v>
      </c>
      <c r="Q679">
        <v>45640</v>
      </c>
      <c r="R679">
        <f>YEAR(Table1[[#This Row],[Order_Date_New]])</f>
        <v>2024</v>
      </c>
      <c r="S679">
        <f>MONTH(Table1[[#This Row],[Order_Date_New]])</f>
        <v>12</v>
      </c>
      <c r="T679" t="str">
        <f>TEXT(Table1[[#This Row],[Order_Date_New]],"mmmm")</f>
        <v>December</v>
      </c>
      <c r="U679">
        <f>Table1[[#This Row],[Profit]]/Table1[[#This Row],[Sales]]</f>
        <v>0.29130237545364568</v>
      </c>
      <c r="V679" t="str">
        <f>IF(Table1[[#This Row],[Discount]]=0,"No Discount",IF(Table1[[#This Row],[Discount]]&lt;=0.1,"Low",IF(Table1[[#This Row],[Discount]]&lt;=0.2,"medium","high")))</f>
        <v>Low</v>
      </c>
    </row>
    <row r="680" spans="1:22" x14ac:dyDescent="0.3">
      <c r="A680" t="s">
        <v>970</v>
      </c>
      <c r="B680" s="6">
        <v>45659</v>
      </c>
      <c r="C680" t="s">
        <v>121</v>
      </c>
      <c r="D680" t="s">
        <v>53</v>
      </c>
      <c r="E680" t="s">
        <v>54</v>
      </c>
      <c r="F680" t="s">
        <v>26</v>
      </c>
      <c r="G680" t="s">
        <v>27</v>
      </c>
      <c r="H680" t="s">
        <v>200</v>
      </c>
      <c r="I680">
        <v>1727.74</v>
      </c>
      <c r="J680">
        <v>7</v>
      </c>
      <c r="K680">
        <v>0.3</v>
      </c>
      <c r="L680">
        <v>-145.66999999999999</v>
      </c>
      <c r="M680" t="s">
        <v>49</v>
      </c>
      <c r="N680" t="s">
        <v>30</v>
      </c>
      <c r="O680" t="str">
        <f t="shared" si="20"/>
        <v>Bad</v>
      </c>
      <c r="P680">
        <f t="shared" si="21"/>
        <v>246.82</v>
      </c>
      <c r="Q680">
        <v>45659</v>
      </c>
      <c r="R680">
        <f>YEAR(Table1[[#This Row],[Order_Date_New]])</f>
        <v>2025</v>
      </c>
      <c r="S680">
        <f>MONTH(Table1[[#This Row],[Order_Date_New]])</f>
        <v>1</v>
      </c>
      <c r="T680" t="str">
        <f>TEXT(Table1[[#This Row],[Order_Date_New]],"mmmm")</f>
        <v>January</v>
      </c>
      <c r="U680">
        <f>Table1[[#This Row],[Profit]]/Table1[[#This Row],[Sales]]</f>
        <v>-8.4312454420225252E-2</v>
      </c>
      <c r="V680" t="str">
        <f>IF(Table1[[#This Row],[Discount]]=0,"No Discount",IF(Table1[[#This Row],[Discount]]&lt;=0.1,"Low",IF(Table1[[#This Row],[Discount]]&lt;=0.2,"medium","high")))</f>
        <v>high</v>
      </c>
    </row>
    <row r="681" spans="1:22" x14ac:dyDescent="0.3">
      <c r="A681" t="s">
        <v>971</v>
      </c>
      <c r="B681" s="6">
        <v>45860</v>
      </c>
      <c r="C681" t="s">
        <v>104</v>
      </c>
      <c r="D681" t="s">
        <v>53</v>
      </c>
      <c r="E681" t="s">
        <v>107</v>
      </c>
      <c r="F681" t="s">
        <v>26</v>
      </c>
      <c r="G681" t="s">
        <v>27</v>
      </c>
      <c r="H681" t="s">
        <v>200</v>
      </c>
      <c r="I681">
        <v>945.06</v>
      </c>
      <c r="J681">
        <v>3</v>
      </c>
      <c r="K681">
        <v>0.1</v>
      </c>
      <c r="L681">
        <v>244.53</v>
      </c>
      <c r="M681" t="s">
        <v>170</v>
      </c>
      <c r="N681" t="s">
        <v>30</v>
      </c>
      <c r="O681" t="str">
        <f t="shared" si="20"/>
        <v>Bad</v>
      </c>
      <c r="P681">
        <f t="shared" si="21"/>
        <v>315.02</v>
      </c>
      <c r="Q681">
        <v>45860</v>
      </c>
      <c r="R681">
        <f>YEAR(Table1[[#This Row],[Order_Date_New]])</f>
        <v>2025</v>
      </c>
      <c r="S681">
        <f>MONTH(Table1[[#This Row],[Order_Date_New]])</f>
        <v>7</v>
      </c>
      <c r="T681" t="str">
        <f>TEXT(Table1[[#This Row],[Order_Date_New]],"mmmm")</f>
        <v>July</v>
      </c>
      <c r="U681">
        <f>Table1[[#This Row],[Profit]]/Table1[[#This Row],[Sales]]</f>
        <v>0.25874547647768398</v>
      </c>
      <c r="V681" t="str">
        <f>IF(Table1[[#This Row],[Discount]]=0,"No Discount",IF(Table1[[#This Row],[Discount]]&lt;=0.1,"Low",IF(Table1[[#This Row],[Discount]]&lt;=0.2,"medium","high")))</f>
        <v>Low</v>
      </c>
    </row>
    <row r="682" spans="1:22" x14ac:dyDescent="0.3">
      <c r="A682" t="s">
        <v>972</v>
      </c>
      <c r="B682" s="6">
        <v>45484</v>
      </c>
      <c r="C682" t="s">
        <v>197</v>
      </c>
      <c r="D682" t="s">
        <v>33</v>
      </c>
      <c r="E682" t="s">
        <v>48</v>
      </c>
      <c r="F682" t="s">
        <v>72</v>
      </c>
      <c r="G682" t="s">
        <v>73</v>
      </c>
      <c r="H682" t="s">
        <v>293</v>
      </c>
      <c r="I682">
        <v>73.06</v>
      </c>
      <c r="J682">
        <v>1</v>
      </c>
      <c r="K682">
        <v>0.25</v>
      </c>
      <c r="L682">
        <v>-6.85</v>
      </c>
      <c r="M682" t="s">
        <v>49</v>
      </c>
      <c r="N682" t="s">
        <v>30</v>
      </c>
      <c r="O682" t="str">
        <f t="shared" si="20"/>
        <v>Bad</v>
      </c>
      <c r="P682">
        <f t="shared" si="21"/>
        <v>73.06</v>
      </c>
      <c r="Q682">
        <v>45484</v>
      </c>
      <c r="R682">
        <f>YEAR(Table1[[#This Row],[Order_Date_New]])</f>
        <v>2024</v>
      </c>
      <c r="S682">
        <f>MONTH(Table1[[#This Row],[Order_Date_New]])</f>
        <v>7</v>
      </c>
      <c r="T682" t="str">
        <f>TEXT(Table1[[#This Row],[Order_Date_New]],"mmmm")</f>
        <v>July</v>
      </c>
      <c r="U682">
        <f>Table1[[#This Row],[Profit]]/Table1[[#This Row],[Sales]]</f>
        <v>-9.3758554612647135E-2</v>
      </c>
      <c r="V682" t="str">
        <f>IF(Table1[[#This Row],[Discount]]=0,"No Discount",IF(Table1[[#This Row],[Discount]]&lt;=0.1,"Low",IF(Table1[[#This Row],[Discount]]&lt;=0.2,"medium","high")))</f>
        <v>high</v>
      </c>
    </row>
    <row r="683" spans="1:22" x14ac:dyDescent="0.3">
      <c r="A683" t="s">
        <v>973</v>
      </c>
      <c r="B683" s="6">
        <v>45401</v>
      </c>
      <c r="C683" t="s">
        <v>161</v>
      </c>
      <c r="D683" t="s">
        <v>128</v>
      </c>
      <c r="E683" t="s">
        <v>146</v>
      </c>
      <c r="F683" t="s">
        <v>72</v>
      </c>
      <c r="G683" t="s">
        <v>73</v>
      </c>
      <c r="H683" t="s">
        <v>293</v>
      </c>
      <c r="I683">
        <v>3179.6</v>
      </c>
      <c r="J683">
        <v>10</v>
      </c>
      <c r="K683">
        <v>0.1</v>
      </c>
      <c r="L683">
        <v>975.33</v>
      </c>
      <c r="M683" t="s">
        <v>105</v>
      </c>
      <c r="N683" t="s">
        <v>38</v>
      </c>
      <c r="O683" t="str">
        <f t="shared" si="20"/>
        <v>Bad</v>
      </c>
      <c r="P683">
        <f t="shared" si="21"/>
        <v>317.95999999999998</v>
      </c>
      <c r="Q683">
        <v>45401</v>
      </c>
      <c r="R683">
        <f>YEAR(Table1[[#This Row],[Order_Date_New]])</f>
        <v>2024</v>
      </c>
      <c r="S683">
        <f>MONTH(Table1[[#This Row],[Order_Date_New]])</f>
        <v>4</v>
      </c>
      <c r="T683" t="str">
        <f>TEXT(Table1[[#This Row],[Order_Date_New]],"mmmm")</f>
        <v>April</v>
      </c>
      <c r="U683">
        <f>Table1[[#This Row],[Profit]]/Table1[[#This Row],[Sales]]</f>
        <v>0.30674613158887915</v>
      </c>
      <c r="V683" t="str">
        <f>IF(Table1[[#This Row],[Discount]]=0,"No Discount",IF(Table1[[#This Row],[Discount]]&lt;=0.1,"Low",IF(Table1[[#This Row],[Discount]]&lt;=0.2,"medium","high")))</f>
        <v>Low</v>
      </c>
    </row>
    <row r="684" spans="1:22" x14ac:dyDescent="0.3">
      <c r="A684" t="s">
        <v>974</v>
      </c>
      <c r="B684" s="6">
        <v>45833</v>
      </c>
      <c r="C684" t="s">
        <v>932</v>
      </c>
      <c r="D684" t="s">
        <v>33</v>
      </c>
      <c r="E684" t="s">
        <v>34</v>
      </c>
      <c r="F684" t="s">
        <v>72</v>
      </c>
      <c r="G684" t="s">
        <v>111</v>
      </c>
      <c r="H684" t="s">
        <v>158</v>
      </c>
      <c r="I684">
        <v>4296.42</v>
      </c>
      <c r="J684">
        <v>6</v>
      </c>
      <c r="K684">
        <v>0</v>
      </c>
      <c r="L684">
        <v>1399.12</v>
      </c>
      <c r="M684" t="s">
        <v>170</v>
      </c>
      <c r="N684" t="s">
        <v>80</v>
      </c>
      <c r="O684" t="str">
        <f t="shared" si="20"/>
        <v>Bad</v>
      </c>
      <c r="P684">
        <f t="shared" si="21"/>
        <v>716.07</v>
      </c>
      <c r="Q684">
        <v>45833</v>
      </c>
      <c r="R684">
        <f>YEAR(Table1[[#This Row],[Order_Date_New]])</f>
        <v>2025</v>
      </c>
      <c r="S684">
        <f>MONTH(Table1[[#This Row],[Order_Date_New]])</f>
        <v>6</v>
      </c>
      <c r="T684" t="str">
        <f>TEXT(Table1[[#This Row],[Order_Date_New]],"mmmm")</f>
        <v>June</v>
      </c>
      <c r="U684">
        <f>Table1[[#This Row],[Profit]]/Table1[[#This Row],[Sales]]</f>
        <v>0.32564786496664661</v>
      </c>
      <c r="V684" t="str">
        <f>IF(Table1[[#This Row],[Discount]]=0,"No Discount",IF(Table1[[#This Row],[Discount]]&lt;=0.1,"Low",IF(Table1[[#This Row],[Discount]]&lt;=0.2,"medium","high")))</f>
        <v>No Discount</v>
      </c>
    </row>
    <row r="685" spans="1:22" x14ac:dyDescent="0.3">
      <c r="A685" t="s">
        <v>975</v>
      </c>
      <c r="B685" s="6">
        <v>45410</v>
      </c>
      <c r="C685" t="s">
        <v>290</v>
      </c>
      <c r="D685" t="s">
        <v>53</v>
      </c>
      <c r="E685" t="s">
        <v>87</v>
      </c>
      <c r="F685" t="s">
        <v>72</v>
      </c>
      <c r="G685" t="s">
        <v>73</v>
      </c>
      <c r="H685" t="s">
        <v>102</v>
      </c>
      <c r="I685">
        <v>7545.2</v>
      </c>
      <c r="J685">
        <v>10</v>
      </c>
      <c r="K685">
        <v>0.15</v>
      </c>
      <c r="L685">
        <v>2032.84</v>
      </c>
      <c r="M685" t="s">
        <v>49</v>
      </c>
      <c r="N685" t="s">
        <v>30</v>
      </c>
      <c r="O685" t="str">
        <f t="shared" si="20"/>
        <v>Good</v>
      </c>
      <c r="P685">
        <f t="shared" si="21"/>
        <v>754.52</v>
      </c>
      <c r="Q685">
        <v>45410</v>
      </c>
      <c r="R685">
        <f>YEAR(Table1[[#This Row],[Order_Date_New]])</f>
        <v>2024</v>
      </c>
      <c r="S685">
        <f>MONTH(Table1[[#This Row],[Order_Date_New]])</f>
        <v>4</v>
      </c>
      <c r="T685" t="str">
        <f>TEXT(Table1[[#This Row],[Order_Date_New]],"mmmm")</f>
        <v>April</v>
      </c>
      <c r="U685">
        <f>Table1[[#This Row],[Profit]]/Table1[[#This Row],[Sales]]</f>
        <v>0.26942161904257012</v>
      </c>
      <c r="V685" t="str">
        <f>IF(Table1[[#This Row],[Discount]]=0,"No Discount",IF(Table1[[#This Row],[Discount]]&lt;=0.1,"Low",IF(Table1[[#This Row],[Discount]]&lt;=0.2,"medium","high")))</f>
        <v>medium</v>
      </c>
    </row>
    <row r="686" spans="1:22" x14ac:dyDescent="0.3">
      <c r="A686" t="s">
        <v>976</v>
      </c>
      <c r="B686" s="6">
        <v>45623</v>
      </c>
      <c r="C686" t="s">
        <v>932</v>
      </c>
      <c r="D686" t="s">
        <v>33</v>
      </c>
      <c r="E686" t="s">
        <v>34</v>
      </c>
      <c r="F686" t="s">
        <v>60</v>
      </c>
      <c r="G686" t="s">
        <v>78</v>
      </c>
      <c r="H686" t="s">
        <v>125</v>
      </c>
      <c r="I686">
        <v>3580.89</v>
      </c>
      <c r="J686">
        <v>3</v>
      </c>
      <c r="K686">
        <v>0.3</v>
      </c>
      <c r="L686">
        <v>-117.62</v>
      </c>
      <c r="M686" t="s">
        <v>113</v>
      </c>
      <c r="N686" t="s">
        <v>44</v>
      </c>
      <c r="O686" t="str">
        <f t="shared" si="20"/>
        <v>Bad</v>
      </c>
      <c r="P686">
        <f t="shared" si="21"/>
        <v>1193.6299999999999</v>
      </c>
      <c r="Q686">
        <v>45623</v>
      </c>
      <c r="R686">
        <f>YEAR(Table1[[#This Row],[Order_Date_New]])</f>
        <v>2024</v>
      </c>
      <c r="S686">
        <f>MONTH(Table1[[#This Row],[Order_Date_New]])</f>
        <v>11</v>
      </c>
      <c r="T686" t="str">
        <f>TEXT(Table1[[#This Row],[Order_Date_New]],"mmmm")</f>
        <v>November</v>
      </c>
      <c r="U686">
        <f>Table1[[#This Row],[Profit]]/Table1[[#This Row],[Sales]]</f>
        <v>-3.2846582832759458E-2</v>
      </c>
      <c r="V686" t="str">
        <f>IF(Table1[[#This Row],[Discount]]=0,"No Discount",IF(Table1[[#This Row],[Discount]]&lt;=0.1,"Low",IF(Table1[[#This Row],[Discount]]&lt;=0.2,"medium","high")))</f>
        <v>high</v>
      </c>
    </row>
    <row r="687" spans="1:22" x14ac:dyDescent="0.3">
      <c r="A687" t="s">
        <v>977</v>
      </c>
      <c r="B687" s="6">
        <v>45713</v>
      </c>
      <c r="C687" t="s">
        <v>206</v>
      </c>
      <c r="D687" t="s">
        <v>128</v>
      </c>
      <c r="E687" t="s">
        <v>132</v>
      </c>
      <c r="F687" t="s">
        <v>60</v>
      </c>
      <c r="G687" t="s">
        <v>98</v>
      </c>
      <c r="H687" t="s">
        <v>141</v>
      </c>
      <c r="I687">
        <v>3022.95</v>
      </c>
      <c r="J687">
        <v>7</v>
      </c>
      <c r="K687">
        <v>0.05</v>
      </c>
      <c r="L687">
        <v>398.99</v>
      </c>
      <c r="M687" t="s">
        <v>90</v>
      </c>
      <c r="N687" t="s">
        <v>80</v>
      </c>
      <c r="O687" t="str">
        <f t="shared" si="20"/>
        <v>Bad</v>
      </c>
      <c r="P687">
        <f t="shared" si="21"/>
        <v>431.84999999999997</v>
      </c>
      <c r="Q687">
        <v>45713</v>
      </c>
      <c r="R687">
        <f>YEAR(Table1[[#This Row],[Order_Date_New]])</f>
        <v>2025</v>
      </c>
      <c r="S687">
        <f>MONTH(Table1[[#This Row],[Order_Date_New]])</f>
        <v>2</v>
      </c>
      <c r="T687" t="str">
        <f>TEXT(Table1[[#This Row],[Order_Date_New]],"mmmm")</f>
        <v>February</v>
      </c>
      <c r="U687">
        <f>Table1[[#This Row],[Profit]]/Table1[[#This Row],[Sales]]</f>
        <v>0.13198696637390631</v>
      </c>
      <c r="V687" t="str">
        <f>IF(Table1[[#This Row],[Discount]]=0,"No Discount",IF(Table1[[#This Row],[Discount]]&lt;=0.1,"Low",IF(Table1[[#This Row],[Discount]]&lt;=0.2,"medium","high")))</f>
        <v>Low</v>
      </c>
    </row>
    <row r="688" spans="1:22" x14ac:dyDescent="0.3">
      <c r="A688" t="s">
        <v>978</v>
      </c>
      <c r="B688" s="6">
        <v>45905</v>
      </c>
      <c r="C688" t="s">
        <v>163</v>
      </c>
      <c r="D688" t="s">
        <v>33</v>
      </c>
      <c r="E688" t="s">
        <v>118</v>
      </c>
      <c r="F688" t="s">
        <v>60</v>
      </c>
      <c r="G688" t="s">
        <v>98</v>
      </c>
      <c r="H688" t="s">
        <v>99</v>
      </c>
      <c r="I688">
        <v>1983.78</v>
      </c>
      <c r="J688">
        <v>6</v>
      </c>
      <c r="K688">
        <v>0.2</v>
      </c>
      <c r="L688">
        <v>348.25</v>
      </c>
      <c r="M688" t="s">
        <v>68</v>
      </c>
      <c r="N688" t="s">
        <v>80</v>
      </c>
      <c r="O688" t="str">
        <f t="shared" si="20"/>
        <v>Bad</v>
      </c>
      <c r="P688">
        <f t="shared" si="21"/>
        <v>330.63</v>
      </c>
      <c r="Q688">
        <v>45905</v>
      </c>
      <c r="R688">
        <f>YEAR(Table1[[#This Row],[Order_Date_New]])</f>
        <v>2025</v>
      </c>
      <c r="S688">
        <f>MONTH(Table1[[#This Row],[Order_Date_New]])</f>
        <v>9</v>
      </c>
      <c r="T688" t="str">
        <f>TEXT(Table1[[#This Row],[Order_Date_New]],"mmmm")</f>
        <v>September</v>
      </c>
      <c r="U688">
        <f>Table1[[#This Row],[Profit]]/Table1[[#This Row],[Sales]]</f>
        <v>0.17554869995664843</v>
      </c>
      <c r="V688" t="str">
        <f>IF(Table1[[#This Row],[Discount]]=0,"No Discount",IF(Table1[[#This Row],[Discount]]&lt;=0.1,"Low",IF(Table1[[#This Row],[Discount]]&lt;=0.2,"medium","high")))</f>
        <v>medium</v>
      </c>
    </row>
    <row r="689" spans="1:22" x14ac:dyDescent="0.3">
      <c r="A689" t="s">
        <v>979</v>
      </c>
      <c r="B689" s="6">
        <v>45946</v>
      </c>
      <c r="C689" t="s">
        <v>256</v>
      </c>
      <c r="D689" t="s">
        <v>128</v>
      </c>
      <c r="E689" t="s">
        <v>146</v>
      </c>
      <c r="F689" t="s">
        <v>72</v>
      </c>
      <c r="G689" t="s">
        <v>88</v>
      </c>
      <c r="H689" t="s">
        <v>89</v>
      </c>
      <c r="I689">
        <v>1589.28</v>
      </c>
      <c r="J689">
        <v>7</v>
      </c>
      <c r="K689">
        <v>0</v>
      </c>
      <c r="L689">
        <v>698.36</v>
      </c>
      <c r="M689" t="s">
        <v>170</v>
      </c>
      <c r="N689" t="s">
        <v>38</v>
      </c>
      <c r="O689" t="str">
        <f t="shared" si="20"/>
        <v>Bad</v>
      </c>
      <c r="P689">
        <f t="shared" si="21"/>
        <v>227.04</v>
      </c>
      <c r="Q689">
        <v>45946</v>
      </c>
      <c r="R689">
        <f>YEAR(Table1[[#This Row],[Order_Date_New]])</f>
        <v>2025</v>
      </c>
      <c r="S689">
        <f>MONTH(Table1[[#This Row],[Order_Date_New]])</f>
        <v>10</v>
      </c>
      <c r="T689" t="str">
        <f>TEXT(Table1[[#This Row],[Order_Date_New]],"mmmm")</f>
        <v>October</v>
      </c>
      <c r="U689">
        <f>Table1[[#This Row],[Profit]]/Table1[[#This Row],[Sales]]</f>
        <v>0.43941910802375922</v>
      </c>
      <c r="V689" t="str">
        <f>IF(Table1[[#This Row],[Discount]]=0,"No Discount",IF(Table1[[#This Row],[Discount]]&lt;=0.1,"Low",IF(Table1[[#This Row],[Discount]]&lt;=0.2,"medium","high")))</f>
        <v>No Discount</v>
      </c>
    </row>
    <row r="690" spans="1:22" x14ac:dyDescent="0.3">
      <c r="A690" t="s">
        <v>980</v>
      </c>
      <c r="B690" s="6">
        <v>45352</v>
      </c>
      <c r="C690" t="s">
        <v>932</v>
      </c>
      <c r="D690" t="s">
        <v>33</v>
      </c>
      <c r="E690" t="s">
        <v>48</v>
      </c>
      <c r="F690" t="s">
        <v>26</v>
      </c>
      <c r="G690" t="s">
        <v>27</v>
      </c>
      <c r="H690" t="s">
        <v>28</v>
      </c>
      <c r="I690">
        <v>4210.38</v>
      </c>
      <c r="J690">
        <v>9</v>
      </c>
      <c r="K690">
        <v>0</v>
      </c>
      <c r="L690">
        <v>604.94000000000005</v>
      </c>
      <c r="M690" t="s">
        <v>43</v>
      </c>
      <c r="N690" t="s">
        <v>80</v>
      </c>
      <c r="O690" t="str">
        <f t="shared" si="20"/>
        <v>Bad</v>
      </c>
      <c r="P690">
        <f t="shared" si="21"/>
        <v>467.82</v>
      </c>
      <c r="Q690">
        <v>45352</v>
      </c>
      <c r="R690">
        <f>YEAR(Table1[[#This Row],[Order_Date_New]])</f>
        <v>2024</v>
      </c>
      <c r="S690">
        <f>MONTH(Table1[[#This Row],[Order_Date_New]])</f>
        <v>3</v>
      </c>
      <c r="T690" t="str">
        <f>TEXT(Table1[[#This Row],[Order_Date_New]],"mmmm")</f>
        <v>March</v>
      </c>
      <c r="U690">
        <f>Table1[[#This Row],[Profit]]/Table1[[#This Row],[Sales]]</f>
        <v>0.14367824281893796</v>
      </c>
      <c r="V690" t="str">
        <f>IF(Table1[[#This Row],[Discount]]=0,"No Discount",IF(Table1[[#This Row],[Discount]]&lt;=0.1,"Low",IF(Table1[[#This Row],[Discount]]&lt;=0.2,"medium","high")))</f>
        <v>No Discount</v>
      </c>
    </row>
    <row r="691" spans="1:22" x14ac:dyDescent="0.3">
      <c r="A691" t="s">
        <v>981</v>
      </c>
      <c r="B691" s="6">
        <v>45582</v>
      </c>
      <c r="C691" t="s">
        <v>448</v>
      </c>
      <c r="D691" t="s">
        <v>24</v>
      </c>
      <c r="E691" t="s">
        <v>84</v>
      </c>
      <c r="F691" t="s">
        <v>60</v>
      </c>
      <c r="G691" t="s">
        <v>78</v>
      </c>
      <c r="H691" t="s">
        <v>222</v>
      </c>
      <c r="I691">
        <v>1697.4</v>
      </c>
      <c r="J691">
        <v>5</v>
      </c>
      <c r="K691">
        <v>0</v>
      </c>
      <c r="L691">
        <v>170.22</v>
      </c>
      <c r="M691" t="s">
        <v>29</v>
      </c>
      <c r="N691" t="s">
        <v>38</v>
      </c>
      <c r="O691" t="str">
        <f t="shared" si="20"/>
        <v>Bad</v>
      </c>
      <c r="P691">
        <f t="shared" si="21"/>
        <v>339.48</v>
      </c>
      <c r="Q691">
        <v>45582</v>
      </c>
      <c r="R691">
        <f>YEAR(Table1[[#This Row],[Order_Date_New]])</f>
        <v>2024</v>
      </c>
      <c r="S691">
        <f>MONTH(Table1[[#This Row],[Order_Date_New]])</f>
        <v>10</v>
      </c>
      <c r="T691" t="str">
        <f>TEXT(Table1[[#This Row],[Order_Date_New]],"mmmm")</f>
        <v>October</v>
      </c>
      <c r="U691">
        <f>Table1[[#This Row],[Profit]]/Table1[[#This Row],[Sales]]</f>
        <v>0.10028278543655002</v>
      </c>
      <c r="V691" t="str">
        <f>IF(Table1[[#This Row],[Discount]]=0,"No Discount",IF(Table1[[#This Row],[Discount]]&lt;=0.1,"Low",IF(Table1[[#This Row],[Discount]]&lt;=0.2,"medium","high")))</f>
        <v>No Discount</v>
      </c>
    </row>
    <row r="692" spans="1:22" x14ac:dyDescent="0.3">
      <c r="A692" t="s">
        <v>982</v>
      </c>
      <c r="B692" s="6">
        <v>45739</v>
      </c>
      <c r="C692" t="s">
        <v>221</v>
      </c>
      <c r="D692" t="s">
        <v>128</v>
      </c>
      <c r="E692" t="s">
        <v>146</v>
      </c>
      <c r="F692" t="s">
        <v>26</v>
      </c>
      <c r="G692" t="s">
        <v>27</v>
      </c>
      <c r="H692" t="s">
        <v>28</v>
      </c>
      <c r="I692">
        <v>8394.0499999999993</v>
      </c>
      <c r="J692">
        <v>7</v>
      </c>
      <c r="K692">
        <v>0.3</v>
      </c>
      <c r="L692">
        <v>-65.37</v>
      </c>
      <c r="M692" t="s">
        <v>43</v>
      </c>
      <c r="N692" t="s">
        <v>38</v>
      </c>
      <c r="O692" t="str">
        <f t="shared" si="20"/>
        <v>Bad</v>
      </c>
      <c r="P692">
        <f t="shared" si="21"/>
        <v>1199.1499999999999</v>
      </c>
      <c r="Q692">
        <v>45739</v>
      </c>
      <c r="R692">
        <f>YEAR(Table1[[#This Row],[Order_Date_New]])</f>
        <v>2025</v>
      </c>
      <c r="S692">
        <f>MONTH(Table1[[#This Row],[Order_Date_New]])</f>
        <v>3</v>
      </c>
      <c r="T692" t="str">
        <f>TEXT(Table1[[#This Row],[Order_Date_New]],"mmmm")</f>
        <v>March</v>
      </c>
      <c r="U692">
        <f>Table1[[#This Row],[Profit]]/Table1[[#This Row],[Sales]]</f>
        <v>-7.7876591156831338E-3</v>
      </c>
      <c r="V692" t="str">
        <f>IF(Table1[[#This Row],[Discount]]=0,"No Discount",IF(Table1[[#This Row],[Discount]]&lt;=0.1,"Low",IF(Table1[[#This Row],[Discount]]&lt;=0.2,"medium","high")))</f>
        <v>high</v>
      </c>
    </row>
    <row r="693" spans="1:22" x14ac:dyDescent="0.3">
      <c r="A693" t="s">
        <v>983</v>
      </c>
      <c r="B693" s="6">
        <v>45733</v>
      </c>
      <c r="C693" t="s">
        <v>388</v>
      </c>
      <c r="D693" t="s">
        <v>128</v>
      </c>
      <c r="E693" t="s">
        <v>129</v>
      </c>
      <c r="F693" t="s">
        <v>72</v>
      </c>
      <c r="G693" t="s">
        <v>73</v>
      </c>
      <c r="H693" t="s">
        <v>74</v>
      </c>
      <c r="I693">
        <v>4253.92</v>
      </c>
      <c r="J693">
        <v>4</v>
      </c>
      <c r="K693">
        <v>0.1</v>
      </c>
      <c r="L693">
        <v>152.75</v>
      </c>
      <c r="M693" t="s">
        <v>90</v>
      </c>
      <c r="N693" t="s">
        <v>80</v>
      </c>
      <c r="O693" t="str">
        <f t="shared" si="20"/>
        <v>Bad</v>
      </c>
      <c r="P693">
        <f t="shared" si="21"/>
        <v>1063.48</v>
      </c>
      <c r="Q693">
        <v>45733</v>
      </c>
      <c r="R693">
        <f>YEAR(Table1[[#This Row],[Order_Date_New]])</f>
        <v>2025</v>
      </c>
      <c r="S693">
        <f>MONTH(Table1[[#This Row],[Order_Date_New]])</f>
        <v>3</v>
      </c>
      <c r="T693" t="str">
        <f>TEXT(Table1[[#This Row],[Order_Date_New]],"mmmm")</f>
        <v>March</v>
      </c>
      <c r="U693">
        <f>Table1[[#This Row],[Profit]]/Table1[[#This Row],[Sales]]</f>
        <v>3.590805656899989E-2</v>
      </c>
      <c r="V693" t="str">
        <f>IF(Table1[[#This Row],[Discount]]=0,"No Discount",IF(Table1[[#This Row],[Discount]]&lt;=0.1,"Low",IF(Table1[[#This Row],[Discount]]&lt;=0.2,"medium","high")))</f>
        <v>Low</v>
      </c>
    </row>
    <row r="694" spans="1:22" x14ac:dyDescent="0.3">
      <c r="A694" t="s">
        <v>984</v>
      </c>
      <c r="B694" s="6">
        <v>45521</v>
      </c>
      <c r="C694" t="s">
        <v>764</v>
      </c>
      <c r="D694" t="s">
        <v>33</v>
      </c>
      <c r="E694" t="s">
        <v>34</v>
      </c>
      <c r="F694" t="s">
        <v>72</v>
      </c>
      <c r="G694" t="s">
        <v>111</v>
      </c>
      <c r="H694" t="s">
        <v>182</v>
      </c>
      <c r="I694">
        <v>1199.71</v>
      </c>
      <c r="J694">
        <v>1</v>
      </c>
      <c r="K694">
        <v>0</v>
      </c>
      <c r="L694">
        <v>304.26</v>
      </c>
      <c r="M694" t="s">
        <v>133</v>
      </c>
      <c r="N694" t="s">
        <v>30</v>
      </c>
      <c r="O694" t="str">
        <f t="shared" si="20"/>
        <v>Bad</v>
      </c>
      <c r="P694">
        <f t="shared" si="21"/>
        <v>1199.71</v>
      </c>
      <c r="Q694">
        <v>45521</v>
      </c>
      <c r="R694">
        <f>YEAR(Table1[[#This Row],[Order_Date_New]])</f>
        <v>2024</v>
      </c>
      <c r="S694">
        <f>MONTH(Table1[[#This Row],[Order_Date_New]])</f>
        <v>8</v>
      </c>
      <c r="T694" t="str">
        <f>TEXT(Table1[[#This Row],[Order_Date_New]],"mmmm")</f>
        <v>August</v>
      </c>
      <c r="U694">
        <f>Table1[[#This Row],[Profit]]/Table1[[#This Row],[Sales]]</f>
        <v>0.2536112893949371</v>
      </c>
      <c r="V694" t="str">
        <f>IF(Table1[[#This Row],[Discount]]=0,"No Discount",IF(Table1[[#This Row],[Discount]]&lt;=0.1,"Low",IF(Table1[[#This Row],[Discount]]&lt;=0.2,"medium","high")))</f>
        <v>No Discount</v>
      </c>
    </row>
    <row r="695" spans="1:22" x14ac:dyDescent="0.3">
      <c r="A695" t="s">
        <v>985</v>
      </c>
      <c r="B695" s="6">
        <v>45551</v>
      </c>
      <c r="C695" t="s">
        <v>334</v>
      </c>
      <c r="D695" t="s">
        <v>33</v>
      </c>
      <c r="E695" t="s">
        <v>34</v>
      </c>
      <c r="F695" t="s">
        <v>26</v>
      </c>
      <c r="G695" t="s">
        <v>41</v>
      </c>
      <c r="H695" t="s">
        <v>189</v>
      </c>
      <c r="I695">
        <v>1341.54</v>
      </c>
      <c r="J695">
        <v>2</v>
      </c>
      <c r="K695">
        <v>0.2</v>
      </c>
      <c r="L695">
        <v>-163.34</v>
      </c>
      <c r="M695" t="s">
        <v>29</v>
      </c>
      <c r="N695" t="s">
        <v>80</v>
      </c>
      <c r="O695" t="str">
        <f t="shared" si="20"/>
        <v>Bad</v>
      </c>
      <c r="P695">
        <f t="shared" si="21"/>
        <v>670.77</v>
      </c>
      <c r="Q695">
        <v>45551</v>
      </c>
      <c r="R695">
        <f>YEAR(Table1[[#This Row],[Order_Date_New]])</f>
        <v>2024</v>
      </c>
      <c r="S695">
        <f>MONTH(Table1[[#This Row],[Order_Date_New]])</f>
        <v>9</v>
      </c>
      <c r="T695" t="str">
        <f>TEXT(Table1[[#This Row],[Order_Date_New]],"mmmm")</f>
        <v>September</v>
      </c>
      <c r="U695">
        <f>Table1[[#This Row],[Profit]]/Table1[[#This Row],[Sales]]</f>
        <v>-0.12175559431697899</v>
      </c>
      <c r="V695" t="str">
        <f>IF(Table1[[#This Row],[Discount]]=0,"No Discount",IF(Table1[[#This Row],[Discount]]&lt;=0.1,"Low",IF(Table1[[#This Row],[Discount]]&lt;=0.2,"medium","high")))</f>
        <v>medium</v>
      </c>
    </row>
    <row r="696" spans="1:22" x14ac:dyDescent="0.3">
      <c r="A696" t="s">
        <v>986</v>
      </c>
      <c r="B696" s="6">
        <v>45499</v>
      </c>
      <c r="C696" t="s">
        <v>384</v>
      </c>
      <c r="D696" t="s">
        <v>53</v>
      </c>
      <c r="E696" t="s">
        <v>87</v>
      </c>
      <c r="F696" t="s">
        <v>72</v>
      </c>
      <c r="G696" t="s">
        <v>73</v>
      </c>
      <c r="H696" t="s">
        <v>102</v>
      </c>
      <c r="I696">
        <v>3846.44</v>
      </c>
      <c r="J696">
        <v>4</v>
      </c>
      <c r="K696">
        <v>0</v>
      </c>
      <c r="L696">
        <v>201.11</v>
      </c>
      <c r="M696" t="s">
        <v>49</v>
      </c>
      <c r="N696" t="s">
        <v>38</v>
      </c>
      <c r="O696" t="str">
        <f t="shared" si="20"/>
        <v>Bad</v>
      </c>
      <c r="P696">
        <f t="shared" si="21"/>
        <v>961.61</v>
      </c>
      <c r="Q696">
        <v>45499</v>
      </c>
      <c r="R696">
        <f>YEAR(Table1[[#This Row],[Order_Date_New]])</f>
        <v>2024</v>
      </c>
      <c r="S696">
        <f>MONTH(Table1[[#This Row],[Order_Date_New]])</f>
        <v>7</v>
      </c>
      <c r="T696" t="str">
        <f>TEXT(Table1[[#This Row],[Order_Date_New]],"mmmm")</f>
        <v>July</v>
      </c>
      <c r="U696">
        <f>Table1[[#This Row],[Profit]]/Table1[[#This Row],[Sales]]</f>
        <v>5.2284710017574697E-2</v>
      </c>
      <c r="V696" t="str">
        <f>IF(Table1[[#This Row],[Discount]]=0,"No Discount",IF(Table1[[#This Row],[Discount]]&lt;=0.1,"Low",IF(Table1[[#This Row],[Discount]]&lt;=0.2,"medium","high")))</f>
        <v>No Discount</v>
      </c>
    </row>
    <row r="697" spans="1:22" x14ac:dyDescent="0.3">
      <c r="A697" t="s">
        <v>987</v>
      </c>
      <c r="B697" s="6">
        <v>45929</v>
      </c>
      <c r="C697" t="s">
        <v>211</v>
      </c>
      <c r="D697" t="s">
        <v>53</v>
      </c>
      <c r="E697" t="s">
        <v>54</v>
      </c>
      <c r="F697" t="s">
        <v>60</v>
      </c>
      <c r="G697" t="s">
        <v>98</v>
      </c>
      <c r="H697" t="s">
        <v>138</v>
      </c>
      <c r="I697">
        <v>7954.8</v>
      </c>
      <c r="J697">
        <v>10</v>
      </c>
      <c r="K697">
        <v>0.3</v>
      </c>
      <c r="L697">
        <v>-1702.69</v>
      </c>
      <c r="M697" t="s">
        <v>68</v>
      </c>
      <c r="N697" t="s">
        <v>38</v>
      </c>
      <c r="O697" t="str">
        <f t="shared" si="20"/>
        <v>Good</v>
      </c>
      <c r="P697">
        <f t="shared" si="21"/>
        <v>795.48</v>
      </c>
      <c r="Q697">
        <v>45929</v>
      </c>
      <c r="R697">
        <f>YEAR(Table1[[#This Row],[Order_Date_New]])</f>
        <v>2025</v>
      </c>
      <c r="S697">
        <f>MONTH(Table1[[#This Row],[Order_Date_New]])</f>
        <v>9</v>
      </c>
      <c r="T697" t="str">
        <f>TEXT(Table1[[#This Row],[Order_Date_New]],"mmmm")</f>
        <v>September</v>
      </c>
      <c r="U697">
        <f>Table1[[#This Row],[Profit]]/Table1[[#This Row],[Sales]]</f>
        <v>-0.21404560768341127</v>
      </c>
      <c r="V697" t="str">
        <f>IF(Table1[[#This Row],[Discount]]=0,"No Discount",IF(Table1[[#This Row],[Discount]]&lt;=0.1,"Low",IF(Table1[[#This Row],[Discount]]&lt;=0.2,"medium","high")))</f>
        <v>high</v>
      </c>
    </row>
    <row r="698" spans="1:22" x14ac:dyDescent="0.3">
      <c r="A698" t="s">
        <v>988</v>
      </c>
      <c r="B698" s="6">
        <v>45486</v>
      </c>
      <c r="C698" t="s">
        <v>221</v>
      </c>
      <c r="D698" t="s">
        <v>33</v>
      </c>
      <c r="E698" t="s">
        <v>34</v>
      </c>
      <c r="F698" t="s">
        <v>26</v>
      </c>
      <c r="G698" t="s">
        <v>35</v>
      </c>
      <c r="H698" t="s">
        <v>55</v>
      </c>
      <c r="I698">
        <v>11554.6</v>
      </c>
      <c r="J698">
        <v>10</v>
      </c>
      <c r="K698">
        <v>0.25</v>
      </c>
      <c r="L698">
        <v>1124.8499999999999</v>
      </c>
      <c r="M698" t="s">
        <v>29</v>
      </c>
      <c r="N698" t="s">
        <v>44</v>
      </c>
      <c r="O698" t="str">
        <f t="shared" si="20"/>
        <v>Good</v>
      </c>
      <c r="P698">
        <f t="shared" si="21"/>
        <v>1155.46</v>
      </c>
      <c r="Q698">
        <v>45486</v>
      </c>
      <c r="R698">
        <f>YEAR(Table1[[#This Row],[Order_Date_New]])</f>
        <v>2024</v>
      </c>
      <c r="S698">
        <f>MONTH(Table1[[#This Row],[Order_Date_New]])</f>
        <v>7</v>
      </c>
      <c r="T698" t="str">
        <f>TEXT(Table1[[#This Row],[Order_Date_New]],"mmmm")</f>
        <v>July</v>
      </c>
      <c r="U698">
        <f>Table1[[#This Row],[Profit]]/Table1[[#This Row],[Sales]]</f>
        <v>9.7350838627040304E-2</v>
      </c>
      <c r="V698" t="str">
        <f>IF(Table1[[#This Row],[Discount]]=0,"No Discount",IF(Table1[[#This Row],[Discount]]&lt;=0.1,"Low",IF(Table1[[#This Row],[Discount]]&lt;=0.2,"medium","high")))</f>
        <v>high</v>
      </c>
    </row>
    <row r="699" spans="1:22" x14ac:dyDescent="0.3">
      <c r="A699" t="s">
        <v>989</v>
      </c>
      <c r="B699" s="6">
        <v>45462</v>
      </c>
      <c r="C699" t="s">
        <v>729</v>
      </c>
      <c r="D699" t="s">
        <v>33</v>
      </c>
      <c r="E699" t="s">
        <v>48</v>
      </c>
      <c r="F699" t="s">
        <v>26</v>
      </c>
      <c r="G699" t="s">
        <v>35</v>
      </c>
      <c r="H699" t="s">
        <v>55</v>
      </c>
      <c r="I699">
        <v>418.38</v>
      </c>
      <c r="J699">
        <v>3</v>
      </c>
      <c r="K699">
        <v>0.1</v>
      </c>
      <c r="L699">
        <v>-20.74</v>
      </c>
      <c r="M699" t="s">
        <v>170</v>
      </c>
      <c r="N699" t="s">
        <v>30</v>
      </c>
      <c r="O699" t="str">
        <f t="shared" si="20"/>
        <v>Bad</v>
      </c>
      <c r="P699">
        <f t="shared" si="21"/>
        <v>139.46</v>
      </c>
      <c r="Q699">
        <v>45462</v>
      </c>
      <c r="R699">
        <f>YEAR(Table1[[#This Row],[Order_Date_New]])</f>
        <v>2024</v>
      </c>
      <c r="S699">
        <f>MONTH(Table1[[#This Row],[Order_Date_New]])</f>
        <v>6</v>
      </c>
      <c r="T699" t="str">
        <f>TEXT(Table1[[#This Row],[Order_Date_New]],"mmmm")</f>
        <v>June</v>
      </c>
      <c r="U699">
        <f>Table1[[#This Row],[Profit]]/Table1[[#This Row],[Sales]]</f>
        <v>-4.9572159281036372E-2</v>
      </c>
      <c r="V699" t="str">
        <f>IF(Table1[[#This Row],[Discount]]=0,"No Discount",IF(Table1[[#This Row],[Discount]]&lt;=0.1,"Low",IF(Table1[[#This Row],[Discount]]&lt;=0.2,"medium","high")))</f>
        <v>Low</v>
      </c>
    </row>
    <row r="700" spans="1:22" x14ac:dyDescent="0.3">
      <c r="A700" t="s">
        <v>990</v>
      </c>
      <c r="B700" s="6">
        <v>45898</v>
      </c>
      <c r="C700" t="s">
        <v>96</v>
      </c>
      <c r="D700" t="s">
        <v>128</v>
      </c>
      <c r="E700" t="s">
        <v>202</v>
      </c>
      <c r="F700" t="s">
        <v>26</v>
      </c>
      <c r="G700" t="s">
        <v>35</v>
      </c>
      <c r="H700" t="s">
        <v>36</v>
      </c>
      <c r="I700">
        <v>2846.73</v>
      </c>
      <c r="J700">
        <v>3</v>
      </c>
      <c r="K700">
        <v>0.25</v>
      </c>
      <c r="L700">
        <v>-165.2</v>
      </c>
      <c r="M700" t="s">
        <v>90</v>
      </c>
      <c r="N700" t="s">
        <v>30</v>
      </c>
      <c r="O700" t="str">
        <f t="shared" si="20"/>
        <v>Bad</v>
      </c>
      <c r="P700">
        <f t="shared" si="21"/>
        <v>948.91</v>
      </c>
      <c r="Q700">
        <v>45898</v>
      </c>
      <c r="R700">
        <f>YEAR(Table1[[#This Row],[Order_Date_New]])</f>
        <v>2025</v>
      </c>
      <c r="S700">
        <f>MONTH(Table1[[#This Row],[Order_Date_New]])</f>
        <v>8</v>
      </c>
      <c r="T700" t="str">
        <f>TEXT(Table1[[#This Row],[Order_Date_New]],"mmmm")</f>
        <v>August</v>
      </c>
      <c r="U700">
        <f>Table1[[#This Row],[Profit]]/Table1[[#This Row],[Sales]]</f>
        <v>-5.8031495786393508E-2</v>
      </c>
      <c r="V700" t="str">
        <f>IF(Table1[[#This Row],[Discount]]=0,"No Discount",IF(Table1[[#This Row],[Discount]]&lt;=0.1,"Low",IF(Table1[[#This Row],[Discount]]&lt;=0.2,"medium","high")))</f>
        <v>high</v>
      </c>
    </row>
    <row r="701" spans="1:22" x14ac:dyDescent="0.3">
      <c r="A701" t="s">
        <v>991</v>
      </c>
      <c r="B701" s="6">
        <v>45870</v>
      </c>
      <c r="C701" t="s">
        <v>830</v>
      </c>
      <c r="D701" t="s">
        <v>24</v>
      </c>
      <c r="E701" t="s">
        <v>84</v>
      </c>
      <c r="F701" t="s">
        <v>26</v>
      </c>
      <c r="G701" t="s">
        <v>35</v>
      </c>
      <c r="H701" t="s">
        <v>173</v>
      </c>
      <c r="I701">
        <v>371.29</v>
      </c>
      <c r="J701">
        <v>1</v>
      </c>
      <c r="K701">
        <v>0.05</v>
      </c>
      <c r="L701">
        <v>147.77000000000001</v>
      </c>
      <c r="M701" t="s">
        <v>133</v>
      </c>
      <c r="N701" t="s">
        <v>30</v>
      </c>
      <c r="O701" t="str">
        <f t="shared" si="20"/>
        <v>Bad</v>
      </c>
      <c r="P701">
        <f t="shared" si="21"/>
        <v>371.29</v>
      </c>
      <c r="Q701">
        <v>45870</v>
      </c>
      <c r="R701">
        <f>YEAR(Table1[[#This Row],[Order_Date_New]])</f>
        <v>2025</v>
      </c>
      <c r="S701">
        <f>MONTH(Table1[[#This Row],[Order_Date_New]])</f>
        <v>8</v>
      </c>
      <c r="T701" t="str">
        <f>TEXT(Table1[[#This Row],[Order_Date_New]],"mmmm")</f>
        <v>August</v>
      </c>
      <c r="U701">
        <f>Table1[[#This Row],[Profit]]/Table1[[#This Row],[Sales]]</f>
        <v>0.39799078887123274</v>
      </c>
      <c r="V701" t="str">
        <f>IF(Table1[[#This Row],[Discount]]=0,"No Discount",IF(Table1[[#This Row],[Discount]]&lt;=0.1,"Low",IF(Table1[[#This Row],[Discount]]&lt;=0.2,"medium","high")))</f>
        <v>Low</v>
      </c>
    </row>
    <row r="702" spans="1:22" x14ac:dyDescent="0.3">
      <c r="A702" t="s">
        <v>992</v>
      </c>
      <c r="B702" s="6">
        <v>45858</v>
      </c>
      <c r="C702" t="s">
        <v>993</v>
      </c>
      <c r="D702" t="s">
        <v>24</v>
      </c>
      <c r="E702" t="s">
        <v>59</v>
      </c>
      <c r="F702" t="s">
        <v>60</v>
      </c>
      <c r="G702" t="s">
        <v>61</v>
      </c>
      <c r="H702" t="s">
        <v>122</v>
      </c>
      <c r="I702">
        <v>5668.98</v>
      </c>
      <c r="J702">
        <v>6</v>
      </c>
      <c r="K702">
        <v>0.1</v>
      </c>
      <c r="L702">
        <v>1208.2</v>
      </c>
      <c r="M702" t="s">
        <v>43</v>
      </c>
      <c r="N702" t="s">
        <v>30</v>
      </c>
      <c r="O702" t="str">
        <f t="shared" si="20"/>
        <v>Bad</v>
      </c>
      <c r="P702">
        <f t="shared" si="21"/>
        <v>944.82999999999993</v>
      </c>
      <c r="Q702">
        <v>45858</v>
      </c>
      <c r="R702">
        <f>YEAR(Table1[[#This Row],[Order_Date_New]])</f>
        <v>2025</v>
      </c>
      <c r="S702">
        <f>MONTH(Table1[[#This Row],[Order_Date_New]])</f>
        <v>7</v>
      </c>
      <c r="T702" t="str">
        <f>TEXT(Table1[[#This Row],[Order_Date_New]],"mmmm")</f>
        <v>July</v>
      </c>
      <c r="U702">
        <f>Table1[[#This Row],[Profit]]/Table1[[#This Row],[Sales]]</f>
        <v>0.21312475965694008</v>
      </c>
      <c r="V702" t="str">
        <f>IF(Table1[[#This Row],[Discount]]=0,"No Discount",IF(Table1[[#This Row],[Discount]]&lt;=0.1,"Low",IF(Table1[[#This Row],[Discount]]&lt;=0.2,"medium","high")))</f>
        <v>Low</v>
      </c>
    </row>
    <row r="703" spans="1:22" x14ac:dyDescent="0.3">
      <c r="A703" t="s">
        <v>994</v>
      </c>
      <c r="B703" s="6">
        <v>45606</v>
      </c>
      <c r="C703" t="s">
        <v>177</v>
      </c>
      <c r="D703" t="s">
        <v>128</v>
      </c>
      <c r="E703" t="s">
        <v>132</v>
      </c>
      <c r="F703" t="s">
        <v>60</v>
      </c>
      <c r="G703" t="s">
        <v>61</v>
      </c>
      <c r="H703" t="s">
        <v>67</v>
      </c>
      <c r="I703">
        <v>4712.24</v>
      </c>
      <c r="J703">
        <v>4</v>
      </c>
      <c r="K703">
        <v>0.25</v>
      </c>
      <c r="L703">
        <v>719.58</v>
      </c>
      <c r="M703" t="s">
        <v>105</v>
      </c>
      <c r="N703" t="s">
        <v>44</v>
      </c>
      <c r="O703" t="str">
        <f t="shared" si="20"/>
        <v>Bad</v>
      </c>
      <c r="P703">
        <f t="shared" si="21"/>
        <v>1178.06</v>
      </c>
      <c r="Q703">
        <v>45606</v>
      </c>
      <c r="R703">
        <f>YEAR(Table1[[#This Row],[Order_Date_New]])</f>
        <v>2024</v>
      </c>
      <c r="S703">
        <f>MONTH(Table1[[#This Row],[Order_Date_New]])</f>
        <v>11</v>
      </c>
      <c r="T703" t="str">
        <f>TEXT(Table1[[#This Row],[Order_Date_New]],"mmmm")</f>
        <v>November</v>
      </c>
      <c r="U703">
        <f>Table1[[#This Row],[Profit]]/Table1[[#This Row],[Sales]]</f>
        <v>0.1527044462930581</v>
      </c>
      <c r="V703" t="str">
        <f>IF(Table1[[#This Row],[Discount]]=0,"No Discount",IF(Table1[[#This Row],[Discount]]&lt;=0.1,"Low",IF(Table1[[#This Row],[Discount]]&lt;=0.2,"medium","high")))</f>
        <v>high</v>
      </c>
    </row>
    <row r="704" spans="1:22" x14ac:dyDescent="0.3">
      <c r="A704" t="s">
        <v>995</v>
      </c>
      <c r="B704" s="6">
        <v>45872</v>
      </c>
      <c r="C704" t="s">
        <v>150</v>
      </c>
      <c r="D704" t="s">
        <v>24</v>
      </c>
      <c r="E704" t="s">
        <v>84</v>
      </c>
      <c r="F704" t="s">
        <v>60</v>
      </c>
      <c r="G704" t="s">
        <v>61</v>
      </c>
      <c r="H704" t="s">
        <v>122</v>
      </c>
      <c r="I704">
        <v>1923.1</v>
      </c>
      <c r="J704">
        <v>10</v>
      </c>
      <c r="K704">
        <v>0.15</v>
      </c>
      <c r="L704">
        <v>-172.91</v>
      </c>
      <c r="M704" t="s">
        <v>29</v>
      </c>
      <c r="N704" t="s">
        <v>38</v>
      </c>
      <c r="O704" t="str">
        <f t="shared" si="20"/>
        <v>Bad</v>
      </c>
      <c r="P704">
        <f t="shared" si="21"/>
        <v>192.31</v>
      </c>
      <c r="Q704">
        <v>45872</v>
      </c>
      <c r="R704">
        <f>YEAR(Table1[[#This Row],[Order_Date_New]])</f>
        <v>2025</v>
      </c>
      <c r="S704">
        <f>MONTH(Table1[[#This Row],[Order_Date_New]])</f>
        <v>8</v>
      </c>
      <c r="T704" t="str">
        <f>TEXT(Table1[[#This Row],[Order_Date_New]],"mmmm")</f>
        <v>August</v>
      </c>
      <c r="U704">
        <f>Table1[[#This Row],[Profit]]/Table1[[#This Row],[Sales]]</f>
        <v>-8.991212105454735E-2</v>
      </c>
      <c r="V704" t="str">
        <f>IF(Table1[[#This Row],[Discount]]=0,"No Discount",IF(Table1[[#This Row],[Discount]]&lt;=0.1,"Low",IF(Table1[[#This Row],[Discount]]&lt;=0.2,"medium","high")))</f>
        <v>medium</v>
      </c>
    </row>
    <row r="705" spans="1:22" x14ac:dyDescent="0.3">
      <c r="A705" t="s">
        <v>996</v>
      </c>
      <c r="B705" s="6">
        <v>45830</v>
      </c>
      <c r="C705" t="s">
        <v>283</v>
      </c>
      <c r="D705" t="s">
        <v>24</v>
      </c>
      <c r="E705" t="s">
        <v>59</v>
      </c>
      <c r="F705" t="s">
        <v>26</v>
      </c>
      <c r="G705" t="s">
        <v>41</v>
      </c>
      <c r="H705" t="s">
        <v>189</v>
      </c>
      <c r="I705">
        <v>265.52</v>
      </c>
      <c r="J705">
        <v>8</v>
      </c>
      <c r="K705">
        <v>0.25</v>
      </c>
      <c r="L705">
        <v>48.09</v>
      </c>
      <c r="M705" t="s">
        <v>37</v>
      </c>
      <c r="N705" t="s">
        <v>38</v>
      </c>
      <c r="O705" t="str">
        <f t="shared" si="20"/>
        <v>Bad</v>
      </c>
      <c r="P705">
        <f t="shared" si="21"/>
        <v>33.19</v>
      </c>
      <c r="Q705">
        <v>45830</v>
      </c>
      <c r="R705">
        <f>YEAR(Table1[[#This Row],[Order_Date_New]])</f>
        <v>2025</v>
      </c>
      <c r="S705">
        <f>MONTH(Table1[[#This Row],[Order_Date_New]])</f>
        <v>6</v>
      </c>
      <c r="T705" t="str">
        <f>TEXT(Table1[[#This Row],[Order_Date_New]],"mmmm")</f>
        <v>June</v>
      </c>
      <c r="U705">
        <f>Table1[[#This Row],[Profit]]/Table1[[#This Row],[Sales]]</f>
        <v>0.1811163000903887</v>
      </c>
      <c r="V705" t="str">
        <f>IF(Table1[[#This Row],[Discount]]=0,"No Discount",IF(Table1[[#This Row],[Discount]]&lt;=0.1,"Low",IF(Table1[[#This Row],[Discount]]&lt;=0.2,"medium","high")))</f>
        <v>high</v>
      </c>
    </row>
    <row r="706" spans="1:22" x14ac:dyDescent="0.3">
      <c r="A706" t="s">
        <v>997</v>
      </c>
      <c r="B706" s="6">
        <v>45733</v>
      </c>
      <c r="C706" t="s">
        <v>998</v>
      </c>
      <c r="D706" t="s">
        <v>24</v>
      </c>
      <c r="E706" t="s">
        <v>25</v>
      </c>
      <c r="F706" t="s">
        <v>72</v>
      </c>
      <c r="G706" t="s">
        <v>88</v>
      </c>
      <c r="H706" t="s">
        <v>209</v>
      </c>
      <c r="I706">
        <v>806.16</v>
      </c>
      <c r="J706">
        <v>8</v>
      </c>
      <c r="K706">
        <v>0.3</v>
      </c>
      <c r="L706">
        <v>58.72</v>
      </c>
      <c r="M706" t="s">
        <v>68</v>
      </c>
      <c r="N706" t="s">
        <v>30</v>
      </c>
      <c r="O706" t="str">
        <f t="shared" ref="O706:O769" si="22">IF(AND(I706&gt;5000,J706&gt;7),"Good","Bad")</f>
        <v>Bad</v>
      </c>
      <c r="P706">
        <f t="shared" ref="P706:P769" si="23">I706/J706</f>
        <v>100.77</v>
      </c>
      <c r="Q706">
        <v>45733</v>
      </c>
      <c r="R706">
        <f>YEAR(Table1[[#This Row],[Order_Date_New]])</f>
        <v>2025</v>
      </c>
      <c r="S706">
        <f>MONTH(Table1[[#This Row],[Order_Date_New]])</f>
        <v>3</v>
      </c>
      <c r="T706" t="str">
        <f>TEXT(Table1[[#This Row],[Order_Date_New]],"mmmm")</f>
        <v>March</v>
      </c>
      <c r="U706">
        <f>Table1[[#This Row],[Profit]]/Table1[[#This Row],[Sales]]</f>
        <v>7.2839138632529526E-2</v>
      </c>
      <c r="V706" t="str">
        <f>IF(Table1[[#This Row],[Discount]]=0,"No Discount",IF(Table1[[#This Row],[Discount]]&lt;=0.1,"Low",IF(Table1[[#This Row],[Discount]]&lt;=0.2,"medium","high")))</f>
        <v>high</v>
      </c>
    </row>
    <row r="707" spans="1:22" x14ac:dyDescent="0.3">
      <c r="A707" t="s">
        <v>999</v>
      </c>
      <c r="B707" s="6">
        <v>45456</v>
      </c>
      <c r="C707" t="s">
        <v>270</v>
      </c>
      <c r="D707" t="s">
        <v>24</v>
      </c>
      <c r="E707" t="s">
        <v>25</v>
      </c>
      <c r="F707" t="s">
        <v>72</v>
      </c>
      <c r="G707" t="s">
        <v>73</v>
      </c>
      <c r="H707" t="s">
        <v>102</v>
      </c>
      <c r="I707">
        <v>2829.36</v>
      </c>
      <c r="J707">
        <v>3</v>
      </c>
      <c r="K707">
        <v>0.1</v>
      </c>
      <c r="L707">
        <v>10.56</v>
      </c>
      <c r="M707" t="s">
        <v>37</v>
      </c>
      <c r="N707" t="s">
        <v>44</v>
      </c>
      <c r="O707" t="str">
        <f t="shared" si="22"/>
        <v>Bad</v>
      </c>
      <c r="P707">
        <f t="shared" si="23"/>
        <v>943.12</v>
      </c>
      <c r="Q707">
        <v>45456</v>
      </c>
      <c r="R707">
        <f>YEAR(Table1[[#This Row],[Order_Date_New]])</f>
        <v>2024</v>
      </c>
      <c r="S707">
        <f>MONTH(Table1[[#This Row],[Order_Date_New]])</f>
        <v>6</v>
      </c>
      <c r="T707" t="str">
        <f>TEXT(Table1[[#This Row],[Order_Date_New]],"mmmm")</f>
        <v>June</v>
      </c>
      <c r="U707">
        <f>Table1[[#This Row],[Profit]]/Table1[[#This Row],[Sales]]</f>
        <v>3.7322928153363305E-3</v>
      </c>
      <c r="V707" t="str">
        <f>IF(Table1[[#This Row],[Discount]]=0,"No Discount",IF(Table1[[#This Row],[Discount]]&lt;=0.1,"Low",IF(Table1[[#This Row],[Discount]]&lt;=0.2,"medium","high")))</f>
        <v>Low</v>
      </c>
    </row>
    <row r="708" spans="1:22" x14ac:dyDescent="0.3">
      <c r="A708" t="s">
        <v>1000</v>
      </c>
      <c r="B708" s="6">
        <v>45849</v>
      </c>
      <c r="C708" t="s">
        <v>595</v>
      </c>
      <c r="D708" t="s">
        <v>33</v>
      </c>
      <c r="E708" t="s">
        <v>34</v>
      </c>
      <c r="F708" t="s">
        <v>72</v>
      </c>
      <c r="G708" t="s">
        <v>73</v>
      </c>
      <c r="H708" t="s">
        <v>102</v>
      </c>
      <c r="I708">
        <v>5390.2</v>
      </c>
      <c r="J708">
        <v>10</v>
      </c>
      <c r="K708">
        <v>0</v>
      </c>
      <c r="L708">
        <v>2320.46</v>
      </c>
      <c r="M708" t="s">
        <v>37</v>
      </c>
      <c r="N708" t="s">
        <v>44</v>
      </c>
      <c r="O708" t="str">
        <f t="shared" si="22"/>
        <v>Good</v>
      </c>
      <c r="P708">
        <f t="shared" si="23"/>
        <v>539.02</v>
      </c>
      <c r="Q708">
        <v>45849</v>
      </c>
      <c r="R708">
        <f>YEAR(Table1[[#This Row],[Order_Date_New]])</f>
        <v>2025</v>
      </c>
      <c r="S708">
        <f>MONTH(Table1[[#This Row],[Order_Date_New]])</f>
        <v>7</v>
      </c>
      <c r="T708" t="str">
        <f>TEXT(Table1[[#This Row],[Order_Date_New]],"mmmm")</f>
        <v>July</v>
      </c>
      <c r="U708">
        <f>Table1[[#This Row],[Profit]]/Table1[[#This Row],[Sales]]</f>
        <v>0.43049608548847912</v>
      </c>
      <c r="V708" t="str">
        <f>IF(Table1[[#This Row],[Discount]]=0,"No Discount",IF(Table1[[#This Row],[Discount]]&lt;=0.1,"Low",IF(Table1[[#This Row],[Discount]]&lt;=0.2,"medium","high")))</f>
        <v>No Discount</v>
      </c>
    </row>
    <row r="709" spans="1:22" x14ac:dyDescent="0.3">
      <c r="A709" t="s">
        <v>1001</v>
      </c>
      <c r="B709" s="6">
        <v>45810</v>
      </c>
      <c r="C709" t="s">
        <v>939</v>
      </c>
      <c r="D709" t="s">
        <v>128</v>
      </c>
      <c r="E709" t="s">
        <v>146</v>
      </c>
      <c r="F709" t="s">
        <v>60</v>
      </c>
      <c r="G709" t="s">
        <v>78</v>
      </c>
      <c r="H709" t="s">
        <v>222</v>
      </c>
      <c r="I709">
        <v>6185.6</v>
      </c>
      <c r="J709">
        <v>10</v>
      </c>
      <c r="K709">
        <v>0.15</v>
      </c>
      <c r="L709">
        <v>737.97</v>
      </c>
      <c r="M709" t="s">
        <v>170</v>
      </c>
      <c r="N709" t="s">
        <v>38</v>
      </c>
      <c r="O709" t="str">
        <f t="shared" si="22"/>
        <v>Good</v>
      </c>
      <c r="P709">
        <f t="shared" si="23"/>
        <v>618.56000000000006</v>
      </c>
      <c r="Q709">
        <v>45810</v>
      </c>
      <c r="R709">
        <f>YEAR(Table1[[#This Row],[Order_Date_New]])</f>
        <v>2025</v>
      </c>
      <c r="S709">
        <f>MONTH(Table1[[#This Row],[Order_Date_New]])</f>
        <v>6</v>
      </c>
      <c r="T709" t="str">
        <f>TEXT(Table1[[#This Row],[Order_Date_New]],"mmmm")</f>
        <v>June</v>
      </c>
      <c r="U709">
        <f>Table1[[#This Row],[Profit]]/Table1[[#This Row],[Sales]]</f>
        <v>0.11930451370926022</v>
      </c>
      <c r="V709" t="str">
        <f>IF(Table1[[#This Row],[Discount]]=0,"No Discount",IF(Table1[[#This Row],[Discount]]&lt;=0.1,"Low",IF(Table1[[#This Row],[Discount]]&lt;=0.2,"medium","high")))</f>
        <v>medium</v>
      </c>
    </row>
    <row r="710" spans="1:22" x14ac:dyDescent="0.3">
      <c r="A710" t="s">
        <v>1002</v>
      </c>
      <c r="B710" s="6">
        <v>45596</v>
      </c>
      <c r="C710" t="s">
        <v>172</v>
      </c>
      <c r="D710" t="s">
        <v>24</v>
      </c>
      <c r="E710" t="s">
        <v>97</v>
      </c>
      <c r="F710" t="s">
        <v>26</v>
      </c>
      <c r="G710" t="s">
        <v>41</v>
      </c>
      <c r="H710" t="s">
        <v>42</v>
      </c>
      <c r="I710">
        <v>6694.4</v>
      </c>
      <c r="J710">
        <v>10</v>
      </c>
      <c r="K710">
        <v>0.15</v>
      </c>
      <c r="L710">
        <v>181.68</v>
      </c>
      <c r="M710" t="s">
        <v>113</v>
      </c>
      <c r="N710" t="s">
        <v>44</v>
      </c>
      <c r="O710" t="str">
        <f t="shared" si="22"/>
        <v>Good</v>
      </c>
      <c r="P710">
        <f t="shared" si="23"/>
        <v>669.43999999999994</v>
      </c>
      <c r="Q710">
        <v>45596</v>
      </c>
      <c r="R710">
        <f>YEAR(Table1[[#This Row],[Order_Date_New]])</f>
        <v>2024</v>
      </c>
      <c r="S710">
        <f>MONTH(Table1[[#This Row],[Order_Date_New]])</f>
        <v>10</v>
      </c>
      <c r="T710" t="str">
        <f>TEXT(Table1[[#This Row],[Order_Date_New]],"mmmm")</f>
        <v>October</v>
      </c>
      <c r="U710">
        <f>Table1[[#This Row],[Profit]]/Table1[[#This Row],[Sales]]</f>
        <v>2.7139101338432125E-2</v>
      </c>
      <c r="V710" t="str">
        <f>IF(Table1[[#This Row],[Discount]]=0,"No Discount",IF(Table1[[#This Row],[Discount]]&lt;=0.1,"Low",IF(Table1[[#This Row],[Discount]]&lt;=0.2,"medium","high")))</f>
        <v>medium</v>
      </c>
    </row>
    <row r="711" spans="1:22" x14ac:dyDescent="0.3">
      <c r="A711" t="s">
        <v>1003</v>
      </c>
      <c r="B711" s="6">
        <v>45893</v>
      </c>
      <c r="C711" t="s">
        <v>285</v>
      </c>
      <c r="D711" t="s">
        <v>128</v>
      </c>
      <c r="E711" t="s">
        <v>202</v>
      </c>
      <c r="F711" t="s">
        <v>60</v>
      </c>
      <c r="G711" t="s">
        <v>98</v>
      </c>
      <c r="H711" t="s">
        <v>141</v>
      </c>
      <c r="I711">
        <v>6610.95</v>
      </c>
      <c r="J711">
        <v>9</v>
      </c>
      <c r="K711">
        <v>0.3</v>
      </c>
      <c r="L711">
        <v>204.13</v>
      </c>
      <c r="M711" t="s">
        <v>113</v>
      </c>
      <c r="N711" t="s">
        <v>30</v>
      </c>
      <c r="O711" t="str">
        <f t="shared" si="22"/>
        <v>Good</v>
      </c>
      <c r="P711">
        <f t="shared" si="23"/>
        <v>734.55</v>
      </c>
      <c r="Q711">
        <v>45893</v>
      </c>
      <c r="R711">
        <f>YEAR(Table1[[#This Row],[Order_Date_New]])</f>
        <v>2025</v>
      </c>
      <c r="S711">
        <f>MONTH(Table1[[#This Row],[Order_Date_New]])</f>
        <v>8</v>
      </c>
      <c r="T711" t="str">
        <f>TEXT(Table1[[#This Row],[Order_Date_New]],"mmmm")</f>
        <v>August</v>
      </c>
      <c r="U711">
        <f>Table1[[#This Row],[Profit]]/Table1[[#This Row],[Sales]]</f>
        <v>3.0877559201022545E-2</v>
      </c>
      <c r="V711" t="str">
        <f>IF(Table1[[#This Row],[Discount]]=0,"No Discount",IF(Table1[[#This Row],[Discount]]&lt;=0.1,"Low",IF(Table1[[#This Row],[Discount]]&lt;=0.2,"medium","high")))</f>
        <v>high</v>
      </c>
    </row>
    <row r="712" spans="1:22" x14ac:dyDescent="0.3">
      <c r="A712" t="s">
        <v>1004</v>
      </c>
      <c r="B712" s="6">
        <v>46016</v>
      </c>
      <c r="C712" t="s">
        <v>823</v>
      </c>
      <c r="D712" t="s">
        <v>53</v>
      </c>
      <c r="E712" t="s">
        <v>87</v>
      </c>
      <c r="F712" t="s">
        <v>72</v>
      </c>
      <c r="G712" t="s">
        <v>73</v>
      </c>
      <c r="H712" t="s">
        <v>293</v>
      </c>
      <c r="I712">
        <v>2907.75</v>
      </c>
      <c r="J712">
        <v>3</v>
      </c>
      <c r="K712">
        <v>0.2</v>
      </c>
      <c r="L712">
        <v>-4.4400000000000004</v>
      </c>
      <c r="M712" t="s">
        <v>43</v>
      </c>
      <c r="N712" t="s">
        <v>30</v>
      </c>
      <c r="O712" t="str">
        <f t="shared" si="22"/>
        <v>Bad</v>
      </c>
      <c r="P712">
        <f t="shared" si="23"/>
        <v>969.25</v>
      </c>
      <c r="Q712">
        <v>46016</v>
      </c>
      <c r="R712">
        <f>YEAR(Table1[[#This Row],[Order_Date_New]])</f>
        <v>2025</v>
      </c>
      <c r="S712">
        <f>MONTH(Table1[[#This Row],[Order_Date_New]])</f>
        <v>12</v>
      </c>
      <c r="T712" t="str">
        <f>TEXT(Table1[[#This Row],[Order_Date_New]],"mmmm")</f>
        <v>December</v>
      </c>
      <c r="U712">
        <f>Table1[[#This Row],[Profit]]/Table1[[#This Row],[Sales]]</f>
        <v>-1.5269538302811454E-3</v>
      </c>
      <c r="V712" t="str">
        <f>IF(Table1[[#This Row],[Discount]]=0,"No Discount",IF(Table1[[#This Row],[Discount]]&lt;=0.1,"Low",IF(Table1[[#This Row],[Discount]]&lt;=0.2,"medium","high")))</f>
        <v>medium</v>
      </c>
    </row>
    <row r="713" spans="1:22" x14ac:dyDescent="0.3">
      <c r="A713" t="s">
        <v>1005</v>
      </c>
      <c r="B713" s="6">
        <v>45319</v>
      </c>
      <c r="C713" t="s">
        <v>454</v>
      </c>
      <c r="D713" t="s">
        <v>33</v>
      </c>
      <c r="E713" t="s">
        <v>48</v>
      </c>
      <c r="F713" t="s">
        <v>60</v>
      </c>
      <c r="G713" t="s">
        <v>98</v>
      </c>
      <c r="H713" t="s">
        <v>99</v>
      </c>
      <c r="I713">
        <v>1820.72</v>
      </c>
      <c r="J713">
        <v>2</v>
      </c>
      <c r="K713">
        <v>0</v>
      </c>
      <c r="L713">
        <v>523.9</v>
      </c>
      <c r="M713" t="s">
        <v>170</v>
      </c>
      <c r="N713" t="s">
        <v>80</v>
      </c>
      <c r="O713" t="str">
        <f t="shared" si="22"/>
        <v>Bad</v>
      </c>
      <c r="P713">
        <f t="shared" si="23"/>
        <v>910.36</v>
      </c>
      <c r="Q713">
        <v>45319</v>
      </c>
      <c r="R713">
        <f>YEAR(Table1[[#This Row],[Order_Date_New]])</f>
        <v>2024</v>
      </c>
      <c r="S713">
        <f>MONTH(Table1[[#This Row],[Order_Date_New]])</f>
        <v>1</v>
      </c>
      <c r="T713" t="str">
        <f>TEXT(Table1[[#This Row],[Order_Date_New]],"mmmm")</f>
        <v>January</v>
      </c>
      <c r="U713">
        <f>Table1[[#This Row],[Profit]]/Table1[[#This Row],[Sales]]</f>
        <v>0.28774331033876704</v>
      </c>
      <c r="V713" t="str">
        <f>IF(Table1[[#This Row],[Discount]]=0,"No Discount",IF(Table1[[#This Row],[Discount]]&lt;=0.1,"Low",IF(Table1[[#This Row],[Discount]]&lt;=0.2,"medium","high")))</f>
        <v>No Discount</v>
      </c>
    </row>
    <row r="714" spans="1:22" x14ac:dyDescent="0.3">
      <c r="A714" t="s">
        <v>1006</v>
      </c>
      <c r="B714" s="6">
        <v>45966</v>
      </c>
      <c r="C714" t="s">
        <v>96</v>
      </c>
      <c r="D714" t="s">
        <v>33</v>
      </c>
      <c r="E714" t="s">
        <v>66</v>
      </c>
      <c r="F714" t="s">
        <v>26</v>
      </c>
      <c r="G714" t="s">
        <v>41</v>
      </c>
      <c r="H714" t="s">
        <v>108</v>
      </c>
      <c r="I714">
        <v>9089.84</v>
      </c>
      <c r="J714">
        <v>8</v>
      </c>
      <c r="K714">
        <v>0.2</v>
      </c>
      <c r="L714">
        <v>1363.65</v>
      </c>
      <c r="M714" t="s">
        <v>43</v>
      </c>
      <c r="N714" t="s">
        <v>38</v>
      </c>
      <c r="O714" t="str">
        <f t="shared" si="22"/>
        <v>Good</v>
      </c>
      <c r="P714">
        <f t="shared" si="23"/>
        <v>1136.23</v>
      </c>
      <c r="Q714">
        <v>45966</v>
      </c>
      <c r="R714">
        <f>YEAR(Table1[[#This Row],[Order_Date_New]])</f>
        <v>2025</v>
      </c>
      <c r="S714">
        <f>MONTH(Table1[[#This Row],[Order_Date_New]])</f>
        <v>11</v>
      </c>
      <c r="T714" t="str">
        <f>TEXT(Table1[[#This Row],[Order_Date_New]],"mmmm")</f>
        <v>November</v>
      </c>
      <c r="U714">
        <f>Table1[[#This Row],[Profit]]/Table1[[#This Row],[Sales]]</f>
        <v>0.15001914225112875</v>
      </c>
      <c r="V714" t="str">
        <f>IF(Table1[[#This Row],[Discount]]=0,"No Discount",IF(Table1[[#This Row],[Discount]]&lt;=0.1,"Low",IF(Table1[[#This Row],[Discount]]&lt;=0.2,"medium","high")))</f>
        <v>medium</v>
      </c>
    </row>
    <row r="715" spans="1:22" x14ac:dyDescent="0.3">
      <c r="A715" t="s">
        <v>1007</v>
      </c>
      <c r="B715" s="6">
        <v>46021</v>
      </c>
      <c r="C715" t="s">
        <v>211</v>
      </c>
      <c r="D715" t="s">
        <v>33</v>
      </c>
      <c r="E715" t="s">
        <v>66</v>
      </c>
      <c r="F715" t="s">
        <v>26</v>
      </c>
      <c r="G715" t="s">
        <v>27</v>
      </c>
      <c r="H715" t="s">
        <v>28</v>
      </c>
      <c r="I715">
        <v>385.5</v>
      </c>
      <c r="J715">
        <v>1</v>
      </c>
      <c r="K715">
        <v>0.3</v>
      </c>
      <c r="L715">
        <v>-70.930000000000007</v>
      </c>
      <c r="M715" t="s">
        <v>43</v>
      </c>
      <c r="N715" t="s">
        <v>38</v>
      </c>
      <c r="O715" t="str">
        <f t="shared" si="22"/>
        <v>Bad</v>
      </c>
      <c r="P715">
        <f t="shared" si="23"/>
        <v>385.5</v>
      </c>
      <c r="Q715">
        <v>46021</v>
      </c>
      <c r="R715">
        <f>YEAR(Table1[[#This Row],[Order_Date_New]])</f>
        <v>2025</v>
      </c>
      <c r="S715">
        <f>MONTH(Table1[[#This Row],[Order_Date_New]])</f>
        <v>12</v>
      </c>
      <c r="T715" t="str">
        <f>TEXT(Table1[[#This Row],[Order_Date_New]],"mmmm")</f>
        <v>December</v>
      </c>
      <c r="U715">
        <f>Table1[[#This Row],[Profit]]/Table1[[#This Row],[Sales]]</f>
        <v>-0.18399481193255515</v>
      </c>
      <c r="V715" t="str">
        <f>IF(Table1[[#This Row],[Discount]]=0,"No Discount",IF(Table1[[#This Row],[Discount]]&lt;=0.1,"Low",IF(Table1[[#This Row],[Discount]]&lt;=0.2,"medium","high")))</f>
        <v>high</v>
      </c>
    </row>
    <row r="716" spans="1:22" x14ac:dyDescent="0.3">
      <c r="A716" t="s">
        <v>1008</v>
      </c>
      <c r="B716" s="6">
        <v>45680</v>
      </c>
      <c r="C716" t="s">
        <v>290</v>
      </c>
      <c r="D716" t="s">
        <v>33</v>
      </c>
      <c r="E716" t="s">
        <v>66</v>
      </c>
      <c r="F716" t="s">
        <v>60</v>
      </c>
      <c r="G716" t="s">
        <v>98</v>
      </c>
      <c r="H716" t="s">
        <v>141</v>
      </c>
      <c r="I716">
        <v>8647.92</v>
      </c>
      <c r="J716">
        <v>8</v>
      </c>
      <c r="K716">
        <v>0.15</v>
      </c>
      <c r="L716">
        <v>1212.05</v>
      </c>
      <c r="M716" t="s">
        <v>49</v>
      </c>
      <c r="N716" t="s">
        <v>80</v>
      </c>
      <c r="O716" t="str">
        <f t="shared" si="22"/>
        <v>Good</v>
      </c>
      <c r="P716">
        <f t="shared" si="23"/>
        <v>1080.99</v>
      </c>
      <c r="Q716">
        <v>45680</v>
      </c>
      <c r="R716">
        <f>YEAR(Table1[[#This Row],[Order_Date_New]])</f>
        <v>2025</v>
      </c>
      <c r="S716">
        <f>MONTH(Table1[[#This Row],[Order_Date_New]])</f>
        <v>1</v>
      </c>
      <c r="T716" t="str">
        <f>TEXT(Table1[[#This Row],[Order_Date_New]],"mmmm")</f>
        <v>January</v>
      </c>
      <c r="U716">
        <f>Table1[[#This Row],[Profit]]/Table1[[#This Row],[Sales]]</f>
        <v>0.14015508931627488</v>
      </c>
      <c r="V716" t="str">
        <f>IF(Table1[[#This Row],[Discount]]=0,"No Discount",IF(Table1[[#This Row],[Discount]]&lt;=0.1,"Low",IF(Table1[[#This Row],[Discount]]&lt;=0.2,"medium","high")))</f>
        <v>medium</v>
      </c>
    </row>
    <row r="717" spans="1:22" x14ac:dyDescent="0.3">
      <c r="A717" t="s">
        <v>1009</v>
      </c>
      <c r="B717" s="6">
        <v>45558</v>
      </c>
      <c r="C717" t="s">
        <v>479</v>
      </c>
      <c r="D717" t="s">
        <v>128</v>
      </c>
      <c r="E717" t="s">
        <v>132</v>
      </c>
      <c r="F717" t="s">
        <v>26</v>
      </c>
      <c r="G717" t="s">
        <v>35</v>
      </c>
      <c r="H717" t="s">
        <v>55</v>
      </c>
      <c r="I717">
        <v>3151.3</v>
      </c>
      <c r="J717">
        <v>10</v>
      </c>
      <c r="K717">
        <v>0.05</v>
      </c>
      <c r="L717">
        <v>1055.6400000000001</v>
      </c>
      <c r="M717" t="s">
        <v>29</v>
      </c>
      <c r="N717" t="s">
        <v>38</v>
      </c>
      <c r="O717" t="str">
        <f t="shared" si="22"/>
        <v>Bad</v>
      </c>
      <c r="P717">
        <f t="shared" si="23"/>
        <v>315.13</v>
      </c>
      <c r="Q717">
        <v>45558</v>
      </c>
      <c r="R717">
        <f>YEAR(Table1[[#This Row],[Order_Date_New]])</f>
        <v>2024</v>
      </c>
      <c r="S717">
        <f>MONTH(Table1[[#This Row],[Order_Date_New]])</f>
        <v>9</v>
      </c>
      <c r="T717" t="str">
        <f>TEXT(Table1[[#This Row],[Order_Date_New]],"mmmm")</f>
        <v>September</v>
      </c>
      <c r="U717">
        <f>Table1[[#This Row],[Profit]]/Table1[[#This Row],[Sales]]</f>
        <v>0.3349855615142957</v>
      </c>
      <c r="V717" t="str">
        <f>IF(Table1[[#This Row],[Discount]]=0,"No Discount",IF(Table1[[#This Row],[Discount]]&lt;=0.1,"Low",IF(Table1[[#This Row],[Discount]]&lt;=0.2,"medium","high")))</f>
        <v>Low</v>
      </c>
    </row>
    <row r="718" spans="1:22" x14ac:dyDescent="0.3">
      <c r="A718" t="s">
        <v>1010</v>
      </c>
      <c r="B718" s="6">
        <v>45500</v>
      </c>
      <c r="C718" t="s">
        <v>131</v>
      </c>
      <c r="D718" t="s">
        <v>24</v>
      </c>
      <c r="E718" t="s">
        <v>84</v>
      </c>
      <c r="F718" t="s">
        <v>60</v>
      </c>
      <c r="G718" t="s">
        <v>61</v>
      </c>
      <c r="H718" t="s">
        <v>62</v>
      </c>
      <c r="I718">
        <v>4454.8</v>
      </c>
      <c r="J718">
        <v>5</v>
      </c>
      <c r="K718">
        <v>0.05</v>
      </c>
      <c r="L718">
        <v>1034.43</v>
      </c>
      <c r="M718" t="s">
        <v>133</v>
      </c>
      <c r="N718" t="s">
        <v>30</v>
      </c>
      <c r="O718" t="str">
        <f t="shared" si="22"/>
        <v>Bad</v>
      </c>
      <c r="P718">
        <f t="shared" si="23"/>
        <v>890.96</v>
      </c>
      <c r="Q718">
        <v>45500</v>
      </c>
      <c r="R718">
        <f>YEAR(Table1[[#This Row],[Order_Date_New]])</f>
        <v>2024</v>
      </c>
      <c r="S718">
        <f>MONTH(Table1[[#This Row],[Order_Date_New]])</f>
        <v>7</v>
      </c>
      <c r="T718" t="str">
        <f>TEXT(Table1[[#This Row],[Order_Date_New]],"mmmm")</f>
        <v>July</v>
      </c>
      <c r="U718">
        <f>Table1[[#This Row],[Profit]]/Table1[[#This Row],[Sales]]</f>
        <v>0.2322057106940828</v>
      </c>
      <c r="V718" t="str">
        <f>IF(Table1[[#This Row],[Discount]]=0,"No Discount",IF(Table1[[#This Row],[Discount]]&lt;=0.1,"Low",IF(Table1[[#This Row],[Discount]]&lt;=0.2,"medium","high")))</f>
        <v>Low</v>
      </c>
    </row>
    <row r="719" spans="1:22" x14ac:dyDescent="0.3">
      <c r="A719" t="s">
        <v>1011</v>
      </c>
      <c r="B719" s="6">
        <v>45547</v>
      </c>
      <c r="C719" t="s">
        <v>369</v>
      </c>
      <c r="D719" t="s">
        <v>24</v>
      </c>
      <c r="E719" t="s">
        <v>25</v>
      </c>
      <c r="F719" t="s">
        <v>72</v>
      </c>
      <c r="G719" t="s">
        <v>73</v>
      </c>
      <c r="H719" t="s">
        <v>293</v>
      </c>
      <c r="I719">
        <v>3082.4</v>
      </c>
      <c r="J719">
        <v>4</v>
      </c>
      <c r="K719">
        <v>0.1</v>
      </c>
      <c r="L719">
        <v>56.46</v>
      </c>
      <c r="M719" t="s">
        <v>170</v>
      </c>
      <c r="N719" t="s">
        <v>80</v>
      </c>
      <c r="O719" t="str">
        <f t="shared" si="22"/>
        <v>Bad</v>
      </c>
      <c r="P719">
        <f t="shared" si="23"/>
        <v>770.6</v>
      </c>
      <c r="Q719">
        <v>45547</v>
      </c>
      <c r="R719">
        <f>YEAR(Table1[[#This Row],[Order_Date_New]])</f>
        <v>2024</v>
      </c>
      <c r="S719">
        <f>MONTH(Table1[[#This Row],[Order_Date_New]])</f>
        <v>9</v>
      </c>
      <c r="T719" t="str">
        <f>TEXT(Table1[[#This Row],[Order_Date_New]],"mmmm")</f>
        <v>September</v>
      </c>
      <c r="U719">
        <f>Table1[[#This Row],[Profit]]/Table1[[#This Row],[Sales]]</f>
        <v>1.8316895925253051E-2</v>
      </c>
      <c r="V719" t="str">
        <f>IF(Table1[[#This Row],[Discount]]=0,"No Discount",IF(Table1[[#This Row],[Discount]]&lt;=0.1,"Low",IF(Table1[[#This Row],[Discount]]&lt;=0.2,"medium","high")))</f>
        <v>Low</v>
      </c>
    </row>
    <row r="720" spans="1:22" x14ac:dyDescent="0.3">
      <c r="A720" t="s">
        <v>1012</v>
      </c>
      <c r="B720" s="6">
        <v>45956</v>
      </c>
      <c r="C720" t="s">
        <v>288</v>
      </c>
      <c r="D720" t="s">
        <v>33</v>
      </c>
      <c r="E720" t="s">
        <v>118</v>
      </c>
      <c r="F720" t="s">
        <v>26</v>
      </c>
      <c r="G720" t="s">
        <v>35</v>
      </c>
      <c r="H720" t="s">
        <v>173</v>
      </c>
      <c r="I720">
        <v>11898.7</v>
      </c>
      <c r="J720">
        <v>10</v>
      </c>
      <c r="K720">
        <v>0.3</v>
      </c>
      <c r="L720">
        <v>-2521.1</v>
      </c>
      <c r="M720" t="s">
        <v>37</v>
      </c>
      <c r="N720" t="s">
        <v>38</v>
      </c>
      <c r="O720" t="str">
        <f t="shared" si="22"/>
        <v>Good</v>
      </c>
      <c r="P720">
        <f t="shared" si="23"/>
        <v>1189.8700000000001</v>
      </c>
      <c r="Q720">
        <v>45956</v>
      </c>
      <c r="R720">
        <f>YEAR(Table1[[#This Row],[Order_Date_New]])</f>
        <v>2025</v>
      </c>
      <c r="S720">
        <f>MONTH(Table1[[#This Row],[Order_Date_New]])</f>
        <v>10</v>
      </c>
      <c r="T720" t="str">
        <f>TEXT(Table1[[#This Row],[Order_Date_New]],"mmmm")</f>
        <v>October</v>
      </c>
      <c r="U720">
        <f>Table1[[#This Row],[Profit]]/Table1[[#This Row],[Sales]]</f>
        <v>-0.21188028944338455</v>
      </c>
      <c r="V720" t="str">
        <f>IF(Table1[[#This Row],[Discount]]=0,"No Discount",IF(Table1[[#This Row],[Discount]]&lt;=0.1,"Low",IF(Table1[[#This Row],[Discount]]&lt;=0.2,"medium","high")))</f>
        <v>high</v>
      </c>
    </row>
    <row r="721" spans="1:22" x14ac:dyDescent="0.3">
      <c r="A721" t="s">
        <v>1013</v>
      </c>
      <c r="B721" s="6">
        <v>45889</v>
      </c>
      <c r="C721" t="s">
        <v>115</v>
      </c>
      <c r="D721" t="s">
        <v>33</v>
      </c>
      <c r="E721" t="s">
        <v>34</v>
      </c>
      <c r="F721" t="s">
        <v>72</v>
      </c>
      <c r="G721" t="s">
        <v>88</v>
      </c>
      <c r="H721" t="s">
        <v>119</v>
      </c>
      <c r="I721">
        <v>2202.12</v>
      </c>
      <c r="J721">
        <v>6</v>
      </c>
      <c r="K721">
        <v>0.15</v>
      </c>
      <c r="L721">
        <v>-213.47</v>
      </c>
      <c r="M721" t="s">
        <v>49</v>
      </c>
      <c r="N721" t="s">
        <v>80</v>
      </c>
      <c r="O721" t="str">
        <f t="shared" si="22"/>
        <v>Bad</v>
      </c>
      <c r="P721">
        <f t="shared" si="23"/>
        <v>367.02</v>
      </c>
      <c r="Q721">
        <v>45889</v>
      </c>
      <c r="R721">
        <f>YEAR(Table1[[#This Row],[Order_Date_New]])</f>
        <v>2025</v>
      </c>
      <c r="S721">
        <f>MONTH(Table1[[#This Row],[Order_Date_New]])</f>
        <v>8</v>
      </c>
      <c r="T721" t="str">
        <f>TEXT(Table1[[#This Row],[Order_Date_New]],"mmmm")</f>
        <v>August</v>
      </c>
      <c r="U721">
        <f>Table1[[#This Row],[Profit]]/Table1[[#This Row],[Sales]]</f>
        <v>-9.693840480991045E-2</v>
      </c>
      <c r="V721" t="str">
        <f>IF(Table1[[#This Row],[Discount]]=0,"No Discount",IF(Table1[[#This Row],[Discount]]&lt;=0.1,"Low",IF(Table1[[#This Row],[Discount]]&lt;=0.2,"medium","high")))</f>
        <v>medium</v>
      </c>
    </row>
    <row r="722" spans="1:22" x14ac:dyDescent="0.3">
      <c r="A722" t="s">
        <v>1014</v>
      </c>
      <c r="B722" s="6">
        <v>45972</v>
      </c>
      <c r="C722" t="s">
        <v>450</v>
      </c>
      <c r="D722" t="s">
        <v>24</v>
      </c>
      <c r="E722" t="s">
        <v>84</v>
      </c>
      <c r="F722" t="s">
        <v>26</v>
      </c>
      <c r="G722" t="s">
        <v>41</v>
      </c>
      <c r="H722" t="s">
        <v>108</v>
      </c>
      <c r="I722">
        <v>2173.38</v>
      </c>
      <c r="J722">
        <v>2</v>
      </c>
      <c r="K722">
        <v>0.1</v>
      </c>
      <c r="L722">
        <v>85.27</v>
      </c>
      <c r="M722" t="s">
        <v>105</v>
      </c>
      <c r="N722" t="s">
        <v>44</v>
      </c>
      <c r="O722" t="str">
        <f t="shared" si="22"/>
        <v>Bad</v>
      </c>
      <c r="P722">
        <f t="shared" si="23"/>
        <v>1086.69</v>
      </c>
      <c r="Q722">
        <v>45972</v>
      </c>
      <c r="R722">
        <f>YEAR(Table1[[#This Row],[Order_Date_New]])</f>
        <v>2025</v>
      </c>
      <c r="S722">
        <f>MONTH(Table1[[#This Row],[Order_Date_New]])</f>
        <v>11</v>
      </c>
      <c r="T722" t="str">
        <f>TEXT(Table1[[#This Row],[Order_Date_New]],"mmmm")</f>
        <v>November</v>
      </c>
      <c r="U722">
        <f>Table1[[#This Row],[Profit]]/Table1[[#This Row],[Sales]]</f>
        <v>3.923382013269653E-2</v>
      </c>
      <c r="V722" t="str">
        <f>IF(Table1[[#This Row],[Discount]]=0,"No Discount",IF(Table1[[#This Row],[Discount]]&lt;=0.1,"Low",IF(Table1[[#This Row],[Discount]]&lt;=0.2,"medium","high")))</f>
        <v>Low</v>
      </c>
    </row>
    <row r="723" spans="1:22" x14ac:dyDescent="0.3">
      <c r="A723" t="s">
        <v>1015</v>
      </c>
      <c r="B723" s="6">
        <v>45293</v>
      </c>
      <c r="C723" t="s">
        <v>317</v>
      </c>
      <c r="D723" t="s">
        <v>128</v>
      </c>
      <c r="E723" t="s">
        <v>132</v>
      </c>
      <c r="F723" t="s">
        <v>60</v>
      </c>
      <c r="G723" t="s">
        <v>61</v>
      </c>
      <c r="H723" t="s">
        <v>62</v>
      </c>
      <c r="I723">
        <v>5668.16</v>
      </c>
      <c r="J723">
        <v>8</v>
      </c>
      <c r="K723">
        <v>0.05</v>
      </c>
      <c r="L723">
        <v>1708.82</v>
      </c>
      <c r="M723" t="s">
        <v>37</v>
      </c>
      <c r="N723" t="s">
        <v>30</v>
      </c>
      <c r="O723" t="str">
        <f t="shared" si="22"/>
        <v>Good</v>
      </c>
      <c r="P723">
        <f t="shared" si="23"/>
        <v>708.52</v>
      </c>
      <c r="Q723">
        <v>45293</v>
      </c>
      <c r="R723">
        <f>YEAR(Table1[[#This Row],[Order_Date_New]])</f>
        <v>2024</v>
      </c>
      <c r="S723">
        <f>MONTH(Table1[[#This Row],[Order_Date_New]])</f>
        <v>1</v>
      </c>
      <c r="T723" t="str">
        <f>TEXT(Table1[[#This Row],[Order_Date_New]],"mmmm")</f>
        <v>January</v>
      </c>
      <c r="U723">
        <f>Table1[[#This Row],[Profit]]/Table1[[#This Row],[Sales]]</f>
        <v>0.30147702252582848</v>
      </c>
      <c r="V723" t="str">
        <f>IF(Table1[[#This Row],[Discount]]=0,"No Discount",IF(Table1[[#This Row],[Discount]]&lt;=0.1,"Low",IF(Table1[[#This Row],[Discount]]&lt;=0.2,"medium","high")))</f>
        <v>Low</v>
      </c>
    </row>
    <row r="724" spans="1:22" x14ac:dyDescent="0.3">
      <c r="A724" t="s">
        <v>1016</v>
      </c>
      <c r="B724" s="6">
        <v>45678</v>
      </c>
      <c r="C724" t="s">
        <v>466</v>
      </c>
      <c r="D724" t="s">
        <v>128</v>
      </c>
      <c r="E724" t="s">
        <v>146</v>
      </c>
      <c r="F724" t="s">
        <v>72</v>
      </c>
      <c r="G724" t="s">
        <v>88</v>
      </c>
      <c r="H724" t="s">
        <v>119</v>
      </c>
      <c r="I724">
        <v>10865.2</v>
      </c>
      <c r="J724">
        <v>10</v>
      </c>
      <c r="K724">
        <v>0.2</v>
      </c>
      <c r="L724">
        <v>2093.02</v>
      </c>
      <c r="M724" t="s">
        <v>37</v>
      </c>
      <c r="N724" t="s">
        <v>30</v>
      </c>
      <c r="O724" t="str">
        <f t="shared" si="22"/>
        <v>Good</v>
      </c>
      <c r="P724">
        <f t="shared" si="23"/>
        <v>1086.52</v>
      </c>
      <c r="Q724">
        <v>45678</v>
      </c>
      <c r="R724">
        <f>YEAR(Table1[[#This Row],[Order_Date_New]])</f>
        <v>2025</v>
      </c>
      <c r="S724">
        <f>MONTH(Table1[[#This Row],[Order_Date_New]])</f>
        <v>1</v>
      </c>
      <c r="T724" t="str">
        <f>TEXT(Table1[[#This Row],[Order_Date_New]],"mmmm")</f>
        <v>January</v>
      </c>
      <c r="U724">
        <f>Table1[[#This Row],[Profit]]/Table1[[#This Row],[Sales]]</f>
        <v>0.19263520229724257</v>
      </c>
      <c r="V724" t="str">
        <f>IF(Table1[[#This Row],[Discount]]=0,"No Discount",IF(Table1[[#This Row],[Discount]]&lt;=0.1,"Low",IF(Table1[[#This Row],[Discount]]&lt;=0.2,"medium","high")))</f>
        <v>medium</v>
      </c>
    </row>
    <row r="725" spans="1:22" x14ac:dyDescent="0.3">
      <c r="A725" t="s">
        <v>1017</v>
      </c>
      <c r="B725" s="6">
        <v>45601</v>
      </c>
      <c r="C725" t="s">
        <v>117</v>
      </c>
      <c r="D725" t="s">
        <v>24</v>
      </c>
      <c r="E725" t="s">
        <v>59</v>
      </c>
      <c r="F725" t="s">
        <v>72</v>
      </c>
      <c r="G725" t="s">
        <v>111</v>
      </c>
      <c r="H725" t="s">
        <v>182</v>
      </c>
      <c r="I725">
        <v>9282.5</v>
      </c>
      <c r="J725">
        <v>10</v>
      </c>
      <c r="K725">
        <v>0.25</v>
      </c>
      <c r="L725">
        <v>-1137.2</v>
      </c>
      <c r="M725" t="s">
        <v>43</v>
      </c>
      <c r="N725" t="s">
        <v>44</v>
      </c>
      <c r="O725" t="str">
        <f t="shared" si="22"/>
        <v>Good</v>
      </c>
      <c r="P725">
        <f t="shared" si="23"/>
        <v>928.25</v>
      </c>
      <c r="Q725">
        <v>45601</v>
      </c>
      <c r="R725">
        <f>YEAR(Table1[[#This Row],[Order_Date_New]])</f>
        <v>2024</v>
      </c>
      <c r="S725">
        <f>MONTH(Table1[[#This Row],[Order_Date_New]])</f>
        <v>11</v>
      </c>
      <c r="T725" t="str">
        <f>TEXT(Table1[[#This Row],[Order_Date_New]],"mmmm")</f>
        <v>November</v>
      </c>
      <c r="U725">
        <f>Table1[[#This Row],[Profit]]/Table1[[#This Row],[Sales]]</f>
        <v>-0.12251009964987881</v>
      </c>
      <c r="V725" t="str">
        <f>IF(Table1[[#This Row],[Discount]]=0,"No Discount",IF(Table1[[#This Row],[Discount]]&lt;=0.1,"Low",IF(Table1[[#This Row],[Discount]]&lt;=0.2,"medium","high")))</f>
        <v>high</v>
      </c>
    </row>
    <row r="726" spans="1:22" x14ac:dyDescent="0.3">
      <c r="A726" t="s">
        <v>1018</v>
      </c>
      <c r="B726" s="6">
        <v>45634</v>
      </c>
      <c r="C726" t="s">
        <v>1019</v>
      </c>
      <c r="D726" t="s">
        <v>53</v>
      </c>
      <c r="E726" t="s">
        <v>77</v>
      </c>
      <c r="F726" t="s">
        <v>72</v>
      </c>
      <c r="G726" t="s">
        <v>73</v>
      </c>
      <c r="H726" t="s">
        <v>293</v>
      </c>
      <c r="I726">
        <v>5734.3</v>
      </c>
      <c r="J726">
        <v>5</v>
      </c>
      <c r="K726">
        <v>0.05</v>
      </c>
      <c r="L726">
        <v>38.770000000000003</v>
      </c>
      <c r="M726" t="s">
        <v>90</v>
      </c>
      <c r="N726" t="s">
        <v>44</v>
      </c>
      <c r="O726" t="str">
        <f t="shared" si="22"/>
        <v>Bad</v>
      </c>
      <c r="P726">
        <f t="shared" si="23"/>
        <v>1146.8600000000001</v>
      </c>
      <c r="Q726">
        <v>45634</v>
      </c>
      <c r="R726">
        <f>YEAR(Table1[[#This Row],[Order_Date_New]])</f>
        <v>2024</v>
      </c>
      <c r="S726">
        <f>MONTH(Table1[[#This Row],[Order_Date_New]])</f>
        <v>12</v>
      </c>
      <c r="T726" t="str">
        <f>TEXT(Table1[[#This Row],[Order_Date_New]],"mmmm")</f>
        <v>December</v>
      </c>
      <c r="U726">
        <f>Table1[[#This Row],[Profit]]/Table1[[#This Row],[Sales]]</f>
        <v>6.7610693545855647E-3</v>
      </c>
      <c r="V726" t="str">
        <f>IF(Table1[[#This Row],[Discount]]=0,"No Discount",IF(Table1[[#This Row],[Discount]]&lt;=0.1,"Low",IF(Table1[[#This Row],[Discount]]&lt;=0.2,"medium","high")))</f>
        <v>Low</v>
      </c>
    </row>
    <row r="727" spans="1:22" x14ac:dyDescent="0.3">
      <c r="A727" t="s">
        <v>1020</v>
      </c>
      <c r="B727" s="6">
        <v>45472</v>
      </c>
      <c r="C727" t="s">
        <v>104</v>
      </c>
      <c r="D727" t="s">
        <v>33</v>
      </c>
      <c r="E727" t="s">
        <v>48</v>
      </c>
      <c r="F727" t="s">
        <v>60</v>
      </c>
      <c r="G727" t="s">
        <v>98</v>
      </c>
      <c r="H727" t="s">
        <v>138</v>
      </c>
      <c r="I727">
        <v>5303.55</v>
      </c>
      <c r="J727">
        <v>5</v>
      </c>
      <c r="K727">
        <v>0</v>
      </c>
      <c r="L727">
        <v>1952.28</v>
      </c>
      <c r="M727" t="s">
        <v>113</v>
      </c>
      <c r="N727" t="s">
        <v>38</v>
      </c>
      <c r="O727" t="str">
        <f t="shared" si="22"/>
        <v>Bad</v>
      </c>
      <c r="P727">
        <f t="shared" si="23"/>
        <v>1060.71</v>
      </c>
      <c r="Q727">
        <v>45472</v>
      </c>
      <c r="R727">
        <f>YEAR(Table1[[#This Row],[Order_Date_New]])</f>
        <v>2024</v>
      </c>
      <c r="S727">
        <f>MONTH(Table1[[#This Row],[Order_Date_New]])</f>
        <v>6</v>
      </c>
      <c r="T727" t="str">
        <f>TEXT(Table1[[#This Row],[Order_Date_New]],"mmmm")</f>
        <v>June</v>
      </c>
      <c r="U727">
        <f>Table1[[#This Row],[Profit]]/Table1[[#This Row],[Sales]]</f>
        <v>0.36810815397233926</v>
      </c>
      <c r="V727" t="str">
        <f>IF(Table1[[#This Row],[Discount]]=0,"No Discount",IF(Table1[[#This Row],[Discount]]&lt;=0.1,"Low",IF(Table1[[#This Row],[Discount]]&lt;=0.2,"medium","high")))</f>
        <v>No Discount</v>
      </c>
    </row>
    <row r="728" spans="1:22" x14ac:dyDescent="0.3">
      <c r="A728" t="s">
        <v>1021</v>
      </c>
      <c r="B728" s="6">
        <v>45839</v>
      </c>
      <c r="C728" t="s">
        <v>698</v>
      </c>
      <c r="D728" t="s">
        <v>128</v>
      </c>
      <c r="E728" t="s">
        <v>129</v>
      </c>
      <c r="F728" t="s">
        <v>72</v>
      </c>
      <c r="G728" t="s">
        <v>111</v>
      </c>
      <c r="H728" t="s">
        <v>112</v>
      </c>
      <c r="I728">
        <v>1036.44</v>
      </c>
      <c r="J728">
        <v>4</v>
      </c>
      <c r="K728">
        <v>0.25</v>
      </c>
      <c r="L728">
        <v>147.04</v>
      </c>
      <c r="M728" t="s">
        <v>37</v>
      </c>
      <c r="N728" t="s">
        <v>80</v>
      </c>
      <c r="O728" t="str">
        <f t="shared" si="22"/>
        <v>Bad</v>
      </c>
      <c r="P728">
        <f t="shared" si="23"/>
        <v>259.11</v>
      </c>
      <c r="Q728">
        <v>45839</v>
      </c>
      <c r="R728">
        <f>YEAR(Table1[[#This Row],[Order_Date_New]])</f>
        <v>2025</v>
      </c>
      <c r="S728">
        <f>MONTH(Table1[[#This Row],[Order_Date_New]])</f>
        <v>7</v>
      </c>
      <c r="T728" t="str">
        <f>TEXT(Table1[[#This Row],[Order_Date_New]],"mmmm")</f>
        <v>July</v>
      </c>
      <c r="U728">
        <f>Table1[[#This Row],[Profit]]/Table1[[#This Row],[Sales]]</f>
        <v>0.14187024815715332</v>
      </c>
      <c r="V728" t="str">
        <f>IF(Table1[[#This Row],[Discount]]=0,"No Discount",IF(Table1[[#This Row],[Discount]]&lt;=0.1,"Low",IF(Table1[[#This Row],[Discount]]&lt;=0.2,"medium","high")))</f>
        <v>high</v>
      </c>
    </row>
    <row r="729" spans="1:22" x14ac:dyDescent="0.3">
      <c r="A729" t="s">
        <v>1022</v>
      </c>
      <c r="B729" s="6">
        <v>45619</v>
      </c>
      <c r="C729" t="s">
        <v>396</v>
      </c>
      <c r="D729" t="s">
        <v>24</v>
      </c>
      <c r="E729" t="s">
        <v>59</v>
      </c>
      <c r="F729" t="s">
        <v>72</v>
      </c>
      <c r="G729" t="s">
        <v>73</v>
      </c>
      <c r="H729" t="s">
        <v>74</v>
      </c>
      <c r="I729">
        <v>136.56</v>
      </c>
      <c r="J729">
        <v>2</v>
      </c>
      <c r="K729">
        <v>0.2</v>
      </c>
      <c r="L729">
        <v>29.66</v>
      </c>
      <c r="M729" t="s">
        <v>133</v>
      </c>
      <c r="N729" t="s">
        <v>38</v>
      </c>
      <c r="O729" t="str">
        <f t="shared" si="22"/>
        <v>Bad</v>
      </c>
      <c r="P729">
        <f t="shared" si="23"/>
        <v>68.28</v>
      </c>
      <c r="Q729">
        <v>45619</v>
      </c>
      <c r="R729">
        <f>YEAR(Table1[[#This Row],[Order_Date_New]])</f>
        <v>2024</v>
      </c>
      <c r="S729">
        <f>MONTH(Table1[[#This Row],[Order_Date_New]])</f>
        <v>11</v>
      </c>
      <c r="T729" t="str">
        <f>TEXT(Table1[[#This Row],[Order_Date_New]],"mmmm")</f>
        <v>November</v>
      </c>
      <c r="U729">
        <f>Table1[[#This Row],[Profit]]/Table1[[#This Row],[Sales]]</f>
        <v>0.21719390743995312</v>
      </c>
      <c r="V729" t="str">
        <f>IF(Table1[[#This Row],[Discount]]=0,"No Discount",IF(Table1[[#This Row],[Discount]]&lt;=0.1,"Low",IF(Table1[[#This Row],[Discount]]&lt;=0.2,"medium","high")))</f>
        <v>medium</v>
      </c>
    </row>
    <row r="730" spans="1:22" x14ac:dyDescent="0.3">
      <c r="A730" t="s">
        <v>1023</v>
      </c>
      <c r="B730" s="6">
        <v>45483</v>
      </c>
      <c r="C730" t="s">
        <v>167</v>
      </c>
      <c r="D730" t="s">
        <v>24</v>
      </c>
      <c r="E730" t="s">
        <v>25</v>
      </c>
      <c r="F730" t="s">
        <v>72</v>
      </c>
      <c r="G730" t="s">
        <v>111</v>
      </c>
      <c r="H730" t="s">
        <v>182</v>
      </c>
      <c r="I730">
        <v>1178.2</v>
      </c>
      <c r="J730">
        <v>5</v>
      </c>
      <c r="K730">
        <v>0.2</v>
      </c>
      <c r="L730">
        <v>-176.33</v>
      </c>
      <c r="M730" t="s">
        <v>90</v>
      </c>
      <c r="N730" t="s">
        <v>80</v>
      </c>
      <c r="O730" t="str">
        <f t="shared" si="22"/>
        <v>Bad</v>
      </c>
      <c r="P730">
        <f t="shared" si="23"/>
        <v>235.64000000000001</v>
      </c>
      <c r="Q730">
        <v>45483</v>
      </c>
      <c r="R730">
        <f>YEAR(Table1[[#This Row],[Order_Date_New]])</f>
        <v>2024</v>
      </c>
      <c r="S730">
        <f>MONTH(Table1[[#This Row],[Order_Date_New]])</f>
        <v>7</v>
      </c>
      <c r="T730" t="str">
        <f>TEXT(Table1[[#This Row],[Order_Date_New]],"mmmm")</f>
        <v>July</v>
      </c>
      <c r="U730">
        <f>Table1[[#This Row],[Profit]]/Table1[[#This Row],[Sales]]</f>
        <v>-0.14966049906637244</v>
      </c>
      <c r="V730" t="str">
        <f>IF(Table1[[#This Row],[Discount]]=0,"No Discount",IF(Table1[[#This Row],[Discount]]&lt;=0.1,"Low",IF(Table1[[#This Row],[Discount]]&lt;=0.2,"medium","high")))</f>
        <v>medium</v>
      </c>
    </row>
    <row r="731" spans="1:22" x14ac:dyDescent="0.3">
      <c r="A731" t="s">
        <v>1024</v>
      </c>
      <c r="B731" s="6">
        <v>45844</v>
      </c>
      <c r="C731" t="s">
        <v>208</v>
      </c>
      <c r="D731" t="s">
        <v>33</v>
      </c>
      <c r="E731" t="s">
        <v>34</v>
      </c>
      <c r="F731" t="s">
        <v>60</v>
      </c>
      <c r="G731" t="s">
        <v>78</v>
      </c>
      <c r="H731" t="s">
        <v>79</v>
      </c>
      <c r="I731">
        <v>995.56</v>
      </c>
      <c r="J731">
        <v>1</v>
      </c>
      <c r="K731">
        <v>0.05</v>
      </c>
      <c r="L731">
        <v>386.55</v>
      </c>
      <c r="M731" t="s">
        <v>105</v>
      </c>
      <c r="N731" t="s">
        <v>38</v>
      </c>
      <c r="O731" t="str">
        <f t="shared" si="22"/>
        <v>Bad</v>
      </c>
      <c r="P731">
        <f t="shared" si="23"/>
        <v>995.56</v>
      </c>
      <c r="Q731">
        <v>45844</v>
      </c>
      <c r="R731">
        <f>YEAR(Table1[[#This Row],[Order_Date_New]])</f>
        <v>2025</v>
      </c>
      <c r="S731">
        <f>MONTH(Table1[[#This Row],[Order_Date_New]])</f>
        <v>7</v>
      </c>
      <c r="T731" t="str">
        <f>TEXT(Table1[[#This Row],[Order_Date_New]],"mmmm")</f>
        <v>July</v>
      </c>
      <c r="U731">
        <f>Table1[[#This Row],[Profit]]/Table1[[#This Row],[Sales]]</f>
        <v>0.38827393627707024</v>
      </c>
      <c r="V731" t="str">
        <f>IF(Table1[[#This Row],[Discount]]=0,"No Discount",IF(Table1[[#This Row],[Discount]]&lt;=0.1,"Low",IF(Table1[[#This Row],[Discount]]&lt;=0.2,"medium","high")))</f>
        <v>Low</v>
      </c>
    </row>
    <row r="732" spans="1:22" x14ac:dyDescent="0.3">
      <c r="A732" t="s">
        <v>1025</v>
      </c>
      <c r="B732" s="6">
        <v>45738</v>
      </c>
      <c r="C732" t="s">
        <v>634</v>
      </c>
      <c r="D732" t="s">
        <v>128</v>
      </c>
      <c r="E732" t="s">
        <v>129</v>
      </c>
      <c r="F732" t="s">
        <v>72</v>
      </c>
      <c r="G732" t="s">
        <v>88</v>
      </c>
      <c r="H732" t="s">
        <v>89</v>
      </c>
      <c r="I732">
        <v>2115.27</v>
      </c>
      <c r="J732">
        <v>9</v>
      </c>
      <c r="K732">
        <v>0</v>
      </c>
      <c r="L732">
        <v>313.91000000000003</v>
      </c>
      <c r="M732" t="s">
        <v>105</v>
      </c>
      <c r="N732" t="s">
        <v>38</v>
      </c>
      <c r="O732" t="str">
        <f t="shared" si="22"/>
        <v>Bad</v>
      </c>
      <c r="P732">
        <f t="shared" si="23"/>
        <v>235.03</v>
      </c>
      <c r="Q732">
        <v>45738</v>
      </c>
      <c r="R732">
        <f>YEAR(Table1[[#This Row],[Order_Date_New]])</f>
        <v>2025</v>
      </c>
      <c r="S732">
        <f>MONTH(Table1[[#This Row],[Order_Date_New]])</f>
        <v>3</v>
      </c>
      <c r="T732" t="str">
        <f>TEXT(Table1[[#This Row],[Order_Date_New]],"mmmm")</f>
        <v>March</v>
      </c>
      <c r="U732">
        <f>Table1[[#This Row],[Profit]]/Table1[[#This Row],[Sales]]</f>
        <v>0.14840185886435303</v>
      </c>
      <c r="V732" t="str">
        <f>IF(Table1[[#This Row],[Discount]]=0,"No Discount",IF(Table1[[#This Row],[Discount]]&lt;=0.1,"Low",IF(Table1[[#This Row],[Discount]]&lt;=0.2,"medium","high")))</f>
        <v>No Discount</v>
      </c>
    </row>
    <row r="733" spans="1:22" x14ac:dyDescent="0.3">
      <c r="A733" t="s">
        <v>1026</v>
      </c>
      <c r="B733" s="6">
        <v>46006</v>
      </c>
      <c r="C733" t="s">
        <v>388</v>
      </c>
      <c r="D733" t="s">
        <v>53</v>
      </c>
      <c r="E733" t="s">
        <v>107</v>
      </c>
      <c r="F733" t="s">
        <v>72</v>
      </c>
      <c r="G733" t="s">
        <v>73</v>
      </c>
      <c r="H733" t="s">
        <v>293</v>
      </c>
      <c r="I733">
        <v>4180.05</v>
      </c>
      <c r="J733">
        <v>5</v>
      </c>
      <c r="K733">
        <v>0.05</v>
      </c>
      <c r="L733">
        <v>1454.07</v>
      </c>
      <c r="M733" t="s">
        <v>49</v>
      </c>
      <c r="N733" t="s">
        <v>38</v>
      </c>
      <c r="O733" t="str">
        <f t="shared" si="22"/>
        <v>Bad</v>
      </c>
      <c r="P733">
        <f t="shared" si="23"/>
        <v>836.01</v>
      </c>
      <c r="Q733">
        <v>46006</v>
      </c>
      <c r="R733">
        <f>YEAR(Table1[[#This Row],[Order_Date_New]])</f>
        <v>2025</v>
      </c>
      <c r="S733">
        <f>MONTH(Table1[[#This Row],[Order_Date_New]])</f>
        <v>12</v>
      </c>
      <c r="T733" t="str">
        <f>TEXT(Table1[[#This Row],[Order_Date_New]],"mmmm")</f>
        <v>December</v>
      </c>
      <c r="U733">
        <f>Table1[[#This Row],[Profit]]/Table1[[#This Row],[Sales]]</f>
        <v>0.34785947536512718</v>
      </c>
      <c r="V733" t="str">
        <f>IF(Table1[[#This Row],[Discount]]=0,"No Discount",IF(Table1[[#This Row],[Discount]]&lt;=0.1,"Low",IF(Table1[[#This Row],[Discount]]&lt;=0.2,"medium","high")))</f>
        <v>Low</v>
      </c>
    </row>
    <row r="734" spans="1:22" x14ac:dyDescent="0.3">
      <c r="A734" t="s">
        <v>1027</v>
      </c>
      <c r="B734" s="6">
        <v>45443</v>
      </c>
      <c r="C734" t="s">
        <v>208</v>
      </c>
      <c r="D734" t="s">
        <v>128</v>
      </c>
      <c r="E734" t="s">
        <v>129</v>
      </c>
      <c r="F734" t="s">
        <v>60</v>
      </c>
      <c r="G734" t="s">
        <v>78</v>
      </c>
      <c r="H734" t="s">
        <v>222</v>
      </c>
      <c r="I734">
        <v>6423.9</v>
      </c>
      <c r="J734">
        <v>7</v>
      </c>
      <c r="K734">
        <v>0.15</v>
      </c>
      <c r="L734">
        <v>730.49</v>
      </c>
      <c r="M734" t="s">
        <v>133</v>
      </c>
      <c r="N734" t="s">
        <v>44</v>
      </c>
      <c r="O734" t="str">
        <f t="shared" si="22"/>
        <v>Bad</v>
      </c>
      <c r="P734">
        <f t="shared" si="23"/>
        <v>917.69999999999993</v>
      </c>
      <c r="Q734">
        <v>45443</v>
      </c>
      <c r="R734">
        <f>YEAR(Table1[[#This Row],[Order_Date_New]])</f>
        <v>2024</v>
      </c>
      <c r="S734">
        <f>MONTH(Table1[[#This Row],[Order_Date_New]])</f>
        <v>5</v>
      </c>
      <c r="T734" t="str">
        <f>TEXT(Table1[[#This Row],[Order_Date_New]],"mmmm")</f>
        <v>May</v>
      </c>
      <c r="U734">
        <f>Table1[[#This Row],[Profit]]/Table1[[#This Row],[Sales]]</f>
        <v>0.11371441024922556</v>
      </c>
      <c r="V734" t="str">
        <f>IF(Table1[[#This Row],[Discount]]=0,"No Discount",IF(Table1[[#This Row],[Discount]]&lt;=0.1,"Low",IF(Table1[[#This Row],[Discount]]&lt;=0.2,"medium","high")))</f>
        <v>medium</v>
      </c>
    </row>
    <row r="735" spans="1:22" x14ac:dyDescent="0.3">
      <c r="A735" t="s">
        <v>1028</v>
      </c>
      <c r="B735" s="6">
        <v>45565</v>
      </c>
      <c r="C735" t="s">
        <v>338</v>
      </c>
      <c r="D735" t="s">
        <v>24</v>
      </c>
      <c r="E735" t="s">
        <v>97</v>
      </c>
      <c r="F735" t="s">
        <v>26</v>
      </c>
      <c r="G735" t="s">
        <v>35</v>
      </c>
      <c r="H735" t="s">
        <v>173</v>
      </c>
      <c r="I735">
        <v>7439.13</v>
      </c>
      <c r="J735">
        <v>9</v>
      </c>
      <c r="K735">
        <v>0.1</v>
      </c>
      <c r="L735">
        <v>2347.2199999999998</v>
      </c>
      <c r="M735" t="s">
        <v>170</v>
      </c>
      <c r="N735" t="s">
        <v>44</v>
      </c>
      <c r="O735" t="str">
        <f t="shared" si="22"/>
        <v>Good</v>
      </c>
      <c r="P735">
        <f t="shared" si="23"/>
        <v>826.57</v>
      </c>
      <c r="Q735">
        <v>45565</v>
      </c>
      <c r="R735">
        <f>YEAR(Table1[[#This Row],[Order_Date_New]])</f>
        <v>2024</v>
      </c>
      <c r="S735">
        <f>MONTH(Table1[[#This Row],[Order_Date_New]])</f>
        <v>9</v>
      </c>
      <c r="T735" t="str">
        <f>TEXT(Table1[[#This Row],[Order_Date_New]],"mmmm")</f>
        <v>September</v>
      </c>
      <c r="U735">
        <f>Table1[[#This Row],[Profit]]/Table1[[#This Row],[Sales]]</f>
        <v>0.31552345502767121</v>
      </c>
      <c r="V735" t="str">
        <f>IF(Table1[[#This Row],[Discount]]=0,"No Discount",IF(Table1[[#This Row],[Discount]]&lt;=0.1,"Low",IF(Table1[[#This Row],[Discount]]&lt;=0.2,"medium","high")))</f>
        <v>Low</v>
      </c>
    </row>
    <row r="736" spans="1:22" x14ac:dyDescent="0.3">
      <c r="A736" t="s">
        <v>1029</v>
      </c>
      <c r="B736" s="6">
        <v>45602</v>
      </c>
      <c r="C736" t="s">
        <v>191</v>
      </c>
      <c r="D736" t="s">
        <v>53</v>
      </c>
      <c r="E736" t="s">
        <v>77</v>
      </c>
      <c r="F736" t="s">
        <v>60</v>
      </c>
      <c r="G736" t="s">
        <v>61</v>
      </c>
      <c r="H736" t="s">
        <v>62</v>
      </c>
      <c r="I736">
        <v>1316.82</v>
      </c>
      <c r="J736">
        <v>6</v>
      </c>
      <c r="K736">
        <v>0.15</v>
      </c>
      <c r="L736">
        <v>48.95</v>
      </c>
      <c r="M736" t="s">
        <v>49</v>
      </c>
      <c r="N736" t="s">
        <v>44</v>
      </c>
      <c r="O736" t="str">
        <f t="shared" si="22"/>
        <v>Bad</v>
      </c>
      <c r="P736">
        <f t="shared" si="23"/>
        <v>219.47</v>
      </c>
      <c r="Q736">
        <v>45602</v>
      </c>
      <c r="R736">
        <f>YEAR(Table1[[#This Row],[Order_Date_New]])</f>
        <v>2024</v>
      </c>
      <c r="S736">
        <f>MONTH(Table1[[#This Row],[Order_Date_New]])</f>
        <v>11</v>
      </c>
      <c r="T736" t="str">
        <f>TEXT(Table1[[#This Row],[Order_Date_New]],"mmmm")</f>
        <v>November</v>
      </c>
      <c r="U736">
        <f>Table1[[#This Row],[Profit]]/Table1[[#This Row],[Sales]]</f>
        <v>3.7172886195531663E-2</v>
      </c>
      <c r="V736" t="str">
        <f>IF(Table1[[#This Row],[Discount]]=0,"No Discount",IF(Table1[[#This Row],[Discount]]&lt;=0.1,"Low",IF(Table1[[#This Row],[Discount]]&lt;=0.2,"medium","high")))</f>
        <v>medium</v>
      </c>
    </row>
    <row r="737" spans="1:22" x14ac:dyDescent="0.3">
      <c r="A737" t="s">
        <v>1030</v>
      </c>
      <c r="B737" s="6">
        <v>45362</v>
      </c>
      <c r="C737" t="s">
        <v>58</v>
      </c>
      <c r="D737" t="s">
        <v>128</v>
      </c>
      <c r="E737" t="s">
        <v>132</v>
      </c>
      <c r="F737" t="s">
        <v>72</v>
      </c>
      <c r="G737" t="s">
        <v>73</v>
      </c>
      <c r="H737" t="s">
        <v>293</v>
      </c>
      <c r="I737">
        <v>8251.0400000000009</v>
      </c>
      <c r="J737">
        <v>8</v>
      </c>
      <c r="K737">
        <v>0.05</v>
      </c>
      <c r="L737">
        <v>2822.31</v>
      </c>
      <c r="M737" t="s">
        <v>49</v>
      </c>
      <c r="N737" t="s">
        <v>30</v>
      </c>
      <c r="O737" t="str">
        <f t="shared" si="22"/>
        <v>Good</v>
      </c>
      <c r="P737">
        <f t="shared" si="23"/>
        <v>1031.3800000000001</v>
      </c>
      <c r="Q737">
        <v>45362</v>
      </c>
      <c r="R737">
        <f>YEAR(Table1[[#This Row],[Order_Date_New]])</f>
        <v>2024</v>
      </c>
      <c r="S737">
        <f>MONTH(Table1[[#This Row],[Order_Date_New]])</f>
        <v>3</v>
      </c>
      <c r="T737" t="str">
        <f>TEXT(Table1[[#This Row],[Order_Date_New]],"mmmm")</f>
        <v>March</v>
      </c>
      <c r="U737">
        <f>Table1[[#This Row],[Profit]]/Table1[[#This Row],[Sales]]</f>
        <v>0.34205506214974107</v>
      </c>
      <c r="V737" t="str">
        <f>IF(Table1[[#This Row],[Discount]]=0,"No Discount",IF(Table1[[#This Row],[Discount]]&lt;=0.1,"Low",IF(Table1[[#This Row],[Discount]]&lt;=0.2,"medium","high")))</f>
        <v>Low</v>
      </c>
    </row>
    <row r="738" spans="1:22" x14ac:dyDescent="0.3">
      <c r="A738" t="s">
        <v>1031</v>
      </c>
      <c r="B738" s="6">
        <v>45851</v>
      </c>
      <c r="C738" t="s">
        <v>244</v>
      </c>
      <c r="D738" t="s">
        <v>128</v>
      </c>
      <c r="E738" t="s">
        <v>129</v>
      </c>
      <c r="F738" t="s">
        <v>72</v>
      </c>
      <c r="G738" t="s">
        <v>73</v>
      </c>
      <c r="H738" t="s">
        <v>293</v>
      </c>
      <c r="I738">
        <v>6730.1</v>
      </c>
      <c r="J738">
        <v>10</v>
      </c>
      <c r="K738">
        <v>0.3</v>
      </c>
      <c r="L738">
        <v>-1282.92</v>
      </c>
      <c r="M738" t="s">
        <v>37</v>
      </c>
      <c r="N738" t="s">
        <v>80</v>
      </c>
      <c r="O738" t="str">
        <f t="shared" si="22"/>
        <v>Good</v>
      </c>
      <c r="P738">
        <f t="shared" si="23"/>
        <v>673.01</v>
      </c>
      <c r="Q738">
        <v>45851</v>
      </c>
      <c r="R738">
        <f>YEAR(Table1[[#This Row],[Order_Date_New]])</f>
        <v>2025</v>
      </c>
      <c r="S738">
        <f>MONTH(Table1[[#This Row],[Order_Date_New]])</f>
        <v>7</v>
      </c>
      <c r="T738" t="str">
        <f>TEXT(Table1[[#This Row],[Order_Date_New]],"mmmm")</f>
        <v>July</v>
      </c>
      <c r="U738">
        <f>Table1[[#This Row],[Profit]]/Table1[[#This Row],[Sales]]</f>
        <v>-0.19062421063580037</v>
      </c>
      <c r="V738" t="str">
        <f>IF(Table1[[#This Row],[Discount]]=0,"No Discount",IF(Table1[[#This Row],[Discount]]&lt;=0.1,"Low",IF(Table1[[#This Row],[Discount]]&lt;=0.2,"medium","high")))</f>
        <v>high</v>
      </c>
    </row>
    <row r="739" spans="1:22" x14ac:dyDescent="0.3">
      <c r="A739" t="s">
        <v>1032</v>
      </c>
      <c r="B739" s="6">
        <v>45592</v>
      </c>
      <c r="C739" t="s">
        <v>365</v>
      </c>
      <c r="D739" t="s">
        <v>24</v>
      </c>
      <c r="E739" t="s">
        <v>59</v>
      </c>
      <c r="F739" t="s">
        <v>72</v>
      </c>
      <c r="G739" t="s">
        <v>73</v>
      </c>
      <c r="H739" t="s">
        <v>74</v>
      </c>
      <c r="I739">
        <v>1941.51</v>
      </c>
      <c r="J739">
        <v>3</v>
      </c>
      <c r="K739">
        <v>0.25</v>
      </c>
      <c r="L739">
        <v>228.99</v>
      </c>
      <c r="M739" t="s">
        <v>37</v>
      </c>
      <c r="N739" t="s">
        <v>44</v>
      </c>
      <c r="O739" t="str">
        <f t="shared" si="22"/>
        <v>Bad</v>
      </c>
      <c r="P739">
        <f t="shared" si="23"/>
        <v>647.16999999999996</v>
      </c>
      <c r="Q739">
        <v>45592</v>
      </c>
      <c r="R739">
        <f>YEAR(Table1[[#This Row],[Order_Date_New]])</f>
        <v>2024</v>
      </c>
      <c r="S739">
        <f>MONTH(Table1[[#This Row],[Order_Date_New]])</f>
        <v>10</v>
      </c>
      <c r="T739" t="str">
        <f>TEXT(Table1[[#This Row],[Order_Date_New]],"mmmm")</f>
        <v>October</v>
      </c>
      <c r="U739">
        <f>Table1[[#This Row],[Profit]]/Table1[[#This Row],[Sales]]</f>
        <v>0.11794428048271706</v>
      </c>
      <c r="V739" t="str">
        <f>IF(Table1[[#This Row],[Discount]]=0,"No Discount",IF(Table1[[#This Row],[Discount]]&lt;=0.1,"Low",IF(Table1[[#This Row],[Discount]]&lt;=0.2,"medium","high")))</f>
        <v>high</v>
      </c>
    </row>
    <row r="740" spans="1:22" x14ac:dyDescent="0.3">
      <c r="A740" t="s">
        <v>1033</v>
      </c>
      <c r="B740" s="6">
        <v>45545</v>
      </c>
      <c r="C740" t="s">
        <v>479</v>
      </c>
      <c r="D740" t="s">
        <v>24</v>
      </c>
      <c r="E740" t="s">
        <v>25</v>
      </c>
      <c r="F740" t="s">
        <v>60</v>
      </c>
      <c r="G740" t="s">
        <v>61</v>
      </c>
      <c r="H740" t="s">
        <v>62</v>
      </c>
      <c r="I740">
        <v>6205.26</v>
      </c>
      <c r="J740">
        <v>6</v>
      </c>
      <c r="K740">
        <v>0.05</v>
      </c>
      <c r="L740">
        <v>1606.34</v>
      </c>
      <c r="M740" t="s">
        <v>37</v>
      </c>
      <c r="N740" t="s">
        <v>80</v>
      </c>
      <c r="O740" t="str">
        <f t="shared" si="22"/>
        <v>Bad</v>
      </c>
      <c r="P740">
        <f t="shared" si="23"/>
        <v>1034.21</v>
      </c>
      <c r="Q740">
        <v>45545</v>
      </c>
      <c r="R740">
        <f>YEAR(Table1[[#This Row],[Order_Date_New]])</f>
        <v>2024</v>
      </c>
      <c r="S740">
        <f>MONTH(Table1[[#This Row],[Order_Date_New]])</f>
        <v>9</v>
      </c>
      <c r="T740" t="str">
        <f>TEXT(Table1[[#This Row],[Order_Date_New]],"mmmm")</f>
        <v>September</v>
      </c>
      <c r="U740">
        <f>Table1[[#This Row],[Profit]]/Table1[[#This Row],[Sales]]</f>
        <v>0.2588674769469772</v>
      </c>
      <c r="V740" t="str">
        <f>IF(Table1[[#This Row],[Discount]]=0,"No Discount",IF(Table1[[#This Row],[Discount]]&lt;=0.1,"Low",IF(Table1[[#This Row],[Discount]]&lt;=0.2,"medium","high")))</f>
        <v>Low</v>
      </c>
    </row>
    <row r="741" spans="1:22" x14ac:dyDescent="0.3">
      <c r="A741" t="s">
        <v>1034</v>
      </c>
      <c r="B741" s="6">
        <v>45565</v>
      </c>
      <c r="C741" t="s">
        <v>687</v>
      </c>
      <c r="D741" t="s">
        <v>24</v>
      </c>
      <c r="E741" t="s">
        <v>84</v>
      </c>
      <c r="F741" t="s">
        <v>72</v>
      </c>
      <c r="G741" t="s">
        <v>111</v>
      </c>
      <c r="H741" t="s">
        <v>158</v>
      </c>
      <c r="I741">
        <v>569.24</v>
      </c>
      <c r="J741">
        <v>4</v>
      </c>
      <c r="K741">
        <v>0.15</v>
      </c>
      <c r="L741">
        <v>85</v>
      </c>
      <c r="M741" t="s">
        <v>105</v>
      </c>
      <c r="N741" t="s">
        <v>44</v>
      </c>
      <c r="O741" t="str">
        <f t="shared" si="22"/>
        <v>Bad</v>
      </c>
      <c r="P741">
        <f t="shared" si="23"/>
        <v>142.31</v>
      </c>
      <c r="Q741">
        <v>45565</v>
      </c>
      <c r="R741">
        <f>YEAR(Table1[[#This Row],[Order_Date_New]])</f>
        <v>2024</v>
      </c>
      <c r="S741">
        <f>MONTH(Table1[[#This Row],[Order_Date_New]])</f>
        <v>9</v>
      </c>
      <c r="T741" t="str">
        <f>TEXT(Table1[[#This Row],[Order_Date_New]],"mmmm")</f>
        <v>September</v>
      </c>
      <c r="U741">
        <f>Table1[[#This Row],[Profit]]/Table1[[#This Row],[Sales]]</f>
        <v>0.14932190288806127</v>
      </c>
      <c r="V741" t="str">
        <f>IF(Table1[[#This Row],[Discount]]=0,"No Discount",IF(Table1[[#This Row],[Discount]]&lt;=0.1,"Low",IF(Table1[[#This Row],[Discount]]&lt;=0.2,"medium","high")))</f>
        <v>medium</v>
      </c>
    </row>
    <row r="742" spans="1:22" x14ac:dyDescent="0.3">
      <c r="A742" t="s">
        <v>1035</v>
      </c>
      <c r="B742" s="6">
        <v>45468</v>
      </c>
      <c r="C742" t="s">
        <v>441</v>
      </c>
      <c r="D742" t="s">
        <v>128</v>
      </c>
      <c r="E742" t="s">
        <v>129</v>
      </c>
      <c r="F742" t="s">
        <v>26</v>
      </c>
      <c r="G742" t="s">
        <v>41</v>
      </c>
      <c r="H742" t="s">
        <v>108</v>
      </c>
      <c r="I742">
        <v>3712.87</v>
      </c>
      <c r="J742">
        <v>7</v>
      </c>
      <c r="K742">
        <v>0.25</v>
      </c>
      <c r="L742">
        <v>125.15</v>
      </c>
      <c r="M742" t="s">
        <v>90</v>
      </c>
      <c r="N742" t="s">
        <v>80</v>
      </c>
      <c r="O742" t="str">
        <f t="shared" si="22"/>
        <v>Bad</v>
      </c>
      <c r="P742">
        <f t="shared" si="23"/>
        <v>530.41</v>
      </c>
      <c r="Q742">
        <v>45468</v>
      </c>
      <c r="R742">
        <f>YEAR(Table1[[#This Row],[Order_Date_New]])</f>
        <v>2024</v>
      </c>
      <c r="S742">
        <f>MONTH(Table1[[#This Row],[Order_Date_New]])</f>
        <v>6</v>
      </c>
      <c r="T742" t="str">
        <f>TEXT(Table1[[#This Row],[Order_Date_New]],"mmmm")</f>
        <v>June</v>
      </c>
      <c r="U742">
        <f>Table1[[#This Row],[Profit]]/Table1[[#This Row],[Sales]]</f>
        <v>3.3707078351787163E-2</v>
      </c>
      <c r="V742" t="str">
        <f>IF(Table1[[#This Row],[Discount]]=0,"No Discount",IF(Table1[[#This Row],[Discount]]&lt;=0.1,"Low",IF(Table1[[#This Row],[Discount]]&lt;=0.2,"medium","high")))</f>
        <v>high</v>
      </c>
    </row>
    <row r="743" spans="1:22" x14ac:dyDescent="0.3">
      <c r="A743" t="s">
        <v>1036</v>
      </c>
      <c r="B743" s="6">
        <v>45438</v>
      </c>
      <c r="C743" t="s">
        <v>733</v>
      </c>
      <c r="D743" t="s">
        <v>128</v>
      </c>
      <c r="E743" t="s">
        <v>202</v>
      </c>
      <c r="F743" t="s">
        <v>60</v>
      </c>
      <c r="G743" t="s">
        <v>78</v>
      </c>
      <c r="H743" t="s">
        <v>79</v>
      </c>
      <c r="I743">
        <v>578.16999999999996</v>
      </c>
      <c r="J743">
        <v>1</v>
      </c>
      <c r="K743">
        <v>0.25</v>
      </c>
      <c r="L743">
        <v>32.979999999999997</v>
      </c>
      <c r="M743" t="s">
        <v>113</v>
      </c>
      <c r="N743" t="s">
        <v>38</v>
      </c>
      <c r="O743" t="str">
        <f t="shared" si="22"/>
        <v>Bad</v>
      </c>
      <c r="P743">
        <f t="shared" si="23"/>
        <v>578.16999999999996</v>
      </c>
      <c r="Q743">
        <v>45438</v>
      </c>
      <c r="R743">
        <f>YEAR(Table1[[#This Row],[Order_Date_New]])</f>
        <v>2024</v>
      </c>
      <c r="S743">
        <f>MONTH(Table1[[#This Row],[Order_Date_New]])</f>
        <v>5</v>
      </c>
      <c r="T743" t="str">
        <f>TEXT(Table1[[#This Row],[Order_Date_New]],"mmmm")</f>
        <v>May</v>
      </c>
      <c r="U743">
        <f>Table1[[#This Row],[Profit]]/Table1[[#This Row],[Sales]]</f>
        <v>5.7042046456924435E-2</v>
      </c>
      <c r="V743" t="str">
        <f>IF(Table1[[#This Row],[Discount]]=0,"No Discount",IF(Table1[[#This Row],[Discount]]&lt;=0.1,"Low",IF(Table1[[#This Row],[Discount]]&lt;=0.2,"medium","high")))</f>
        <v>high</v>
      </c>
    </row>
    <row r="744" spans="1:22" x14ac:dyDescent="0.3">
      <c r="A744" t="s">
        <v>1037</v>
      </c>
      <c r="B744" s="6">
        <v>45309</v>
      </c>
      <c r="C744" t="s">
        <v>518</v>
      </c>
      <c r="D744" t="s">
        <v>53</v>
      </c>
      <c r="E744" t="s">
        <v>77</v>
      </c>
      <c r="F744" t="s">
        <v>26</v>
      </c>
      <c r="G744" t="s">
        <v>27</v>
      </c>
      <c r="H744" t="s">
        <v>200</v>
      </c>
      <c r="I744">
        <v>1010.72</v>
      </c>
      <c r="J744">
        <v>4</v>
      </c>
      <c r="K744">
        <v>0.1</v>
      </c>
      <c r="L744">
        <v>45.19</v>
      </c>
      <c r="M744" t="s">
        <v>105</v>
      </c>
      <c r="N744" t="s">
        <v>80</v>
      </c>
      <c r="O744" t="str">
        <f t="shared" si="22"/>
        <v>Bad</v>
      </c>
      <c r="P744">
        <f t="shared" si="23"/>
        <v>252.68</v>
      </c>
      <c r="Q744">
        <v>45309</v>
      </c>
      <c r="R744">
        <f>YEAR(Table1[[#This Row],[Order_Date_New]])</f>
        <v>2024</v>
      </c>
      <c r="S744">
        <f>MONTH(Table1[[#This Row],[Order_Date_New]])</f>
        <v>1</v>
      </c>
      <c r="T744" t="str">
        <f>TEXT(Table1[[#This Row],[Order_Date_New]],"mmmm")</f>
        <v>January</v>
      </c>
      <c r="U744">
        <f>Table1[[#This Row],[Profit]]/Table1[[#This Row],[Sales]]</f>
        <v>4.4710701282254232E-2</v>
      </c>
      <c r="V744" t="str">
        <f>IF(Table1[[#This Row],[Discount]]=0,"No Discount",IF(Table1[[#This Row],[Discount]]&lt;=0.1,"Low",IF(Table1[[#This Row],[Discount]]&lt;=0.2,"medium","high")))</f>
        <v>Low</v>
      </c>
    </row>
    <row r="745" spans="1:22" x14ac:dyDescent="0.3">
      <c r="A745" t="s">
        <v>1038</v>
      </c>
      <c r="B745" s="6">
        <v>45962</v>
      </c>
      <c r="C745" t="s">
        <v>350</v>
      </c>
      <c r="D745" t="s">
        <v>53</v>
      </c>
      <c r="E745" t="s">
        <v>77</v>
      </c>
      <c r="F745" t="s">
        <v>26</v>
      </c>
      <c r="G745" t="s">
        <v>27</v>
      </c>
      <c r="H745" t="s">
        <v>28</v>
      </c>
      <c r="I745">
        <v>117.15</v>
      </c>
      <c r="J745">
        <v>1</v>
      </c>
      <c r="K745">
        <v>0</v>
      </c>
      <c r="L745">
        <v>40.08</v>
      </c>
      <c r="M745" t="s">
        <v>113</v>
      </c>
      <c r="N745" t="s">
        <v>80</v>
      </c>
      <c r="O745" t="str">
        <f t="shared" si="22"/>
        <v>Bad</v>
      </c>
      <c r="P745">
        <f t="shared" si="23"/>
        <v>117.15</v>
      </c>
      <c r="Q745">
        <v>45962</v>
      </c>
      <c r="R745">
        <f>YEAR(Table1[[#This Row],[Order_Date_New]])</f>
        <v>2025</v>
      </c>
      <c r="S745">
        <f>MONTH(Table1[[#This Row],[Order_Date_New]])</f>
        <v>11</v>
      </c>
      <c r="T745" t="str">
        <f>TEXT(Table1[[#This Row],[Order_Date_New]],"mmmm")</f>
        <v>November</v>
      </c>
      <c r="U745">
        <f>Table1[[#This Row],[Profit]]/Table1[[#This Row],[Sales]]</f>
        <v>0.34212548015364913</v>
      </c>
      <c r="V745" t="str">
        <f>IF(Table1[[#This Row],[Discount]]=0,"No Discount",IF(Table1[[#This Row],[Discount]]&lt;=0.1,"Low",IF(Table1[[#This Row],[Discount]]&lt;=0.2,"medium","high")))</f>
        <v>No Discount</v>
      </c>
    </row>
    <row r="746" spans="1:22" x14ac:dyDescent="0.3">
      <c r="A746" t="s">
        <v>1039</v>
      </c>
      <c r="B746" s="6">
        <v>45918</v>
      </c>
      <c r="C746" t="s">
        <v>181</v>
      </c>
      <c r="D746" t="s">
        <v>128</v>
      </c>
      <c r="E746" t="s">
        <v>146</v>
      </c>
      <c r="F746" t="s">
        <v>72</v>
      </c>
      <c r="G746" t="s">
        <v>111</v>
      </c>
      <c r="H746" t="s">
        <v>112</v>
      </c>
      <c r="I746">
        <v>3983.16</v>
      </c>
      <c r="J746">
        <v>4</v>
      </c>
      <c r="K746">
        <v>0.1</v>
      </c>
      <c r="L746">
        <v>-75.459999999999994</v>
      </c>
      <c r="M746" t="s">
        <v>133</v>
      </c>
      <c r="N746" t="s">
        <v>80</v>
      </c>
      <c r="O746" t="str">
        <f t="shared" si="22"/>
        <v>Bad</v>
      </c>
      <c r="P746">
        <f t="shared" si="23"/>
        <v>995.79</v>
      </c>
      <c r="Q746">
        <v>45918</v>
      </c>
      <c r="R746">
        <f>YEAR(Table1[[#This Row],[Order_Date_New]])</f>
        <v>2025</v>
      </c>
      <c r="S746">
        <f>MONTH(Table1[[#This Row],[Order_Date_New]])</f>
        <v>9</v>
      </c>
      <c r="T746" t="str">
        <f>TEXT(Table1[[#This Row],[Order_Date_New]],"mmmm")</f>
        <v>September</v>
      </c>
      <c r="U746">
        <f>Table1[[#This Row],[Profit]]/Table1[[#This Row],[Sales]]</f>
        <v>-1.8944757428775143E-2</v>
      </c>
      <c r="V746" t="str">
        <f>IF(Table1[[#This Row],[Discount]]=0,"No Discount",IF(Table1[[#This Row],[Discount]]&lt;=0.1,"Low",IF(Table1[[#This Row],[Discount]]&lt;=0.2,"medium","high")))</f>
        <v>Low</v>
      </c>
    </row>
    <row r="747" spans="1:22" x14ac:dyDescent="0.3">
      <c r="A747" t="s">
        <v>1040</v>
      </c>
      <c r="B747" s="6">
        <v>45796</v>
      </c>
      <c r="C747" t="s">
        <v>237</v>
      </c>
      <c r="D747" t="s">
        <v>24</v>
      </c>
      <c r="E747" t="s">
        <v>97</v>
      </c>
      <c r="F747" t="s">
        <v>26</v>
      </c>
      <c r="G747" t="s">
        <v>27</v>
      </c>
      <c r="H747" t="s">
        <v>28</v>
      </c>
      <c r="I747">
        <v>2338.08</v>
      </c>
      <c r="J747">
        <v>3</v>
      </c>
      <c r="K747">
        <v>0.2</v>
      </c>
      <c r="L747">
        <v>198.8</v>
      </c>
      <c r="M747" t="s">
        <v>37</v>
      </c>
      <c r="N747" t="s">
        <v>38</v>
      </c>
      <c r="O747" t="str">
        <f t="shared" si="22"/>
        <v>Bad</v>
      </c>
      <c r="P747">
        <f t="shared" si="23"/>
        <v>779.36</v>
      </c>
      <c r="Q747">
        <v>45796</v>
      </c>
      <c r="R747">
        <f>YEAR(Table1[[#This Row],[Order_Date_New]])</f>
        <v>2025</v>
      </c>
      <c r="S747">
        <f>MONTH(Table1[[#This Row],[Order_Date_New]])</f>
        <v>5</v>
      </c>
      <c r="T747" t="str">
        <f>TEXT(Table1[[#This Row],[Order_Date_New]],"mmmm")</f>
        <v>May</v>
      </c>
      <c r="U747">
        <f>Table1[[#This Row],[Profit]]/Table1[[#This Row],[Sales]]</f>
        <v>8.5027030726065836E-2</v>
      </c>
      <c r="V747" t="str">
        <f>IF(Table1[[#This Row],[Discount]]=0,"No Discount",IF(Table1[[#This Row],[Discount]]&lt;=0.1,"Low",IF(Table1[[#This Row],[Discount]]&lt;=0.2,"medium","high")))</f>
        <v>medium</v>
      </c>
    </row>
    <row r="748" spans="1:22" x14ac:dyDescent="0.3">
      <c r="A748" t="s">
        <v>1041</v>
      </c>
      <c r="B748" s="6">
        <v>45497</v>
      </c>
      <c r="C748" t="s">
        <v>733</v>
      </c>
      <c r="D748" t="s">
        <v>24</v>
      </c>
      <c r="E748" t="s">
        <v>25</v>
      </c>
      <c r="F748" t="s">
        <v>60</v>
      </c>
      <c r="G748" t="s">
        <v>98</v>
      </c>
      <c r="H748" t="s">
        <v>99</v>
      </c>
      <c r="I748">
        <v>1177.23</v>
      </c>
      <c r="J748">
        <v>1</v>
      </c>
      <c r="K748">
        <v>0.1</v>
      </c>
      <c r="L748">
        <v>-23.15</v>
      </c>
      <c r="M748" t="s">
        <v>29</v>
      </c>
      <c r="N748" t="s">
        <v>44</v>
      </c>
      <c r="O748" t="str">
        <f t="shared" si="22"/>
        <v>Bad</v>
      </c>
      <c r="P748">
        <f t="shared" si="23"/>
        <v>1177.23</v>
      </c>
      <c r="Q748">
        <v>45497</v>
      </c>
      <c r="R748">
        <f>YEAR(Table1[[#This Row],[Order_Date_New]])</f>
        <v>2024</v>
      </c>
      <c r="S748">
        <f>MONTH(Table1[[#This Row],[Order_Date_New]])</f>
        <v>7</v>
      </c>
      <c r="T748" t="str">
        <f>TEXT(Table1[[#This Row],[Order_Date_New]],"mmmm")</f>
        <v>July</v>
      </c>
      <c r="U748">
        <f>Table1[[#This Row],[Profit]]/Table1[[#This Row],[Sales]]</f>
        <v>-1.9664806367489785E-2</v>
      </c>
      <c r="V748" t="str">
        <f>IF(Table1[[#This Row],[Discount]]=0,"No Discount",IF(Table1[[#This Row],[Discount]]&lt;=0.1,"Low",IF(Table1[[#This Row],[Discount]]&lt;=0.2,"medium","high")))</f>
        <v>Low</v>
      </c>
    </row>
    <row r="749" spans="1:22" x14ac:dyDescent="0.3">
      <c r="A749" t="s">
        <v>1042</v>
      </c>
      <c r="B749" s="6">
        <v>45698</v>
      </c>
      <c r="C749" t="s">
        <v>463</v>
      </c>
      <c r="D749" t="s">
        <v>33</v>
      </c>
      <c r="E749" t="s">
        <v>48</v>
      </c>
      <c r="F749" t="s">
        <v>60</v>
      </c>
      <c r="G749" t="s">
        <v>98</v>
      </c>
      <c r="H749" t="s">
        <v>138</v>
      </c>
      <c r="I749">
        <v>4640.28</v>
      </c>
      <c r="J749">
        <v>4</v>
      </c>
      <c r="K749">
        <v>0.2</v>
      </c>
      <c r="L749">
        <v>203.85</v>
      </c>
      <c r="M749" t="s">
        <v>68</v>
      </c>
      <c r="N749" t="s">
        <v>80</v>
      </c>
      <c r="O749" t="str">
        <f t="shared" si="22"/>
        <v>Bad</v>
      </c>
      <c r="P749">
        <f t="shared" si="23"/>
        <v>1160.07</v>
      </c>
      <c r="Q749">
        <v>45698</v>
      </c>
      <c r="R749">
        <f>YEAR(Table1[[#This Row],[Order_Date_New]])</f>
        <v>2025</v>
      </c>
      <c r="S749">
        <f>MONTH(Table1[[#This Row],[Order_Date_New]])</f>
        <v>2</v>
      </c>
      <c r="T749" t="str">
        <f>TEXT(Table1[[#This Row],[Order_Date_New]],"mmmm")</f>
        <v>February</v>
      </c>
      <c r="U749">
        <f>Table1[[#This Row],[Profit]]/Table1[[#This Row],[Sales]]</f>
        <v>4.393053867439034E-2</v>
      </c>
      <c r="V749" t="str">
        <f>IF(Table1[[#This Row],[Discount]]=0,"No Discount",IF(Table1[[#This Row],[Discount]]&lt;=0.1,"Low",IF(Table1[[#This Row],[Discount]]&lt;=0.2,"medium","high")))</f>
        <v>medium</v>
      </c>
    </row>
    <row r="750" spans="1:22" x14ac:dyDescent="0.3">
      <c r="A750" t="s">
        <v>1043</v>
      </c>
      <c r="B750" s="6">
        <v>45425</v>
      </c>
      <c r="C750" t="s">
        <v>1044</v>
      </c>
      <c r="D750" t="s">
        <v>33</v>
      </c>
      <c r="E750" t="s">
        <v>66</v>
      </c>
      <c r="F750" t="s">
        <v>60</v>
      </c>
      <c r="G750" t="s">
        <v>61</v>
      </c>
      <c r="H750" t="s">
        <v>67</v>
      </c>
      <c r="I750">
        <v>6200.64</v>
      </c>
      <c r="J750">
        <v>6</v>
      </c>
      <c r="K750">
        <v>0.15</v>
      </c>
      <c r="L750">
        <v>667.92</v>
      </c>
      <c r="M750" t="s">
        <v>49</v>
      </c>
      <c r="N750" t="s">
        <v>30</v>
      </c>
      <c r="O750" t="str">
        <f t="shared" si="22"/>
        <v>Bad</v>
      </c>
      <c r="P750">
        <f t="shared" si="23"/>
        <v>1033.44</v>
      </c>
      <c r="Q750">
        <v>45425</v>
      </c>
      <c r="R750">
        <f>YEAR(Table1[[#This Row],[Order_Date_New]])</f>
        <v>2024</v>
      </c>
      <c r="S750">
        <f>MONTH(Table1[[#This Row],[Order_Date_New]])</f>
        <v>5</v>
      </c>
      <c r="T750" t="str">
        <f>TEXT(Table1[[#This Row],[Order_Date_New]],"mmmm")</f>
        <v>May</v>
      </c>
      <c r="U750">
        <f>Table1[[#This Row],[Profit]]/Table1[[#This Row],[Sales]]</f>
        <v>0.10771791298962687</v>
      </c>
      <c r="V750" t="str">
        <f>IF(Table1[[#This Row],[Discount]]=0,"No Discount",IF(Table1[[#This Row],[Discount]]&lt;=0.1,"Low",IF(Table1[[#This Row],[Discount]]&lt;=0.2,"medium","high")))</f>
        <v>medium</v>
      </c>
    </row>
    <row r="751" spans="1:22" x14ac:dyDescent="0.3">
      <c r="A751" t="s">
        <v>1045</v>
      </c>
      <c r="B751" s="6">
        <v>45768</v>
      </c>
      <c r="C751" t="s">
        <v>437</v>
      </c>
      <c r="D751" t="s">
        <v>33</v>
      </c>
      <c r="E751" t="s">
        <v>66</v>
      </c>
      <c r="F751" t="s">
        <v>72</v>
      </c>
      <c r="G751" t="s">
        <v>111</v>
      </c>
      <c r="H751" t="s">
        <v>158</v>
      </c>
      <c r="I751">
        <v>4179.6499999999996</v>
      </c>
      <c r="J751">
        <v>5</v>
      </c>
      <c r="K751">
        <v>0.1</v>
      </c>
      <c r="L751">
        <v>839.19</v>
      </c>
      <c r="M751" t="s">
        <v>49</v>
      </c>
      <c r="N751" t="s">
        <v>30</v>
      </c>
      <c r="O751" t="str">
        <f t="shared" si="22"/>
        <v>Bad</v>
      </c>
      <c r="P751">
        <f t="shared" si="23"/>
        <v>835.93</v>
      </c>
      <c r="Q751">
        <v>45768</v>
      </c>
      <c r="R751">
        <f>YEAR(Table1[[#This Row],[Order_Date_New]])</f>
        <v>2025</v>
      </c>
      <c r="S751">
        <f>MONTH(Table1[[#This Row],[Order_Date_New]])</f>
        <v>4</v>
      </c>
      <c r="T751" t="str">
        <f>TEXT(Table1[[#This Row],[Order_Date_New]],"mmmm")</f>
        <v>April</v>
      </c>
      <c r="U751">
        <f>Table1[[#This Row],[Profit]]/Table1[[#This Row],[Sales]]</f>
        <v>0.2007799696146807</v>
      </c>
      <c r="V751" t="str">
        <f>IF(Table1[[#This Row],[Discount]]=0,"No Discount",IF(Table1[[#This Row],[Discount]]&lt;=0.1,"Low",IF(Table1[[#This Row],[Discount]]&lt;=0.2,"medium","high")))</f>
        <v>Low</v>
      </c>
    </row>
    <row r="752" spans="1:22" x14ac:dyDescent="0.3">
      <c r="A752" t="s">
        <v>1046</v>
      </c>
      <c r="B752" s="6">
        <v>45972</v>
      </c>
      <c r="C752" t="s">
        <v>177</v>
      </c>
      <c r="D752" t="s">
        <v>128</v>
      </c>
      <c r="E752" t="s">
        <v>132</v>
      </c>
      <c r="F752" t="s">
        <v>72</v>
      </c>
      <c r="G752" t="s">
        <v>88</v>
      </c>
      <c r="H752" t="s">
        <v>209</v>
      </c>
      <c r="I752">
        <v>82.72</v>
      </c>
      <c r="J752">
        <v>4</v>
      </c>
      <c r="K752">
        <v>0.1</v>
      </c>
      <c r="L752">
        <v>26.42</v>
      </c>
      <c r="M752" t="s">
        <v>43</v>
      </c>
      <c r="N752" t="s">
        <v>44</v>
      </c>
      <c r="O752" t="str">
        <f t="shared" si="22"/>
        <v>Bad</v>
      </c>
      <c r="P752">
        <f t="shared" si="23"/>
        <v>20.68</v>
      </c>
      <c r="Q752">
        <v>45972</v>
      </c>
      <c r="R752">
        <f>YEAR(Table1[[#This Row],[Order_Date_New]])</f>
        <v>2025</v>
      </c>
      <c r="S752">
        <f>MONTH(Table1[[#This Row],[Order_Date_New]])</f>
        <v>11</v>
      </c>
      <c r="T752" t="str">
        <f>TEXT(Table1[[#This Row],[Order_Date_New]],"mmmm")</f>
        <v>November</v>
      </c>
      <c r="U752">
        <f>Table1[[#This Row],[Profit]]/Table1[[#This Row],[Sales]]</f>
        <v>0.31939071566731142</v>
      </c>
      <c r="V752" t="str">
        <f>IF(Table1[[#This Row],[Discount]]=0,"No Discount",IF(Table1[[#This Row],[Discount]]&lt;=0.1,"Low",IF(Table1[[#This Row],[Discount]]&lt;=0.2,"medium","high")))</f>
        <v>Low</v>
      </c>
    </row>
    <row r="753" spans="1:22" x14ac:dyDescent="0.3">
      <c r="A753" t="s">
        <v>1047</v>
      </c>
      <c r="B753" s="6">
        <v>46015</v>
      </c>
      <c r="C753" t="s">
        <v>290</v>
      </c>
      <c r="D753" t="s">
        <v>53</v>
      </c>
      <c r="E753" t="s">
        <v>77</v>
      </c>
      <c r="F753" t="s">
        <v>26</v>
      </c>
      <c r="G753" t="s">
        <v>41</v>
      </c>
      <c r="H753" t="s">
        <v>42</v>
      </c>
      <c r="I753">
        <v>2154.6</v>
      </c>
      <c r="J753">
        <v>4</v>
      </c>
      <c r="K753">
        <v>0.1</v>
      </c>
      <c r="L753">
        <v>354.4</v>
      </c>
      <c r="M753" t="s">
        <v>133</v>
      </c>
      <c r="N753" t="s">
        <v>30</v>
      </c>
      <c r="O753" t="str">
        <f t="shared" si="22"/>
        <v>Bad</v>
      </c>
      <c r="P753">
        <f t="shared" si="23"/>
        <v>538.65</v>
      </c>
      <c r="Q753">
        <v>46015</v>
      </c>
      <c r="R753">
        <f>YEAR(Table1[[#This Row],[Order_Date_New]])</f>
        <v>2025</v>
      </c>
      <c r="S753">
        <f>MONTH(Table1[[#This Row],[Order_Date_New]])</f>
        <v>12</v>
      </c>
      <c r="T753" t="str">
        <f>TEXT(Table1[[#This Row],[Order_Date_New]],"mmmm")</f>
        <v>December</v>
      </c>
      <c r="U753">
        <f>Table1[[#This Row],[Profit]]/Table1[[#This Row],[Sales]]</f>
        <v>0.16448528729230483</v>
      </c>
      <c r="V753" t="str">
        <f>IF(Table1[[#This Row],[Discount]]=0,"No Discount",IF(Table1[[#This Row],[Discount]]&lt;=0.1,"Low",IF(Table1[[#This Row],[Discount]]&lt;=0.2,"medium","high")))</f>
        <v>Low</v>
      </c>
    </row>
    <row r="754" spans="1:22" x14ac:dyDescent="0.3">
      <c r="A754" t="s">
        <v>1048</v>
      </c>
      <c r="B754" s="6">
        <v>45567</v>
      </c>
      <c r="C754" t="s">
        <v>1049</v>
      </c>
      <c r="D754" t="s">
        <v>53</v>
      </c>
      <c r="E754" t="s">
        <v>107</v>
      </c>
      <c r="F754" t="s">
        <v>26</v>
      </c>
      <c r="G754" t="s">
        <v>27</v>
      </c>
      <c r="H754" t="s">
        <v>271</v>
      </c>
      <c r="I754">
        <v>4813.68</v>
      </c>
      <c r="J754">
        <v>6</v>
      </c>
      <c r="K754">
        <v>0.05</v>
      </c>
      <c r="L754">
        <v>1324.31</v>
      </c>
      <c r="M754" t="s">
        <v>105</v>
      </c>
      <c r="N754" t="s">
        <v>30</v>
      </c>
      <c r="O754" t="str">
        <f t="shared" si="22"/>
        <v>Bad</v>
      </c>
      <c r="P754">
        <f t="shared" si="23"/>
        <v>802.28000000000009</v>
      </c>
      <c r="Q754">
        <v>45567</v>
      </c>
      <c r="R754">
        <f>YEAR(Table1[[#This Row],[Order_Date_New]])</f>
        <v>2024</v>
      </c>
      <c r="S754">
        <f>MONTH(Table1[[#This Row],[Order_Date_New]])</f>
        <v>10</v>
      </c>
      <c r="T754" t="str">
        <f>TEXT(Table1[[#This Row],[Order_Date_New]],"mmmm")</f>
        <v>October</v>
      </c>
      <c r="U754">
        <f>Table1[[#This Row],[Profit]]/Table1[[#This Row],[Sales]]</f>
        <v>0.27511384221635005</v>
      </c>
      <c r="V754" t="str">
        <f>IF(Table1[[#This Row],[Discount]]=0,"No Discount",IF(Table1[[#This Row],[Discount]]&lt;=0.1,"Low",IF(Table1[[#This Row],[Discount]]&lt;=0.2,"medium","high")))</f>
        <v>Low</v>
      </c>
    </row>
    <row r="755" spans="1:22" x14ac:dyDescent="0.3">
      <c r="A755" t="s">
        <v>1050</v>
      </c>
      <c r="B755" s="6">
        <v>45491</v>
      </c>
      <c r="C755" t="s">
        <v>239</v>
      </c>
      <c r="D755" t="s">
        <v>33</v>
      </c>
      <c r="E755" t="s">
        <v>48</v>
      </c>
      <c r="F755" t="s">
        <v>72</v>
      </c>
      <c r="G755" t="s">
        <v>88</v>
      </c>
      <c r="H755" t="s">
        <v>89</v>
      </c>
      <c r="I755">
        <v>3681.04</v>
      </c>
      <c r="J755">
        <v>4</v>
      </c>
      <c r="K755">
        <v>0</v>
      </c>
      <c r="L755">
        <v>1395.99</v>
      </c>
      <c r="M755" t="s">
        <v>43</v>
      </c>
      <c r="N755" t="s">
        <v>38</v>
      </c>
      <c r="O755" t="str">
        <f t="shared" si="22"/>
        <v>Bad</v>
      </c>
      <c r="P755">
        <f t="shared" si="23"/>
        <v>920.26</v>
      </c>
      <c r="Q755">
        <v>45491</v>
      </c>
      <c r="R755">
        <f>YEAR(Table1[[#This Row],[Order_Date_New]])</f>
        <v>2024</v>
      </c>
      <c r="S755">
        <f>MONTH(Table1[[#This Row],[Order_Date_New]])</f>
        <v>7</v>
      </c>
      <c r="T755" t="str">
        <f>TEXT(Table1[[#This Row],[Order_Date_New]],"mmmm")</f>
        <v>July</v>
      </c>
      <c r="U755">
        <f>Table1[[#This Row],[Profit]]/Table1[[#This Row],[Sales]]</f>
        <v>0.37923793275813356</v>
      </c>
      <c r="V755" t="str">
        <f>IF(Table1[[#This Row],[Discount]]=0,"No Discount",IF(Table1[[#This Row],[Discount]]&lt;=0.1,"Low",IF(Table1[[#This Row],[Discount]]&lt;=0.2,"medium","high")))</f>
        <v>No Discount</v>
      </c>
    </row>
    <row r="756" spans="1:22" x14ac:dyDescent="0.3">
      <c r="A756" t="s">
        <v>1051</v>
      </c>
      <c r="B756" s="6">
        <v>45866</v>
      </c>
      <c r="C756" t="s">
        <v>1044</v>
      </c>
      <c r="D756" t="s">
        <v>53</v>
      </c>
      <c r="E756" t="s">
        <v>77</v>
      </c>
      <c r="F756" t="s">
        <v>72</v>
      </c>
      <c r="G756" t="s">
        <v>73</v>
      </c>
      <c r="H756" t="s">
        <v>74</v>
      </c>
      <c r="I756">
        <v>1204.68</v>
      </c>
      <c r="J756">
        <v>4</v>
      </c>
      <c r="K756">
        <v>0.25</v>
      </c>
      <c r="L756">
        <v>85.7</v>
      </c>
      <c r="M756" t="s">
        <v>170</v>
      </c>
      <c r="N756" t="s">
        <v>30</v>
      </c>
      <c r="O756" t="str">
        <f t="shared" si="22"/>
        <v>Bad</v>
      </c>
      <c r="P756">
        <f t="shared" si="23"/>
        <v>301.17</v>
      </c>
      <c r="Q756">
        <v>45866</v>
      </c>
      <c r="R756">
        <f>YEAR(Table1[[#This Row],[Order_Date_New]])</f>
        <v>2025</v>
      </c>
      <c r="S756">
        <f>MONTH(Table1[[#This Row],[Order_Date_New]])</f>
        <v>7</v>
      </c>
      <c r="T756" t="str">
        <f>TEXT(Table1[[#This Row],[Order_Date_New]],"mmmm")</f>
        <v>July</v>
      </c>
      <c r="U756">
        <f>Table1[[#This Row],[Profit]]/Table1[[#This Row],[Sales]]</f>
        <v>7.1139223694259054E-2</v>
      </c>
      <c r="V756" t="str">
        <f>IF(Table1[[#This Row],[Discount]]=0,"No Discount",IF(Table1[[#This Row],[Discount]]&lt;=0.1,"Low",IF(Table1[[#This Row],[Discount]]&lt;=0.2,"medium","high")))</f>
        <v>high</v>
      </c>
    </row>
    <row r="757" spans="1:22" x14ac:dyDescent="0.3">
      <c r="A757" t="s">
        <v>1052</v>
      </c>
      <c r="B757" s="6">
        <v>45570</v>
      </c>
      <c r="C757" t="s">
        <v>1044</v>
      </c>
      <c r="D757" t="s">
        <v>24</v>
      </c>
      <c r="E757" t="s">
        <v>84</v>
      </c>
      <c r="F757" t="s">
        <v>26</v>
      </c>
      <c r="G757" t="s">
        <v>35</v>
      </c>
      <c r="H757" t="s">
        <v>173</v>
      </c>
      <c r="I757">
        <v>715.54</v>
      </c>
      <c r="J757">
        <v>7</v>
      </c>
      <c r="K757">
        <v>0.25</v>
      </c>
      <c r="L757">
        <v>-42.17</v>
      </c>
      <c r="M757" t="s">
        <v>170</v>
      </c>
      <c r="N757" t="s">
        <v>44</v>
      </c>
      <c r="O757" t="str">
        <f t="shared" si="22"/>
        <v>Bad</v>
      </c>
      <c r="P757">
        <f t="shared" si="23"/>
        <v>102.22</v>
      </c>
      <c r="Q757">
        <v>45570</v>
      </c>
      <c r="R757">
        <f>YEAR(Table1[[#This Row],[Order_Date_New]])</f>
        <v>2024</v>
      </c>
      <c r="S757">
        <f>MONTH(Table1[[#This Row],[Order_Date_New]])</f>
        <v>10</v>
      </c>
      <c r="T757" t="str">
        <f>TEXT(Table1[[#This Row],[Order_Date_New]],"mmmm")</f>
        <v>October</v>
      </c>
      <c r="U757">
        <f>Table1[[#This Row],[Profit]]/Table1[[#This Row],[Sales]]</f>
        <v>-5.893451099868631E-2</v>
      </c>
      <c r="V757" t="str">
        <f>IF(Table1[[#This Row],[Discount]]=0,"No Discount",IF(Table1[[#This Row],[Discount]]&lt;=0.1,"Low",IF(Table1[[#This Row],[Discount]]&lt;=0.2,"medium","high")))</f>
        <v>high</v>
      </c>
    </row>
    <row r="758" spans="1:22" x14ac:dyDescent="0.3">
      <c r="A758" t="s">
        <v>1053</v>
      </c>
      <c r="B758" s="6">
        <v>45987</v>
      </c>
      <c r="C758" t="s">
        <v>764</v>
      </c>
      <c r="D758" t="s">
        <v>53</v>
      </c>
      <c r="E758" t="s">
        <v>107</v>
      </c>
      <c r="F758" t="s">
        <v>60</v>
      </c>
      <c r="G758" t="s">
        <v>61</v>
      </c>
      <c r="H758" t="s">
        <v>62</v>
      </c>
      <c r="I758">
        <v>740.48</v>
      </c>
      <c r="J758">
        <v>2</v>
      </c>
      <c r="K758">
        <v>0.05</v>
      </c>
      <c r="L758">
        <v>154.49</v>
      </c>
      <c r="M758" t="s">
        <v>68</v>
      </c>
      <c r="N758" t="s">
        <v>44</v>
      </c>
      <c r="O758" t="str">
        <f t="shared" si="22"/>
        <v>Bad</v>
      </c>
      <c r="P758">
        <f t="shared" si="23"/>
        <v>370.24</v>
      </c>
      <c r="Q758">
        <v>45987</v>
      </c>
      <c r="R758">
        <f>YEAR(Table1[[#This Row],[Order_Date_New]])</f>
        <v>2025</v>
      </c>
      <c r="S758">
        <f>MONTH(Table1[[#This Row],[Order_Date_New]])</f>
        <v>11</v>
      </c>
      <c r="T758" t="str">
        <f>TEXT(Table1[[#This Row],[Order_Date_New]],"mmmm")</f>
        <v>November</v>
      </c>
      <c r="U758">
        <f>Table1[[#This Row],[Profit]]/Table1[[#This Row],[Sales]]</f>
        <v>0.20863493949870354</v>
      </c>
      <c r="V758" t="str">
        <f>IF(Table1[[#This Row],[Discount]]=0,"No Discount",IF(Table1[[#This Row],[Discount]]&lt;=0.1,"Low",IF(Table1[[#This Row],[Discount]]&lt;=0.2,"medium","high")))</f>
        <v>Low</v>
      </c>
    </row>
    <row r="759" spans="1:22" x14ac:dyDescent="0.3">
      <c r="A759" t="s">
        <v>1054</v>
      </c>
      <c r="B759" s="6">
        <v>45997</v>
      </c>
      <c r="C759" t="s">
        <v>669</v>
      </c>
      <c r="D759" t="s">
        <v>33</v>
      </c>
      <c r="E759" t="s">
        <v>48</v>
      </c>
      <c r="F759" t="s">
        <v>26</v>
      </c>
      <c r="G759" t="s">
        <v>41</v>
      </c>
      <c r="H759" t="s">
        <v>189</v>
      </c>
      <c r="I759">
        <v>7640.08</v>
      </c>
      <c r="J759">
        <v>7</v>
      </c>
      <c r="K759">
        <v>0.05</v>
      </c>
      <c r="L759">
        <v>494.35</v>
      </c>
      <c r="M759" t="s">
        <v>49</v>
      </c>
      <c r="N759" t="s">
        <v>44</v>
      </c>
      <c r="O759" t="str">
        <f t="shared" si="22"/>
        <v>Bad</v>
      </c>
      <c r="P759">
        <f t="shared" si="23"/>
        <v>1091.44</v>
      </c>
      <c r="Q759">
        <v>45997</v>
      </c>
      <c r="R759">
        <f>YEAR(Table1[[#This Row],[Order_Date_New]])</f>
        <v>2025</v>
      </c>
      <c r="S759">
        <f>MONTH(Table1[[#This Row],[Order_Date_New]])</f>
        <v>12</v>
      </c>
      <c r="T759" t="str">
        <f>TEXT(Table1[[#This Row],[Order_Date_New]],"mmmm")</f>
        <v>December</v>
      </c>
      <c r="U759">
        <f>Table1[[#This Row],[Profit]]/Table1[[#This Row],[Sales]]</f>
        <v>6.4704819844818379E-2</v>
      </c>
      <c r="V759" t="str">
        <f>IF(Table1[[#This Row],[Discount]]=0,"No Discount",IF(Table1[[#This Row],[Discount]]&lt;=0.1,"Low",IF(Table1[[#This Row],[Discount]]&lt;=0.2,"medium","high")))</f>
        <v>Low</v>
      </c>
    </row>
    <row r="760" spans="1:22" x14ac:dyDescent="0.3">
      <c r="A760" t="s">
        <v>1055</v>
      </c>
      <c r="B760" s="6">
        <v>45995</v>
      </c>
      <c r="C760" t="s">
        <v>739</v>
      </c>
      <c r="D760" t="s">
        <v>128</v>
      </c>
      <c r="E760" t="s">
        <v>132</v>
      </c>
      <c r="F760" t="s">
        <v>72</v>
      </c>
      <c r="G760" t="s">
        <v>111</v>
      </c>
      <c r="H760" t="s">
        <v>112</v>
      </c>
      <c r="I760">
        <v>5272.68</v>
      </c>
      <c r="J760">
        <v>7</v>
      </c>
      <c r="K760">
        <v>0.25</v>
      </c>
      <c r="L760">
        <v>915.73</v>
      </c>
      <c r="M760" t="s">
        <v>170</v>
      </c>
      <c r="N760" t="s">
        <v>44</v>
      </c>
      <c r="O760" t="str">
        <f t="shared" si="22"/>
        <v>Bad</v>
      </c>
      <c r="P760">
        <f t="shared" si="23"/>
        <v>753.24</v>
      </c>
      <c r="Q760">
        <v>45995</v>
      </c>
      <c r="R760">
        <f>YEAR(Table1[[#This Row],[Order_Date_New]])</f>
        <v>2025</v>
      </c>
      <c r="S760">
        <f>MONTH(Table1[[#This Row],[Order_Date_New]])</f>
        <v>12</v>
      </c>
      <c r="T760" t="str">
        <f>TEXT(Table1[[#This Row],[Order_Date_New]],"mmmm")</f>
        <v>December</v>
      </c>
      <c r="U760">
        <f>Table1[[#This Row],[Profit]]/Table1[[#This Row],[Sales]]</f>
        <v>0.17367448811610034</v>
      </c>
      <c r="V760" t="str">
        <f>IF(Table1[[#This Row],[Discount]]=0,"No Discount",IF(Table1[[#This Row],[Discount]]&lt;=0.1,"Low",IF(Table1[[#This Row],[Discount]]&lt;=0.2,"medium","high")))</f>
        <v>high</v>
      </c>
    </row>
    <row r="761" spans="1:22" x14ac:dyDescent="0.3">
      <c r="A761" t="s">
        <v>1056</v>
      </c>
      <c r="B761" s="6">
        <v>45496</v>
      </c>
      <c r="C761" t="s">
        <v>309</v>
      </c>
      <c r="D761" t="s">
        <v>24</v>
      </c>
      <c r="E761" t="s">
        <v>59</v>
      </c>
      <c r="F761" t="s">
        <v>60</v>
      </c>
      <c r="G761" t="s">
        <v>98</v>
      </c>
      <c r="H761" t="s">
        <v>99</v>
      </c>
      <c r="I761">
        <v>462.48</v>
      </c>
      <c r="J761">
        <v>2</v>
      </c>
      <c r="K761">
        <v>0</v>
      </c>
      <c r="L761">
        <v>93.63</v>
      </c>
      <c r="M761" t="s">
        <v>105</v>
      </c>
      <c r="N761" t="s">
        <v>30</v>
      </c>
      <c r="O761" t="str">
        <f t="shared" si="22"/>
        <v>Bad</v>
      </c>
      <c r="P761">
        <f t="shared" si="23"/>
        <v>231.24</v>
      </c>
      <c r="Q761">
        <v>45496</v>
      </c>
      <c r="R761">
        <f>YEAR(Table1[[#This Row],[Order_Date_New]])</f>
        <v>2024</v>
      </c>
      <c r="S761">
        <f>MONTH(Table1[[#This Row],[Order_Date_New]])</f>
        <v>7</v>
      </c>
      <c r="T761" t="str">
        <f>TEXT(Table1[[#This Row],[Order_Date_New]],"mmmm")</f>
        <v>July</v>
      </c>
      <c r="U761">
        <f>Table1[[#This Row],[Profit]]/Table1[[#This Row],[Sales]]</f>
        <v>0.20245199792423454</v>
      </c>
      <c r="V761" t="str">
        <f>IF(Table1[[#This Row],[Discount]]=0,"No Discount",IF(Table1[[#This Row],[Discount]]&lt;=0.1,"Low",IF(Table1[[#This Row],[Discount]]&lt;=0.2,"medium","high")))</f>
        <v>No Discount</v>
      </c>
    </row>
    <row r="762" spans="1:22" x14ac:dyDescent="0.3">
      <c r="A762" t="s">
        <v>1057</v>
      </c>
      <c r="B762" s="6">
        <v>45847</v>
      </c>
      <c r="C762" t="s">
        <v>604</v>
      </c>
      <c r="D762" t="s">
        <v>128</v>
      </c>
      <c r="E762" t="s">
        <v>202</v>
      </c>
      <c r="F762" t="s">
        <v>72</v>
      </c>
      <c r="G762" t="s">
        <v>73</v>
      </c>
      <c r="H762" t="s">
        <v>293</v>
      </c>
      <c r="I762">
        <v>11579</v>
      </c>
      <c r="J762">
        <v>10</v>
      </c>
      <c r="K762">
        <v>0.05</v>
      </c>
      <c r="L762">
        <v>2792.93</v>
      </c>
      <c r="M762" t="s">
        <v>49</v>
      </c>
      <c r="N762" t="s">
        <v>80</v>
      </c>
      <c r="O762" t="str">
        <f t="shared" si="22"/>
        <v>Good</v>
      </c>
      <c r="P762">
        <f t="shared" si="23"/>
        <v>1157.9000000000001</v>
      </c>
      <c r="Q762">
        <v>45847</v>
      </c>
      <c r="R762">
        <f>YEAR(Table1[[#This Row],[Order_Date_New]])</f>
        <v>2025</v>
      </c>
      <c r="S762">
        <f>MONTH(Table1[[#This Row],[Order_Date_New]])</f>
        <v>7</v>
      </c>
      <c r="T762" t="str">
        <f>TEXT(Table1[[#This Row],[Order_Date_New]],"mmmm")</f>
        <v>July</v>
      </c>
      <c r="U762">
        <f>Table1[[#This Row],[Profit]]/Table1[[#This Row],[Sales]]</f>
        <v>0.24120649451593401</v>
      </c>
      <c r="V762" t="str">
        <f>IF(Table1[[#This Row],[Discount]]=0,"No Discount",IF(Table1[[#This Row],[Discount]]&lt;=0.1,"Low",IF(Table1[[#This Row],[Discount]]&lt;=0.2,"medium","high")))</f>
        <v>Low</v>
      </c>
    </row>
    <row r="763" spans="1:22" x14ac:dyDescent="0.3">
      <c r="A763" t="s">
        <v>1058</v>
      </c>
      <c r="B763" s="6">
        <v>45386</v>
      </c>
      <c r="C763" t="s">
        <v>324</v>
      </c>
      <c r="D763" t="s">
        <v>24</v>
      </c>
      <c r="E763" t="s">
        <v>59</v>
      </c>
      <c r="F763" t="s">
        <v>26</v>
      </c>
      <c r="G763" t="s">
        <v>35</v>
      </c>
      <c r="H763" t="s">
        <v>55</v>
      </c>
      <c r="I763">
        <v>2221.6799999999998</v>
      </c>
      <c r="J763">
        <v>4</v>
      </c>
      <c r="K763">
        <v>0.3</v>
      </c>
      <c r="L763">
        <v>-422.62</v>
      </c>
      <c r="M763" t="s">
        <v>133</v>
      </c>
      <c r="N763" t="s">
        <v>80</v>
      </c>
      <c r="O763" t="str">
        <f t="shared" si="22"/>
        <v>Bad</v>
      </c>
      <c r="P763">
        <f t="shared" si="23"/>
        <v>555.41999999999996</v>
      </c>
      <c r="Q763">
        <v>45386</v>
      </c>
      <c r="R763">
        <f>YEAR(Table1[[#This Row],[Order_Date_New]])</f>
        <v>2024</v>
      </c>
      <c r="S763">
        <f>MONTH(Table1[[#This Row],[Order_Date_New]])</f>
        <v>4</v>
      </c>
      <c r="T763" t="str">
        <f>TEXT(Table1[[#This Row],[Order_Date_New]],"mmmm")</f>
        <v>April</v>
      </c>
      <c r="U763">
        <f>Table1[[#This Row],[Profit]]/Table1[[#This Row],[Sales]]</f>
        <v>-0.19022541500126033</v>
      </c>
      <c r="V763" t="str">
        <f>IF(Table1[[#This Row],[Discount]]=0,"No Discount",IF(Table1[[#This Row],[Discount]]&lt;=0.1,"Low",IF(Table1[[#This Row],[Discount]]&lt;=0.2,"medium","high")))</f>
        <v>high</v>
      </c>
    </row>
    <row r="764" spans="1:22" x14ac:dyDescent="0.3">
      <c r="A764" t="s">
        <v>1059</v>
      </c>
      <c r="B764" s="6">
        <v>45360</v>
      </c>
      <c r="C764" t="s">
        <v>199</v>
      </c>
      <c r="D764" t="s">
        <v>33</v>
      </c>
      <c r="E764" t="s">
        <v>48</v>
      </c>
      <c r="F764" t="s">
        <v>26</v>
      </c>
      <c r="G764" t="s">
        <v>27</v>
      </c>
      <c r="H764" t="s">
        <v>200</v>
      </c>
      <c r="I764">
        <v>4955.28</v>
      </c>
      <c r="J764">
        <v>6</v>
      </c>
      <c r="K764">
        <v>0.25</v>
      </c>
      <c r="L764">
        <v>-849.92</v>
      </c>
      <c r="M764" t="s">
        <v>113</v>
      </c>
      <c r="N764" t="s">
        <v>30</v>
      </c>
      <c r="O764" t="str">
        <f t="shared" si="22"/>
        <v>Bad</v>
      </c>
      <c r="P764">
        <f t="shared" si="23"/>
        <v>825.88</v>
      </c>
      <c r="Q764">
        <v>45360</v>
      </c>
      <c r="R764">
        <f>YEAR(Table1[[#This Row],[Order_Date_New]])</f>
        <v>2024</v>
      </c>
      <c r="S764">
        <f>MONTH(Table1[[#This Row],[Order_Date_New]])</f>
        <v>3</v>
      </c>
      <c r="T764" t="str">
        <f>TEXT(Table1[[#This Row],[Order_Date_New]],"mmmm")</f>
        <v>March</v>
      </c>
      <c r="U764">
        <f>Table1[[#This Row],[Profit]]/Table1[[#This Row],[Sales]]</f>
        <v>-0.17151805750633667</v>
      </c>
      <c r="V764" t="str">
        <f>IF(Table1[[#This Row],[Discount]]=0,"No Discount",IF(Table1[[#This Row],[Discount]]&lt;=0.1,"Low",IF(Table1[[#This Row],[Discount]]&lt;=0.2,"medium","high")))</f>
        <v>high</v>
      </c>
    </row>
    <row r="765" spans="1:22" x14ac:dyDescent="0.3">
      <c r="A765" t="s">
        <v>1060</v>
      </c>
      <c r="B765" s="6">
        <v>45295</v>
      </c>
      <c r="C765" t="s">
        <v>590</v>
      </c>
      <c r="D765" t="s">
        <v>53</v>
      </c>
      <c r="E765" t="s">
        <v>77</v>
      </c>
      <c r="F765" t="s">
        <v>60</v>
      </c>
      <c r="G765" t="s">
        <v>98</v>
      </c>
      <c r="H765" t="s">
        <v>99</v>
      </c>
      <c r="I765">
        <v>1514.52</v>
      </c>
      <c r="J765">
        <v>3</v>
      </c>
      <c r="K765">
        <v>0.15</v>
      </c>
      <c r="L765">
        <v>445.91</v>
      </c>
      <c r="M765" t="s">
        <v>90</v>
      </c>
      <c r="N765" t="s">
        <v>38</v>
      </c>
      <c r="O765" t="str">
        <f t="shared" si="22"/>
        <v>Bad</v>
      </c>
      <c r="P765">
        <f t="shared" si="23"/>
        <v>504.84</v>
      </c>
      <c r="Q765">
        <v>45295</v>
      </c>
      <c r="R765">
        <f>YEAR(Table1[[#This Row],[Order_Date_New]])</f>
        <v>2024</v>
      </c>
      <c r="S765">
        <f>MONTH(Table1[[#This Row],[Order_Date_New]])</f>
        <v>1</v>
      </c>
      <c r="T765" t="str">
        <f>TEXT(Table1[[#This Row],[Order_Date_New]],"mmmm")</f>
        <v>January</v>
      </c>
      <c r="U765">
        <f>Table1[[#This Row],[Profit]]/Table1[[#This Row],[Sales]]</f>
        <v>0.29442331563795793</v>
      </c>
      <c r="V765" t="str">
        <f>IF(Table1[[#This Row],[Discount]]=0,"No Discount",IF(Table1[[#This Row],[Discount]]&lt;=0.1,"Low",IF(Table1[[#This Row],[Discount]]&lt;=0.2,"medium","high")))</f>
        <v>medium</v>
      </c>
    </row>
    <row r="766" spans="1:22" x14ac:dyDescent="0.3">
      <c r="A766" t="s">
        <v>1061</v>
      </c>
      <c r="B766" s="6">
        <v>45777</v>
      </c>
      <c r="C766" t="s">
        <v>239</v>
      </c>
      <c r="D766" t="s">
        <v>33</v>
      </c>
      <c r="E766" t="s">
        <v>66</v>
      </c>
      <c r="F766" t="s">
        <v>60</v>
      </c>
      <c r="G766" t="s">
        <v>78</v>
      </c>
      <c r="H766" t="s">
        <v>222</v>
      </c>
      <c r="I766">
        <v>3465.36</v>
      </c>
      <c r="J766">
        <v>8</v>
      </c>
      <c r="K766">
        <v>0.1</v>
      </c>
      <c r="L766">
        <v>1181.2</v>
      </c>
      <c r="M766" t="s">
        <v>49</v>
      </c>
      <c r="N766" t="s">
        <v>44</v>
      </c>
      <c r="O766" t="str">
        <f t="shared" si="22"/>
        <v>Bad</v>
      </c>
      <c r="P766">
        <f t="shared" si="23"/>
        <v>433.17</v>
      </c>
      <c r="Q766">
        <v>45777</v>
      </c>
      <c r="R766">
        <f>YEAR(Table1[[#This Row],[Order_Date_New]])</f>
        <v>2025</v>
      </c>
      <c r="S766">
        <f>MONTH(Table1[[#This Row],[Order_Date_New]])</f>
        <v>4</v>
      </c>
      <c r="T766" t="str">
        <f>TEXT(Table1[[#This Row],[Order_Date_New]],"mmmm")</f>
        <v>April</v>
      </c>
      <c r="U766">
        <f>Table1[[#This Row],[Profit]]/Table1[[#This Row],[Sales]]</f>
        <v>0.34085924694692615</v>
      </c>
      <c r="V766" t="str">
        <f>IF(Table1[[#This Row],[Discount]]=0,"No Discount",IF(Table1[[#This Row],[Discount]]&lt;=0.1,"Low",IF(Table1[[#This Row],[Discount]]&lt;=0.2,"medium","high")))</f>
        <v>Low</v>
      </c>
    </row>
    <row r="767" spans="1:22" x14ac:dyDescent="0.3">
      <c r="A767" t="s">
        <v>1062</v>
      </c>
      <c r="B767" s="6">
        <v>45604</v>
      </c>
      <c r="C767" t="s">
        <v>184</v>
      </c>
      <c r="D767" t="s">
        <v>53</v>
      </c>
      <c r="E767" t="s">
        <v>87</v>
      </c>
      <c r="F767" t="s">
        <v>60</v>
      </c>
      <c r="G767" t="s">
        <v>78</v>
      </c>
      <c r="H767" t="s">
        <v>79</v>
      </c>
      <c r="I767">
        <v>201.54</v>
      </c>
      <c r="J767">
        <v>6</v>
      </c>
      <c r="K767">
        <v>0.3</v>
      </c>
      <c r="L767">
        <v>26.21</v>
      </c>
      <c r="M767" t="s">
        <v>170</v>
      </c>
      <c r="N767" t="s">
        <v>38</v>
      </c>
      <c r="O767" t="str">
        <f t="shared" si="22"/>
        <v>Bad</v>
      </c>
      <c r="P767">
        <f t="shared" si="23"/>
        <v>33.589999999999996</v>
      </c>
      <c r="Q767">
        <v>45604</v>
      </c>
      <c r="R767">
        <f>YEAR(Table1[[#This Row],[Order_Date_New]])</f>
        <v>2024</v>
      </c>
      <c r="S767">
        <f>MONTH(Table1[[#This Row],[Order_Date_New]])</f>
        <v>11</v>
      </c>
      <c r="T767" t="str">
        <f>TEXT(Table1[[#This Row],[Order_Date_New]],"mmmm")</f>
        <v>November</v>
      </c>
      <c r="U767">
        <f>Table1[[#This Row],[Profit]]/Table1[[#This Row],[Sales]]</f>
        <v>0.13004862558301084</v>
      </c>
      <c r="V767" t="str">
        <f>IF(Table1[[#This Row],[Discount]]=0,"No Discount",IF(Table1[[#This Row],[Discount]]&lt;=0.1,"Low",IF(Table1[[#This Row],[Discount]]&lt;=0.2,"medium","high")))</f>
        <v>high</v>
      </c>
    </row>
    <row r="768" spans="1:22" x14ac:dyDescent="0.3">
      <c r="A768" t="s">
        <v>1063</v>
      </c>
      <c r="B768" s="6">
        <v>45363</v>
      </c>
      <c r="C768" t="s">
        <v>647</v>
      </c>
      <c r="D768" t="s">
        <v>24</v>
      </c>
      <c r="E768" t="s">
        <v>59</v>
      </c>
      <c r="F768" t="s">
        <v>60</v>
      </c>
      <c r="G768" t="s">
        <v>61</v>
      </c>
      <c r="H768" t="s">
        <v>67</v>
      </c>
      <c r="I768">
        <v>8638.3799999999992</v>
      </c>
      <c r="J768">
        <v>9</v>
      </c>
      <c r="K768">
        <v>0.15</v>
      </c>
      <c r="L768">
        <v>1225.52</v>
      </c>
      <c r="M768" t="s">
        <v>49</v>
      </c>
      <c r="N768" t="s">
        <v>80</v>
      </c>
      <c r="O768" t="str">
        <f t="shared" si="22"/>
        <v>Good</v>
      </c>
      <c r="P768">
        <f t="shared" si="23"/>
        <v>959.81999999999994</v>
      </c>
      <c r="Q768">
        <v>45363</v>
      </c>
      <c r="R768">
        <f>YEAR(Table1[[#This Row],[Order_Date_New]])</f>
        <v>2024</v>
      </c>
      <c r="S768">
        <f>MONTH(Table1[[#This Row],[Order_Date_New]])</f>
        <v>3</v>
      </c>
      <c r="T768" t="str">
        <f>TEXT(Table1[[#This Row],[Order_Date_New]],"mmmm")</f>
        <v>March</v>
      </c>
      <c r="U768">
        <f>Table1[[#This Row],[Profit]]/Table1[[#This Row],[Sales]]</f>
        <v>0.14186919306629253</v>
      </c>
      <c r="V768" t="str">
        <f>IF(Table1[[#This Row],[Discount]]=0,"No Discount",IF(Table1[[#This Row],[Discount]]&lt;=0.1,"Low",IF(Table1[[#This Row],[Discount]]&lt;=0.2,"medium","high")))</f>
        <v>medium</v>
      </c>
    </row>
    <row r="769" spans="1:22" x14ac:dyDescent="0.3">
      <c r="A769" t="s">
        <v>1064</v>
      </c>
      <c r="B769" s="6">
        <v>45812</v>
      </c>
      <c r="C769" t="s">
        <v>268</v>
      </c>
      <c r="D769" t="s">
        <v>128</v>
      </c>
      <c r="E769" t="s">
        <v>202</v>
      </c>
      <c r="F769" t="s">
        <v>26</v>
      </c>
      <c r="G769" t="s">
        <v>35</v>
      </c>
      <c r="H769" t="s">
        <v>55</v>
      </c>
      <c r="I769">
        <v>2137.08</v>
      </c>
      <c r="J769">
        <v>3</v>
      </c>
      <c r="K769">
        <v>0.15</v>
      </c>
      <c r="L769">
        <v>261.5</v>
      </c>
      <c r="M769" t="s">
        <v>49</v>
      </c>
      <c r="N769" t="s">
        <v>44</v>
      </c>
      <c r="O769" t="str">
        <f t="shared" si="22"/>
        <v>Bad</v>
      </c>
      <c r="P769">
        <f t="shared" si="23"/>
        <v>712.36</v>
      </c>
      <c r="Q769">
        <v>45812</v>
      </c>
      <c r="R769">
        <f>YEAR(Table1[[#This Row],[Order_Date_New]])</f>
        <v>2025</v>
      </c>
      <c r="S769">
        <f>MONTH(Table1[[#This Row],[Order_Date_New]])</f>
        <v>6</v>
      </c>
      <c r="T769" t="str">
        <f>TEXT(Table1[[#This Row],[Order_Date_New]],"mmmm")</f>
        <v>June</v>
      </c>
      <c r="U769">
        <f>Table1[[#This Row],[Profit]]/Table1[[#This Row],[Sales]]</f>
        <v>0.12236322458681941</v>
      </c>
      <c r="V769" t="str">
        <f>IF(Table1[[#This Row],[Discount]]=0,"No Discount",IF(Table1[[#This Row],[Discount]]&lt;=0.1,"Low",IF(Table1[[#This Row],[Discount]]&lt;=0.2,"medium","high")))</f>
        <v>medium</v>
      </c>
    </row>
    <row r="770" spans="1:22" x14ac:dyDescent="0.3">
      <c r="A770" t="s">
        <v>1065</v>
      </c>
      <c r="B770" s="6">
        <v>45876</v>
      </c>
      <c r="C770" t="s">
        <v>695</v>
      </c>
      <c r="D770" t="s">
        <v>53</v>
      </c>
      <c r="E770" t="s">
        <v>87</v>
      </c>
      <c r="F770" t="s">
        <v>72</v>
      </c>
      <c r="G770" t="s">
        <v>88</v>
      </c>
      <c r="H770" t="s">
        <v>119</v>
      </c>
      <c r="I770">
        <v>140.57</v>
      </c>
      <c r="J770">
        <v>1</v>
      </c>
      <c r="K770">
        <v>0.1</v>
      </c>
      <c r="L770">
        <v>-6.02</v>
      </c>
      <c r="M770" t="s">
        <v>113</v>
      </c>
      <c r="N770" t="s">
        <v>38</v>
      </c>
      <c r="O770" t="str">
        <f t="shared" ref="O770:O833" si="24">IF(AND(I770&gt;5000,J770&gt;7),"Good","Bad")</f>
        <v>Bad</v>
      </c>
      <c r="P770">
        <f t="shared" ref="P770:P833" si="25">I770/J770</f>
        <v>140.57</v>
      </c>
      <c r="Q770">
        <v>45876</v>
      </c>
      <c r="R770">
        <f>YEAR(Table1[[#This Row],[Order_Date_New]])</f>
        <v>2025</v>
      </c>
      <c r="S770">
        <f>MONTH(Table1[[#This Row],[Order_Date_New]])</f>
        <v>8</v>
      </c>
      <c r="T770" t="str">
        <f>TEXT(Table1[[#This Row],[Order_Date_New]],"mmmm")</f>
        <v>August</v>
      </c>
      <c r="U770">
        <f>Table1[[#This Row],[Profit]]/Table1[[#This Row],[Sales]]</f>
        <v>-4.2825638471935691E-2</v>
      </c>
      <c r="V770" t="str">
        <f>IF(Table1[[#This Row],[Discount]]=0,"No Discount",IF(Table1[[#This Row],[Discount]]&lt;=0.1,"Low",IF(Table1[[#This Row],[Discount]]&lt;=0.2,"medium","high")))</f>
        <v>Low</v>
      </c>
    </row>
    <row r="771" spans="1:22" x14ac:dyDescent="0.3">
      <c r="A771" t="s">
        <v>1066</v>
      </c>
      <c r="B771" s="6">
        <v>45615</v>
      </c>
      <c r="C771" t="s">
        <v>215</v>
      </c>
      <c r="D771" t="s">
        <v>53</v>
      </c>
      <c r="E771" t="s">
        <v>107</v>
      </c>
      <c r="F771" t="s">
        <v>72</v>
      </c>
      <c r="G771" t="s">
        <v>88</v>
      </c>
      <c r="H771" t="s">
        <v>209</v>
      </c>
      <c r="I771">
        <v>7473.4</v>
      </c>
      <c r="J771">
        <v>10</v>
      </c>
      <c r="K771">
        <v>0.15</v>
      </c>
      <c r="L771">
        <v>1376.69</v>
      </c>
      <c r="M771" t="s">
        <v>90</v>
      </c>
      <c r="N771" t="s">
        <v>80</v>
      </c>
      <c r="O771" t="str">
        <f t="shared" si="24"/>
        <v>Good</v>
      </c>
      <c r="P771">
        <f t="shared" si="25"/>
        <v>747.33999999999992</v>
      </c>
      <c r="Q771">
        <v>45615</v>
      </c>
      <c r="R771">
        <f>YEAR(Table1[[#This Row],[Order_Date_New]])</f>
        <v>2024</v>
      </c>
      <c r="S771">
        <f>MONTH(Table1[[#This Row],[Order_Date_New]])</f>
        <v>11</v>
      </c>
      <c r="T771" t="str">
        <f>TEXT(Table1[[#This Row],[Order_Date_New]],"mmmm")</f>
        <v>November</v>
      </c>
      <c r="U771">
        <f>Table1[[#This Row],[Profit]]/Table1[[#This Row],[Sales]]</f>
        <v>0.1842120052452699</v>
      </c>
      <c r="V771" t="str">
        <f>IF(Table1[[#This Row],[Discount]]=0,"No Discount",IF(Table1[[#This Row],[Discount]]&lt;=0.1,"Low",IF(Table1[[#This Row],[Discount]]&lt;=0.2,"medium","high")))</f>
        <v>medium</v>
      </c>
    </row>
    <row r="772" spans="1:22" x14ac:dyDescent="0.3">
      <c r="A772" t="s">
        <v>1067</v>
      </c>
      <c r="B772" s="6">
        <v>45344</v>
      </c>
      <c r="C772" t="s">
        <v>65</v>
      </c>
      <c r="D772" t="s">
        <v>53</v>
      </c>
      <c r="E772" t="s">
        <v>107</v>
      </c>
      <c r="F772" t="s">
        <v>60</v>
      </c>
      <c r="G772" t="s">
        <v>98</v>
      </c>
      <c r="H772" t="s">
        <v>99</v>
      </c>
      <c r="I772">
        <v>4842.6400000000003</v>
      </c>
      <c r="J772">
        <v>8</v>
      </c>
      <c r="K772">
        <v>0.1</v>
      </c>
      <c r="L772">
        <v>848.56</v>
      </c>
      <c r="M772" t="s">
        <v>49</v>
      </c>
      <c r="N772" t="s">
        <v>38</v>
      </c>
      <c r="O772" t="str">
        <f t="shared" si="24"/>
        <v>Bad</v>
      </c>
      <c r="P772">
        <f t="shared" si="25"/>
        <v>605.33000000000004</v>
      </c>
      <c r="Q772">
        <v>45344</v>
      </c>
      <c r="R772">
        <f>YEAR(Table1[[#This Row],[Order_Date_New]])</f>
        <v>2024</v>
      </c>
      <c r="S772">
        <f>MONTH(Table1[[#This Row],[Order_Date_New]])</f>
        <v>2</v>
      </c>
      <c r="T772" t="str">
        <f>TEXT(Table1[[#This Row],[Order_Date_New]],"mmmm")</f>
        <v>February</v>
      </c>
      <c r="U772">
        <f>Table1[[#This Row],[Profit]]/Table1[[#This Row],[Sales]]</f>
        <v>0.17522673583004308</v>
      </c>
      <c r="V772" t="str">
        <f>IF(Table1[[#This Row],[Discount]]=0,"No Discount",IF(Table1[[#This Row],[Discount]]&lt;=0.1,"Low",IF(Table1[[#This Row],[Discount]]&lt;=0.2,"medium","high")))</f>
        <v>Low</v>
      </c>
    </row>
    <row r="773" spans="1:22" x14ac:dyDescent="0.3">
      <c r="A773" t="s">
        <v>1068</v>
      </c>
      <c r="B773" s="6">
        <v>46011</v>
      </c>
      <c r="C773" t="s">
        <v>431</v>
      </c>
      <c r="D773" t="s">
        <v>128</v>
      </c>
      <c r="E773" t="s">
        <v>129</v>
      </c>
      <c r="F773" t="s">
        <v>26</v>
      </c>
      <c r="G773" t="s">
        <v>27</v>
      </c>
      <c r="H773" t="s">
        <v>28</v>
      </c>
      <c r="I773">
        <v>890.08</v>
      </c>
      <c r="J773">
        <v>1</v>
      </c>
      <c r="K773">
        <v>0.2</v>
      </c>
      <c r="L773">
        <v>70.09</v>
      </c>
      <c r="M773" t="s">
        <v>105</v>
      </c>
      <c r="N773" t="s">
        <v>30</v>
      </c>
      <c r="O773" t="str">
        <f t="shared" si="24"/>
        <v>Bad</v>
      </c>
      <c r="P773">
        <f t="shared" si="25"/>
        <v>890.08</v>
      </c>
      <c r="Q773">
        <v>46011</v>
      </c>
      <c r="R773">
        <f>YEAR(Table1[[#This Row],[Order_Date_New]])</f>
        <v>2025</v>
      </c>
      <c r="S773">
        <f>MONTH(Table1[[#This Row],[Order_Date_New]])</f>
        <v>12</v>
      </c>
      <c r="T773" t="str">
        <f>TEXT(Table1[[#This Row],[Order_Date_New]],"mmmm")</f>
        <v>December</v>
      </c>
      <c r="U773">
        <f>Table1[[#This Row],[Profit]]/Table1[[#This Row],[Sales]]</f>
        <v>7.8745730720834087E-2</v>
      </c>
      <c r="V773" t="str">
        <f>IF(Table1[[#This Row],[Discount]]=0,"No Discount",IF(Table1[[#This Row],[Discount]]&lt;=0.1,"Low",IF(Table1[[#This Row],[Discount]]&lt;=0.2,"medium","high")))</f>
        <v>medium</v>
      </c>
    </row>
    <row r="774" spans="1:22" x14ac:dyDescent="0.3">
      <c r="A774" t="s">
        <v>1069</v>
      </c>
      <c r="B774" s="6">
        <v>45998</v>
      </c>
      <c r="C774" t="s">
        <v>235</v>
      </c>
      <c r="D774" t="s">
        <v>53</v>
      </c>
      <c r="E774" t="s">
        <v>87</v>
      </c>
      <c r="F774" t="s">
        <v>72</v>
      </c>
      <c r="G774" t="s">
        <v>88</v>
      </c>
      <c r="H774" t="s">
        <v>209</v>
      </c>
      <c r="I774">
        <v>2484.7800000000002</v>
      </c>
      <c r="J774">
        <v>3</v>
      </c>
      <c r="K774">
        <v>0.3</v>
      </c>
      <c r="L774">
        <v>-576.89</v>
      </c>
      <c r="M774" t="s">
        <v>170</v>
      </c>
      <c r="N774" t="s">
        <v>38</v>
      </c>
      <c r="O774" t="str">
        <f t="shared" si="24"/>
        <v>Bad</v>
      </c>
      <c r="P774">
        <f t="shared" si="25"/>
        <v>828.2600000000001</v>
      </c>
      <c r="Q774">
        <v>45998</v>
      </c>
      <c r="R774">
        <f>YEAR(Table1[[#This Row],[Order_Date_New]])</f>
        <v>2025</v>
      </c>
      <c r="S774">
        <f>MONTH(Table1[[#This Row],[Order_Date_New]])</f>
        <v>12</v>
      </c>
      <c r="T774" t="str">
        <f>TEXT(Table1[[#This Row],[Order_Date_New]],"mmmm")</f>
        <v>December</v>
      </c>
      <c r="U774">
        <f>Table1[[#This Row],[Profit]]/Table1[[#This Row],[Sales]]</f>
        <v>-0.23216944759697034</v>
      </c>
      <c r="V774" t="str">
        <f>IF(Table1[[#This Row],[Discount]]=0,"No Discount",IF(Table1[[#This Row],[Discount]]&lt;=0.1,"Low",IF(Table1[[#This Row],[Discount]]&lt;=0.2,"medium","high")))</f>
        <v>high</v>
      </c>
    </row>
    <row r="775" spans="1:22" x14ac:dyDescent="0.3">
      <c r="A775" t="s">
        <v>1070</v>
      </c>
      <c r="B775" s="6">
        <v>45731</v>
      </c>
      <c r="C775" t="s">
        <v>278</v>
      </c>
      <c r="D775" t="s">
        <v>53</v>
      </c>
      <c r="E775" t="s">
        <v>87</v>
      </c>
      <c r="F775" t="s">
        <v>60</v>
      </c>
      <c r="G775" t="s">
        <v>78</v>
      </c>
      <c r="H775" t="s">
        <v>125</v>
      </c>
      <c r="I775">
        <v>1459.84</v>
      </c>
      <c r="J775">
        <v>8</v>
      </c>
      <c r="K775">
        <v>0.3</v>
      </c>
      <c r="L775">
        <v>-27.8</v>
      </c>
      <c r="M775" t="s">
        <v>37</v>
      </c>
      <c r="N775" t="s">
        <v>80</v>
      </c>
      <c r="O775" t="str">
        <f t="shared" si="24"/>
        <v>Bad</v>
      </c>
      <c r="P775">
        <f t="shared" si="25"/>
        <v>182.48</v>
      </c>
      <c r="Q775">
        <v>45731</v>
      </c>
      <c r="R775">
        <f>YEAR(Table1[[#This Row],[Order_Date_New]])</f>
        <v>2025</v>
      </c>
      <c r="S775">
        <f>MONTH(Table1[[#This Row],[Order_Date_New]])</f>
        <v>3</v>
      </c>
      <c r="T775" t="str">
        <f>TEXT(Table1[[#This Row],[Order_Date_New]],"mmmm")</f>
        <v>March</v>
      </c>
      <c r="U775">
        <f>Table1[[#This Row],[Profit]]/Table1[[#This Row],[Sales]]</f>
        <v>-1.9043182814555023E-2</v>
      </c>
      <c r="V775" t="str">
        <f>IF(Table1[[#This Row],[Discount]]=0,"No Discount",IF(Table1[[#This Row],[Discount]]&lt;=0.1,"Low",IF(Table1[[#This Row],[Discount]]&lt;=0.2,"medium","high")))</f>
        <v>high</v>
      </c>
    </row>
    <row r="776" spans="1:22" x14ac:dyDescent="0.3">
      <c r="A776" t="s">
        <v>1071</v>
      </c>
      <c r="B776" s="6">
        <v>45460</v>
      </c>
      <c r="C776" t="s">
        <v>588</v>
      </c>
      <c r="D776" t="s">
        <v>53</v>
      </c>
      <c r="E776" t="s">
        <v>54</v>
      </c>
      <c r="F776" t="s">
        <v>26</v>
      </c>
      <c r="G776" t="s">
        <v>41</v>
      </c>
      <c r="H776" t="s">
        <v>108</v>
      </c>
      <c r="I776">
        <v>1401.72</v>
      </c>
      <c r="J776">
        <v>3</v>
      </c>
      <c r="K776">
        <v>0.05</v>
      </c>
      <c r="L776">
        <v>475.83</v>
      </c>
      <c r="M776" t="s">
        <v>113</v>
      </c>
      <c r="N776" t="s">
        <v>30</v>
      </c>
      <c r="O776" t="str">
        <f t="shared" si="24"/>
        <v>Bad</v>
      </c>
      <c r="P776">
        <f t="shared" si="25"/>
        <v>467.24</v>
      </c>
      <c r="Q776">
        <v>45460</v>
      </c>
      <c r="R776">
        <f>YEAR(Table1[[#This Row],[Order_Date_New]])</f>
        <v>2024</v>
      </c>
      <c r="S776">
        <f>MONTH(Table1[[#This Row],[Order_Date_New]])</f>
        <v>6</v>
      </c>
      <c r="T776" t="str">
        <f>TEXT(Table1[[#This Row],[Order_Date_New]],"mmmm")</f>
        <v>June</v>
      </c>
      <c r="U776">
        <f>Table1[[#This Row],[Profit]]/Table1[[#This Row],[Sales]]</f>
        <v>0.33946151870559027</v>
      </c>
      <c r="V776" t="str">
        <f>IF(Table1[[#This Row],[Discount]]=0,"No Discount",IF(Table1[[#This Row],[Discount]]&lt;=0.1,"Low",IF(Table1[[#This Row],[Discount]]&lt;=0.2,"medium","high")))</f>
        <v>Low</v>
      </c>
    </row>
    <row r="777" spans="1:22" x14ac:dyDescent="0.3">
      <c r="A777" t="s">
        <v>1072</v>
      </c>
      <c r="B777" s="6">
        <v>45595</v>
      </c>
      <c r="C777" t="s">
        <v>431</v>
      </c>
      <c r="D777" t="s">
        <v>24</v>
      </c>
      <c r="E777" t="s">
        <v>59</v>
      </c>
      <c r="F777" t="s">
        <v>60</v>
      </c>
      <c r="G777" t="s">
        <v>78</v>
      </c>
      <c r="H777" t="s">
        <v>79</v>
      </c>
      <c r="I777">
        <v>565.95000000000005</v>
      </c>
      <c r="J777">
        <v>5</v>
      </c>
      <c r="K777">
        <v>0.1</v>
      </c>
      <c r="L777">
        <v>167.24</v>
      </c>
      <c r="M777" t="s">
        <v>43</v>
      </c>
      <c r="N777" t="s">
        <v>30</v>
      </c>
      <c r="O777" t="str">
        <f t="shared" si="24"/>
        <v>Bad</v>
      </c>
      <c r="P777">
        <f t="shared" si="25"/>
        <v>113.19000000000001</v>
      </c>
      <c r="Q777">
        <v>45595</v>
      </c>
      <c r="R777">
        <f>YEAR(Table1[[#This Row],[Order_Date_New]])</f>
        <v>2024</v>
      </c>
      <c r="S777">
        <f>MONTH(Table1[[#This Row],[Order_Date_New]])</f>
        <v>10</v>
      </c>
      <c r="T777" t="str">
        <f>TEXT(Table1[[#This Row],[Order_Date_New]],"mmmm")</f>
        <v>October</v>
      </c>
      <c r="U777">
        <f>Table1[[#This Row],[Profit]]/Table1[[#This Row],[Sales]]</f>
        <v>0.29550313631946284</v>
      </c>
      <c r="V777" t="str">
        <f>IF(Table1[[#This Row],[Discount]]=0,"No Discount",IF(Table1[[#This Row],[Discount]]&lt;=0.1,"Low",IF(Table1[[#This Row],[Discount]]&lt;=0.2,"medium","high")))</f>
        <v>Low</v>
      </c>
    </row>
    <row r="778" spans="1:22" x14ac:dyDescent="0.3">
      <c r="A778" t="s">
        <v>1073</v>
      </c>
      <c r="B778" s="6">
        <v>45851</v>
      </c>
      <c r="C778" t="s">
        <v>94</v>
      </c>
      <c r="D778" t="s">
        <v>128</v>
      </c>
      <c r="E778" t="s">
        <v>132</v>
      </c>
      <c r="F778" t="s">
        <v>26</v>
      </c>
      <c r="G778" t="s">
        <v>41</v>
      </c>
      <c r="H778" t="s">
        <v>108</v>
      </c>
      <c r="I778">
        <v>8168.3</v>
      </c>
      <c r="J778">
        <v>10</v>
      </c>
      <c r="K778">
        <v>0.3</v>
      </c>
      <c r="L778">
        <v>506.17</v>
      </c>
      <c r="M778" t="s">
        <v>90</v>
      </c>
      <c r="N778" t="s">
        <v>30</v>
      </c>
      <c r="O778" t="str">
        <f t="shared" si="24"/>
        <v>Good</v>
      </c>
      <c r="P778">
        <f t="shared" si="25"/>
        <v>816.83</v>
      </c>
      <c r="Q778">
        <v>45851</v>
      </c>
      <c r="R778">
        <f>YEAR(Table1[[#This Row],[Order_Date_New]])</f>
        <v>2025</v>
      </c>
      <c r="S778">
        <f>MONTH(Table1[[#This Row],[Order_Date_New]])</f>
        <v>7</v>
      </c>
      <c r="T778" t="str">
        <f>TEXT(Table1[[#This Row],[Order_Date_New]],"mmmm")</f>
        <v>July</v>
      </c>
      <c r="U778">
        <f>Table1[[#This Row],[Profit]]/Table1[[#This Row],[Sales]]</f>
        <v>6.1967606478704258E-2</v>
      </c>
      <c r="V778" t="str">
        <f>IF(Table1[[#This Row],[Discount]]=0,"No Discount",IF(Table1[[#This Row],[Discount]]&lt;=0.1,"Low",IF(Table1[[#This Row],[Discount]]&lt;=0.2,"medium","high")))</f>
        <v>high</v>
      </c>
    </row>
    <row r="779" spans="1:22" x14ac:dyDescent="0.3">
      <c r="A779" t="s">
        <v>1074</v>
      </c>
      <c r="B779" s="6">
        <v>45374</v>
      </c>
      <c r="C779" t="s">
        <v>760</v>
      </c>
      <c r="D779" t="s">
        <v>24</v>
      </c>
      <c r="E779" t="s">
        <v>97</v>
      </c>
      <c r="F779" t="s">
        <v>60</v>
      </c>
      <c r="G779" t="s">
        <v>61</v>
      </c>
      <c r="H779" t="s">
        <v>122</v>
      </c>
      <c r="I779">
        <v>6532.68</v>
      </c>
      <c r="J779">
        <v>7</v>
      </c>
      <c r="K779">
        <v>0.3</v>
      </c>
      <c r="L779">
        <v>542.11</v>
      </c>
      <c r="M779" t="s">
        <v>105</v>
      </c>
      <c r="N779" t="s">
        <v>44</v>
      </c>
      <c r="O779" t="str">
        <f t="shared" si="24"/>
        <v>Bad</v>
      </c>
      <c r="P779">
        <f t="shared" si="25"/>
        <v>933.24</v>
      </c>
      <c r="Q779">
        <v>45374</v>
      </c>
      <c r="R779">
        <f>YEAR(Table1[[#This Row],[Order_Date_New]])</f>
        <v>2024</v>
      </c>
      <c r="S779">
        <f>MONTH(Table1[[#This Row],[Order_Date_New]])</f>
        <v>3</v>
      </c>
      <c r="T779" t="str">
        <f>TEXT(Table1[[#This Row],[Order_Date_New]],"mmmm")</f>
        <v>March</v>
      </c>
      <c r="U779">
        <f>Table1[[#This Row],[Profit]]/Table1[[#This Row],[Sales]]</f>
        <v>8.2984318840047269E-2</v>
      </c>
      <c r="V779" t="str">
        <f>IF(Table1[[#This Row],[Discount]]=0,"No Discount",IF(Table1[[#This Row],[Discount]]&lt;=0.1,"Low",IF(Table1[[#This Row],[Discount]]&lt;=0.2,"medium","high")))</f>
        <v>high</v>
      </c>
    </row>
    <row r="780" spans="1:22" x14ac:dyDescent="0.3">
      <c r="A780" t="s">
        <v>1075</v>
      </c>
      <c r="B780" s="6">
        <v>45904</v>
      </c>
      <c r="C780" t="s">
        <v>510</v>
      </c>
      <c r="D780" t="s">
        <v>33</v>
      </c>
      <c r="E780" t="s">
        <v>34</v>
      </c>
      <c r="F780" t="s">
        <v>72</v>
      </c>
      <c r="G780" t="s">
        <v>88</v>
      </c>
      <c r="H780" t="s">
        <v>119</v>
      </c>
      <c r="I780">
        <v>5176.3999999999996</v>
      </c>
      <c r="J780">
        <v>8</v>
      </c>
      <c r="K780">
        <v>0.15</v>
      </c>
      <c r="L780">
        <v>761.34</v>
      </c>
      <c r="M780" t="s">
        <v>113</v>
      </c>
      <c r="N780" t="s">
        <v>30</v>
      </c>
      <c r="O780" t="str">
        <f t="shared" si="24"/>
        <v>Good</v>
      </c>
      <c r="P780">
        <f t="shared" si="25"/>
        <v>647.04999999999995</v>
      </c>
      <c r="Q780">
        <v>45904</v>
      </c>
      <c r="R780">
        <f>YEAR(Table1[[#This Row],[Order_Date_New]])</f>
        <v>2025</v>
      </c>
      <c r="S780">
        <f>MONTH(Table1[[#This Row],[Order_Date_New]])</f>
        <v>9</v>
      </c>
      <c r="T780" t="str">
        <f>TEXT(Table1[[#This Row],[Order_Date_New]],"mmmm")</f>
        <v>September</v>
      </c>
      <c r="U780">
        <f>Table1[[#This Row],[Profit]]/Table1[[#This Row],[Sales]]</f>
        <v>0.14707905107796926</v>
      </c>
      <c r="V780" t="str">
        <f>IF(Table1[[#This Row],[Discount]]=0,"No Discount",IF(Table1[[#This Row],[Discount]]&lt;=0.1,"Low",IF(Table1[[#This Row],[Discount]]&lt;=0.2,"medium","high")))</f>
        <v>medium</v>
      </c>
    </row>
    <row r="781" spans="1:22" x14ac:dyDescent="0.3">
      <c r="A781" t="s">
        <v>1076</v>
      </c>
      <c r="B781" s="6">
        <v>45872</v>
      </c>
      <c r="C781" t="s">
        <v>246</v>
      </c>
      <c r="D781" t="s">
        <v>33</v>
      </c>
      <c r="E781" t="s">
        <v>66</v>
      </c>
      <c r="F781" t="s">
        <v>26</v>
      </c>
      <c r="G781" t="s">
        <v>35</v>
      </c>
      <c r="H781" t="s">
        <v>173</v>
      </c>
      <c r="I781">
        <v>9179.91</v>
      </c>
      <c r="J781">
        <v>9</v>
      </c>
      <c r="K781">
        <v>0.25</v>
      </c>
      <c r="L781">
        <v>1461.09</v>
      </c>
      <c r="M781" t="s">
        <v>37</v>
      </c>
      <c r="N781" t="s">
        <v>38</v>
      </c>
      <c r="O781" t="str">
        <f t="shared" si="24"/>
        <v>Good</v>
      </c>
      <c r="P781">
        <f t="shared" si="25"/>
        <v>1019.99</v>
      </c>
      <c r="Q781">
        <v>45872</v>
      </c>
      <c r="R781">
        <f>YEAR(Table1[[#This Row],[Order_Date_New]])</f>
        <v>2025</v>
      </c>
      <c r="S781">
        <f>MONTH(Table1[[#This Row],[Order_Date_New]])</f>
        <v>8</v>
      </c>
      <c r="T781" t="str">
        <f>TEXT(Table1[[#This Row],[Order_Date_New]],"mmmm")</f>
        <v>August</v>
      </c>
      <c r="U781">
        <f>Table1[[#This Row],[Profit]]/Table1[[#This Row],[Sales]]</f>
        <v>0.1591616911276908</v>
      </c>
      <c r="V781" t="str">
        <f>IF(Table1[[#This Row],[Discount]]=0,"No Discount",IF(Table1[[#This Row],[Discount]]&lt;=0.1,"Low",IF(Table1[[#This Row],[Discount]]&lt;=0.2,"medium","high")))</f>
        <v>high</v>
      </c>
    </row>
    <row r="782" spans="1:22" x14ac:dyDescent="0.3">
      <c r="A782" t="s">
        <v>1077</v>
      </c>
      <c r="B782" s="6">
        <v>45919</v>
      </c>
      <c r="C782" t="s">
        <v>177</v>
      </c>
      <c r="D782" t="s">
        <v>53</v>
      </c>
      <c r="E782" t="s">
        <v>107</v>
      </c>
      <c r="F782" t="s">
        <v>72</v>
      </c>
      <c r="G782" t="s">
        <v>73</v>
      </c>
      <c r="H782" t="s">
        <v>102</v>
      </c>
      <c r="I782">
        <v>1034.8800000000001</v>
      </c>
      <c r="J782">
        <v>2</v>
      </c>
      <c r="K782">
        <v>0.1</v>
      </c>
      <c r="L782">
        <v>15.81</v>
      </c>
      <c r="M782" t="s">
        <v>68</v>
      </c>
      <c r="N782" t="s">
        <v>44</v>
      </c>
      <c r="O782" t="str">
        <f t="shared" si="24"/>
        <v>Bad</v>
      </c>
      <c r="P782">
        <f t="shared" si="25"/>
        <v>517.44000000000005</v>
      </c>
      <c r="Q782">
        <v>45919</v>
      </c>
      <c r="R782">
        <f>YEAR(Table1[[#This Row],[Order_Date_New]])</f>
        <v>2025</v>
      </c>
      <c r="S782">
        <f>MONTH(Table1[[#This Row],[Order_Date_New]])</f>
        <v>9</v>
      </c>
      <c r="T782" t="str">
        <f>TEXT(Table1[[#This Row],[Order_Date_New]],"mmmm")</f>
        <v>September</v>
      </c>
      <c r="U782">
        <f>Table1[[#This Row],[Profit]]/Table1[[#This Row],[Sales]]</f>
        <v>1.5277133580705008E-2</v>
      </c>
      <c r="V782" t="str">
        <f>IF(Table1[[#This Row],[Discount]]=0,"No Discount",IF(Table1[[#This Row],[Discount]]&lt;=0.1,"Low",IF(Table1[[#This Row],[Discount]]&lt;=0.2,"medium","high")))</f>
        <v>Low</v>
      </c>
    </row>
    <row r="783" spans="1:22" x14ac:dyDescent="0.3">
      <c r="A783" t="s">
        <v>1078</v>
      </c>
      <c r="B783" s="6">
        <v>45914</v>
      </c>
      <c r="C783" t="s">
        <v>179</v>
      </c>
      <c r="D783" t="s">
        <v>53</v>
      </c>
      <c r="E783" t="s">
        <v>77</v>
      </c>
      <c r="F783" t="s">
        <v>60</v>
      </c>
      <c r="G783" t="s">
        <v>98</v>
      </c>
      <c r="H783" t="s">
        <v>141</v>
      </c>
      <c r="I783">
        <v>6617.6</v>
      </c>
      <c r="J783">
        <v>10</v>
      </c>
      <c r="K783">
        <v>0.2</v>
      </c>
      <c r="L783">
        <v>1303.81</v>
      </c>
      <c r="M783" t="s">
        <v>90</v>
      </c>
      <c r="N783" t="s">
        <v>38</v>
      </c>
      <c r="O783" t="str">
        <f t="shared" si="24"/>
        <v>Good</v>
      </c>
      <c r="P783">
        <f t="shared" si="25"/>
        <v>661.76</v>
      </c>
      <c r="Q783">
        <v>45914</v>
      </c>
      <c r="R783">
        <f>YEAR(Table1[[#This Row],[Order_Date_New]])</f>
        <v>2025</v>
      </c>
      <c r="S783">
        <f>MONTH(Table1[[#This Row],[Order_Date_New]])</f>
        <v>9</v>
      </c>
      <c r="T783" t="str">
        <f>TEXT(Table1[[#This Row],[Order_Date_New]],"mmmm")</f>
        <v>September</v>
      </c>
      <c r="U783">
        <f>Table1[[#This Row],[Profit]]/Table1[[#This Row],[Sales]]</f>
        <v>0.19702157882011603</v>
      </c>
      <c r="V783" t="str">
        <f>IF(Table1[[#This Row],[Discount]]=0,"No Discount",IF(Table1[[#This Row],[Discount]]&lt;=0.1,"Low",IF(Table1[[#This Row],[Discount]]&lt;=0.2,"medium","high")))</f>
        <v>medium</v>
      </c>
    </row>
    <row r="784" spans="1:22" x14ac:dyDescent="0.3">
      <c r="A784" t="s">
        <v>1079</v>
      </c>
      <c r="B784" s="6">
        <v>45405</v>
      </c>
      <c r="C784" t="s">
        <v>110</v>
      </c>
      <c r="D784" t="s">
        <v>128</v>
      </c>
      <c r="E784" t="s">
        <v>146</v>
      </c>
      <c r="F784" t="s">
        <v>72</v>
      </c>
      <c r="G784" t="s">
        <v>88</v>
      </c>
      <c r="H784" t="s">
        <v>89</v>
      </c>
      <c r="I784">
        <v>2541.48</v>
      </c>
      <c r="J784">
        <v>4</v>
      </c>
      <c r="K784">
        <v>0.05</v>
      </c>
      <c r="L784">
        <v>879.33</v>
      </c>
      <c r="M784" t="s">
        <v>105</v>
      </c>
      <c r="N784" t="s">
        <v>80</v>
      </c>
      <c r="O784" t="str">
        <f t="shared" si="24"/>
        <v>Bad</v>
      </c>
      <c r="P784">
        <f t="shared" si="25"/>
        <v>635.37</v>
      </c>
      <c r="Q784">
        <v>45405</v>
      </c>
      <c r="R784">
        <f>YEAR(Table1[[#This Row],[Order_Date_New]])</f>
        <v>2024</v>
      </c>
      <c r="S784">
        <f>MONTH(Table1[[#This Row],[Order_Date_New]])</f>
        <v>4</v>
      </c>
      <c r="T784" t="str">
        <f>TEXT(Table1[[#This Row],[Order_Date_New]],"mmmm")</f>
        <v>April</v>
      </c>
      <c r="U784">
        <f>Table1[[#This Row],[Profit]]/Table1[[#This Row],[Sales]]</f>
        <v>0.34599131214882667</v>
      </c>
      <c r="V784" t="str">
        <f>IF(Table1[[#This Row],[Discount]]=0,"No Discount",IF(Table1[[#This Row],[Discount]]&lt;=0.1,"Low",IF(Table1[[#This Row],[Discount]]&lt;=0.2,"medium","high")))</f>
        <v>Low</v>
      </c>
    </row>
    <row r="785" spans="1:22" x14ac:dyDescent="0.3">
      <c r="A785" t="s">
        <v>1080</v>
      </c>
      <c r="B785" s="6">
        <v>45857</v>
      </c>
      <c r="C785" t="s">
        <v>407</v>
      </c>
      <c r="D785" t="s">
        <v>128</v>
      </c>
      <c r="E785" t="s">
        <v>202</v>
      </c>
      <c r="F785" t="s">
        <v>60</v>
      </c>
      <c r="G785" t="s">
        <v>98</v>
      </c>
      <c r="H785" t="s">
        <v>138</v>
      </c>
      <c r="I785">
        <v>10389.33</v>
      </c>
      <c r="J785">
        <v>9</v>
      </c>
      <c r="K785">
        <v>0.05</v>
      </c>
      <c r="L785">
        <v>538.84</v>
      </c>
      <c r="M785" t="s">
        <v>133</v>
      </c>
      <c r="N785" t="s">
        <v>38</v>
      </c>
      <c r="O785" t="str">
        <f t="shared" si="24"/>
        <v>Good</v>
      </c>
      <c r="P785">
        <f t="shared" si="25"/>
        <v>1154.3699999999999</v>
      </c>
      <c r="Q785">
        <v>45857</v>
      </c>
      <c r="R785">
        <f>YEAR(Table1[[#This Row],[Order_Date_New]])</f>
        <v>2025</v>
      </c>
      <c r="S785">
        <f>MONTH(Table1[[#This Row],[Order_Date_New]])</f>
        <v>7</v>
      </c>
      <c r="T785" t="str">
        <f>TEXT(Table1[[#This Row],[Order_Date_New]],"mmmm")</f>
        <v>July</v>
      </c>
      <c r="U785">
        <f>Table1[[#This Row],[Profit]]/Table1[[#This Row],[Sales]]</f>
        <v>5.186474969993253E-2</v>
      </c>
      <c r="V785" t="str">
        <f>IF(Table1[[#This Row],[Discount]]=0,"No Discount",IF(Table1[[#This Row],[Discount]]&lt;=0.1,"Low",IF(Table1[[#This Row],[Discount]]&lt;=0.2,"medium","high")))</f>
        <v>Low</v>
      </c>
    </row>
    <row r="786" spans="1:22" x14ac:dyDescent="0.3">
      <c r="A786" t="s">
        <v>1081</v>
      </c>
      <c r="B786" s="6">
        <v>45677</v>
      </c>
      <c r="C786" t="s">
        <v>285</v>
      </c>
      <c r="D786" t="s">
        <v>128</v>
      </c>
      <c r="E786" t="s">
        <v>132</v>
      </c>
      <c r="F786" t="s">
        <v>26</v>
      </c>
      <c r="G786" t="s">
        <v>41</v>
      </c>
      <c r="H786" t="s">
        <v>108</v>
      </c>
      <c r="I786">
        <v>1832.1</v>
      </c>
      <c r="J786">
        <v>6</v>
      </c>
      <c r="K786">
        <v>0.1</v>
      </c>
      <c r="L786">
        <v>124.07</v>
      </c>
      <c r="M786" t="s">
        <v>105</v>
      </c>
      <c r="N786" t="s">
        <v>30</v>
      </c>
      <c r="O786" t="str">
        <f t="shared" si="24"/>
        <v>Bad</v>
      </c>
      <c r="P786">
        <f t="shared" si="25"/>
        <v>305.34999999999997</v>
      </c>
      <c r="Q786">
        <v>45677</v>
      </c>
      <c r="R786">
        <f>YEAR(Table1[[#This Row],[Order_Date_New]])</f>
        <v>2025</v>
      </c>
      <c r="S786">
        <f>MONTH(Table1[[#This Row],[Order_Date_New]])</f>
        <v>1</v>
      </c>
      <c r="T786" t="str">
        <f>TEXT(Table1[[#This Row],[Order_Date_New]],"mmmm")</f>
        <v>January</v>
      </c>
      <c r="U786">
        <f>Table1[[#This Row],[Profit]]/Table1[[#This Row],[Sales]]</f>
        <v>6.7720102614486105E-2</v>
      </c>
      <c r="V786" t="str">
        <f>IF(Table1[[#This Row],[Discount]]=0,"No Discount",IF(Table1[[#This Row],[Discount]]&lt;=0.1,"Low",IF(Table1[[#This Row],[Discount]]&lt;=0.2,"medium","high")))</f>
        <v>Low</v>
      </c>
    </row>
    <row r="787" spans="1:22" x14ac:dyDescent="0.3">
      <c r="A787" t="s">
        <v>1082</v>
      </c>
      <c r="B787" s="6">
        <v>45479</v>
      </c>
      <c r="C787" t="s">
        <v>219</v>
      </c>
      <c r="D787" t="s">
        <v>33</v>
      </c>
      <c r="E787" t="s">
        <v>118</v>
      </c>
      <c r="F787" t="s">
        <v>60</v>
      </c>
      <c r="G787" t="s">
        <v>78</v>
      </c>
      <c r="H787" t="s">
        <v>125</v>
      </c>
      <c r="I787">
        <v>555.87</v>
      </c>
      <c r="J787">
        <v>7</v>
      </c>
      <c r="K787">
        <v>0.1</v>
      </c>
      <c r="L787">
        <v>82.57</v>
      </c>
      <c r="M787" t="s">
        <v>133</v>
      </c>
      <c r="N787" t="s">
        <v>44</v>
      </c>
      <c r="O787" t="str">
        <f t="shared" si="24"/>
        <v>Bad</v>
      </c>
      <c r="P787">
        <f t="shared" si="25"/>
        <v>79.41</v>
      </c>
      <c r="Q787">
        <v>45479</v>
      </c>
      <c r="R787">
        <f>YEAR(Table1[[#This Row],[Order_Date_New]])</f>
        <v>2024</v>
      </c>
      <c r="S787">
        <f>MONTH(Table1[[#This Row],[Order_Date_New]])</f>
        <v>7</v>
      </c>
      <c r="T787" t="str">
        <f>TEXT(Table1[[#This Row],[Order_Date_New]],"mmmm")</f>
        <v>July</v>
      </c>
      <c r="U787">
        <f>Table1[[#This Row],[Profit]]/Table1[[#This Row],[Sales]]</f>
        <v>0.148541925270297</v>
      </c>
      <c r="V787" t="str">
        <f>IF(Table1[[#This Row],[Discount]]=0,"No Discount",IF(Table1[[#This Row],[Discount]]&lt;=0.1,"Low",IF(Table1[[#This Row],[Discount]]&lt;=0.2,"medium","high")))</f>
        <v>Low</v>
      </c>
    </row>
    <row r="788" spans="1:22" x14ac:dyDescent="0.3">
      <c r="A788" t="s">
        <v>1083</v>
      </c>
      <c r="B788" s="6">
        <v>45787</v>
      </c>
      <c r="C788" t="s">
        <v>538</v>
      </c>
      <c r="D788" t="s">
        <v>128</v>
      </c>
      <c r="E788" t="s">
        <v>146</v>
      </c>
      <c r="F788" t="s">
        <v>26</v>
      </c>
      <c r="G788" t="s">
        <v>35</v>
      </c>
      <c r="H788" t="s">
        <v>173</v>
      </c>
      <c r="I788">
        <v>1946.35</v>
      </c>
      <c r="J788">
        <v>7</v>
      </c>
      <c r="K788">
        <v>0.05</v>
      </c>
      <c r="L788">
        <v>615.96</v>
      </c>
      <c r="M788" t="s">
        <v>49</v>
      </c>
      <c r="N788" t="s">
        <v>44</v>
      </c>
      <c r="O788" t="str">
        <f t="shared" si="24"/>
        <v>Bad</v>
      </c>
      <c r="P788">
        <f t="shared" si="25"/>
        <v>278.05</v>
      </c>
      <c r="Q788">
        <v>45787</v>
      </c>
      <c r="R788">
        <f>YEAR(Table1[[#This Row],[Order_Date_New]])</f>
        <v>2025</v>
      </c>
      <c r="S788">
        <f>MONTH(Table1[[#This Row],[Order_Date_New]])</f>
        <v>5</v>
      </c>
      <c r="T788" t="str">
        <f>TEXT(Table1[[#This Row],[Order_Date_New]],"mmmm")</f>
        <v>May</v>
      </c>
      <c r="U788">
        <f>Table1[[#This Row],[Profit]]/Table1[[#This Row],[Sales]]</f>
        <v>0.31646928866853347</v>
      </c>
      <c r="V788" t="str">
        <f>IF(Table1[[#This Row],[Discount]]=0,"No Discount",IF(Table1[[#This Row],[Discount]]&lt;=0.1,"Low",IF(Table1[[#This Row],[Discount]]&lt;=0.2,"medium","high")))</f>
        <v>Low</v>
      </c>
    </row>
    <row r="789" spans="1:22" x14ac:dyDescent="0.3">
      <c r="A789" t="s">
        <v>1084</v>
      </c>
      <c r="B789" s="6">
        <v>45836</v>
      </c>
      <c r="C789" t="s">
        <v>388</v>
      </c>
      <c r="D789" t="s">
        <v>53</v>
      </c>
      <c r="E789" t="s">
        <v>77</v>
      </c>
      <c r="F789" t="s">
        <v>60</v>
      </c>
      <c r="G789" t="s">
        <v>78</v>
      </c>
      <c r="H789" t="s">
        <v>79</v>
      </c>
      <c r="I789">
        <v>4632.72</v>
      </c>
      <c r="J789">
        <v>4</v>
      </c>
      <c r="K789">
        <v>0.05</v>
      </c>
      <c r="L789">
        <v>1303.4100000000001</v>
      </c>
      <c r="M789" t="s">
        <v>29</v>
      </c>
      <c r="N789" t="s">
        <v>30</v>
      </c>
      <c r="O789" t="str">
        <f t="shared" si="24"/>
        <v>Bad</v>
      </c>
      <c r="P789">
        <f t="shared" si="25"/>
        <v>1158.18</v>
      </c>
      <c r="Q789">
        <v>45836</v>
      </c>
      <c r="R789">
        <f>YEAR(Table1[[#This Row],[Order_Date_New]])</f>
        <v>2025</v>
      </c>
      <c r="S789">
        <f>MONTH(Table1[[#This Row],[Order_Date_New]])</f>
        <v>6</v>
      </c>
      <c r="T789" t="str">
        <f>TEXT(Table1[[#This Row],[Order_Date_New]],"mmmm")</f>
        <v>June</v>
      </c>
      <c r="U789">
        <f>Table1[[#This Row],[Profit]]/Table1[[#This Row],[Sales]]</f>
        <v>0.28134875407967674</v>
      </c>
      <c r="V789" t="str">
        <f>IF(Table1[[#This Row],[Discount]]=0,"No Discount",IF(Table1[[#This Row],[Discount]]&lt;=0.1,"Low",IF(Table1[[#This Row],[Discount]]&lt;=0.2,"medium","high")))</f>
        <v>Low</v>
      </c>
    </row>
    <row r="790" spans="1:22" x14ac:dyDescent="0.3">
      <c r="A790" t="s">
        <v>1085</v>
      </c>
      <c r="B790" s="6">
        <v>45353</v>
      </c>
      <c r="C790" t="s">
        <v>521</v>
      </c>
      <c r="D790" t="s">
        <v>128</v>
      </c>
      <c r="E790" t="s">
        <v>202</v>
      </c>
      <c r="F790" t="s">
        <v>72</v>
      </c>
      <c r="G790" t="s">
        <v>111</v>
      </c>
      <c r="H790" t="s">
        <v>158</v>
      </c>
      <c r="I790">
        <v>6259.47</v>
      </c>
      <c r="J790">
        <v>7</v>
      </c>
      <c r="K790">
        <v>0.1</v>
      </c>
      <c r="L790">
        <v>497.16</v>
      </c>
      <c r="M790" t="s">
        <v>29</v>
      </c>
      <c r="N790" t="s">
        <v>30</v>
      </c>
      <c r="O790" t="str">
        <f t="shared" si="24"/>
        <v>Bad</v>
      </c>
      <c r="P790">
        <f t="shared" si="25"/>
        <v>894.21</v>
      </c>
      <c r="Q790">
        <v>45353</v>
      </c>
      <c r="R790">
        <f>YEAR(Table1[[#This Row],[Order_Date_New]])</f>
        <v>2024</v>
      </c>
      <c r="S790">
        <f>MONTH(Table1[[#This Row],[Order_Date_New]])</f>
        <v>3</v>
      </c>
      <c r="T790" t="str">
        <f>TEXT(Table1[[#This Row],[Order_Date_New]],"mmmm")</f>
        <v>March</v>
      </c>
      <c r="U790">
        <f>Table1[[#This Row],[Profit]]/Table1[[#This Row],[Sales]]</f>
        <v>7.9425254853845453E-2</v>
      </c>
      <c r="V790" t="str">
        <f>IF(Table1[[#This Row],[Discount]]=0,"No Discount",IF(Table1[[#This Row],[Discount]]&lt;=0.1,"Low",IF(Table1[[#This Row],[Discount]]&lt;=0.2,"medium","high")))</f>
        <v>Low</v>
      </c>
    </row>
    <row r="791" spans="1:22" x14ac:dyDescent="0.3">
      <c r="A791" t="s">
        <v>1086</v>
      </c>
      <c r="B791" s="6">
        <v>45821</v>
      </c>
      <c r="C791" t="s">
        <v>466</v>
      </c>
      <c r="D791" t="s">
        <v>24</v>
      </c>
      <c r="E791" t="s">
        <v>84</v>
      </c>
      <c r="F791" t="s">
        <v>26</v>
      </c>
      <c r="G791" t="s">
        <v>35</v>
      </c>
      <c r="H791" t="s">
        <v>36</v>
      </c>
      <c r="I791">
        <v>7803.27</v>
      </c>
      <c r="J791">
        <v>9</v>
      </c>
      <c r="K791">
        <v>0.3</v>
      </c>
      <c r="L791">
        <v>112.32</v>
      </c>
      <c r="M791" t="s">
        <v>105</v>
      </c>
      <c r="N791" t="s">
        <v>30</v>
      </c>
      <c r="O791" t="str">
        <f t="shared" si="24"/>
        <v>Good</v>
      </c>
      <c r="P791">
        <f t="shared" si="25"/>
        <v>867.03000000000009</v>
      </c>
      <c r="Q791">
        <v>45821</v>
      </c>
      <c r="R791">
        <f>YEAR(Table1[[#This Row],[Order_Date_New]])</f>
        <v>2025</v>
      </c>
      <c r="S791">
        <f>MONTH(Table1[[#This Row],[Order_Date_New]])</f>
        <v>6</v>
      </c>
      <c r="T791" t="str">
        <f>TEXT(Table1[[#This Row],[Order_Date_New]],"mmmm")</f>
        <v>June</v>
      </c>
      <c r="U791">
        <f>Table1[[#This Row],[Profit]]/Table1[[#This Row],[Sales]]</f>
        <v>1.4393965606726409E-2</v>
      </c>
      <c r="V791" t="str">
        <f>IF(Table1[[#This Row],[Discount]]=0,"No Discount",IF(Table1[[#This Row],[Discount]]&lt;=0.1,"Low",IF(Table1[[#This Row],[Discount]]&lt;=0.2,"medium","high")))</f>
        <v>high</v>
      </c>
    </row>
    <row r="792" spans="1:22" x14ac:dyDescent="0.3">
      <c r="A792" t="s">
        <v>1087</v>
      </c>
      <c r="B792" s="6">
        <v>45633</v>
      </c>
      <c r="C792" t="s">
        <v>283</v>
      </c>
      <c r="D792" t="s">
        <v>128</v>
      </c>
      <c r="E792" t="s">
        <v>202</v>
      </c>
      <c r="F792" t="s">
        <v>26</v>
      </c>
      <c r="G792" t="s">
        <v>35</v>
      </c>
      <c r="H792" t="s">
        <v>55</v>
      </c>
      <c r="I792">
        <v>646.82000000000005</v>
      </c>
      <c r="J792">
        <v>1</v>
      </c>
      <c r="K792">
        <v>0.05</v>
      </c>
      <c r="L792">
        <v>179.41</v>
      </c>
      <c r="M792" t="s">
        <v>49</v>
      </c>
      <c r="N792" t="s">
        <v>30</v>
      </c>
      <c r="O792" t="str">
        <f t="shared" si="24"/>
        <v>Bad</v>
      </c>
      <c r="P792">
        <f t="shared" si="25"/>
        <v>646.82000000000005</v>
      </c>
      <c r="Q792">
        <v>45633</v>
      </c>
      <c r="R792">
        <f>YEAR(Table1[[#This Row],[Order_Date_New]])</f>
        <v>2024</v>
      </c>
      <c r="S792">
        <f>MONTH(Table1[[#This Row],[Order_Date_New]])</f>
        <v>12</v>
      </c>
      <c r="T792" t="str">
        <f>TEXT(Table1[[#This Row],[Order_Date_New]],"mmmm")</f>
        <v>December</v>
      </c>
      <c r="U792">
        <f>Table1[[#This Row],[Profit]]/Table1[[#This Row],[Sales]]</f>
        <v>0.27737237562227512</v>
      </c>
      <c r="V792" t="str">
        <f>IF(Table1[[#This Row],[Discount]]=0,"No Discount",IF(Table1[[#This Row],[Discount]]&lt;=0.1,"Low",IF(Table1[[#This Row],[Discount]]&lt;=0.2,"medium","high")))</f>
        <v>Low</v>
      </c>
    </row>
    <row r="793" spans="1:22" x14ac:dyDescent="0.3">
      <c r="A793" t="s">
        <v>1088</v>
      </c>
      <c r="B793" s="6">
        <v>45512</v>
      </c>
      <c r="C793" t="s">
        <v>184</v>
      </c>
      <c r="D793" t="s">
        <v>24</v>
      </c>
      <c r="E793" t="s">
        <v>25</v>
      </c>
      <c r="F793" t="s">
        <v>26</v>
      </c>
      <c r="G793" t="s">
        <v>41</v>
      </c>
      <c r="H793" t="s">
        <v>108</v>
      </c>
      <c r="I793">
        <v>7772.8</v>
      </c>
      <c r="J793">
        <v>8</v>
      </c>
      <c r="K793">
        <v>0.15</v>
      </c>
      <c r="L793">
        <v>1242.98</v>
      </c>
      <c r="M793" t="s">
        <v>49</v>
      </c>
      <c r="N793" t="s">
        <v>80</v>
      </c>
      <c r="O793" t="str">
        <f t="shared" si="24"/>
        <v>Good</v>
      </c>
      <c r="P793">
        <f t="shared" si="25"/>
        <v>971.6</v>
      </c>
      <c r="Q793">
        <v>45512</v>
      </c>
      <c r="R793">
        <f>YEAR(Table1[[#This Row],[Order_Date_New]])</f>
        <v>2024</v>
      </c>
      <c r="S793">
        <f>MONTH(Table1[[#This Row],[Order_Date_New]])</f>
        <v>8</v>
      </c>
      <c r="T793" t="str">
        <f>TEXT(Table1[[#This Row],[Order_Date_New]],"mmmm")</f>
        <v>August</v>
      </c>
      <c r="U793">
        <f>Table1[[#This Row],[Profit]]/Table1[[#This Row],[Sales]]</f>
        <v>0.15991405928365582</v>
      </c>
      <c r="V793" t="str">
        <f>IF(Table1[[#This Row],[Discount]]=0,"No Discount",IF(Table1[[#This Row],[Discount]]&lt;=0.1,"Low",IF(Table1[[#This Row],[Discount]]&lt;=0.2,"medium","high")))</f>
        <v>medium</v>
      </c>
    </row>
    <row r="794" spans="1:22" x14ac:dyDescent="0.3">
      <c r="A794" t="s">
        <v>1089</v>
      </c>
      <c r="B794" s="6">
        <v>45771</v>
      </c>
      <c r="C794" t="s">
        <v>993</v>
      </c>
      <c r="D794" t="s">
        <v>33</v>
      </c>
      <c r="E794" t="s">
        <v>48</v>
      </c>
      <c r="F794" t="s">
        <v>26</v>
      </c>
      <c r="G794" t="s">
        <v>27</v>
      </c>
      <c r="H794" t="s">
        <v>271</v>
      </c>
      <c r="I794">
        <v>1366.24</v>
      </c>
      <c r="J794">
        <v>4</v>
      </c>
      <c r="K794">
        <v>0.3</v>
      </c>
      <c r="L794">
        <v>-25.27</v>
      </c>
      <c r="M794" t="s">
        <v>37</v>
      </c>
      <c r="N794" t="s">
        <v>30</v>
      </c>
      <c r="O794" t="str">
        <f t="shared" si="24"/>
        <v>Bad</v>
      </c>
      <c r="P794">
        <f t="shared" si="25"/>
        <v>341.56</v>
      </c>
      <c r="Q794">
        <v>45771</v>
      </c>
      <c r="R794">
        <f>YEAR(Table1[[#This Row],[Order_Date_New]])</f>
        <v>2025</v>
      </c>
      <c r="S794">
        <f>MONTH(Table1[[#This Row],[Order_Date_New]])</f>
        <v>4</v>
      </c>
      <c r="T794" t="str">
        <f>TEXT(Table1[[#This Row],[Order_Date_New]],"mmmm")</f>
        <v>April</v>
      </c>
      <c r="U794">
        <f>Table1[[#This Row],[Profit]]/Table1[[#This Row],[Sales]]</f>
        <v>-1.8496018269118165E-2</v>
      </c>
      <c r="V794" t="str">
        <f>IF(Table1[[#This Row],[Discount]]=0,"No Discount",IF(Table1[[#This Row],[Discount]]&lt;=0.1,"Low",IF(Table1[[#This Row],[Discount]]&lt;=0.2,"medium","high")))</f>
        <v>high</v>
      </c>
    </row>
    <row r="795" spans="1:22" x14ac:dyDescent="0.3">
      <c r="A795" t="s">
        <v>1090</v>
      </c>
      <c r="B795" s="6">
        <v>45338</v>
      </c>
      <c r="C795" t="s">
        <v>664</v>
      </c>
      <c r="D795" t="s">
        <v>53</v>
      </c>
      <c r="E795" t="s">
        <v>77</v>
      </c>
      <c r="F795" t="s">
        <v>26</v>
      </c>
      <c r="G795" t="s">
        <v>41</v>
      </c>
      <c r="H795" t="s">
        <v>42</v>
      </c>
      <c r="I795">
        <v>3804.56</v>
      </c>
      <c r="J795">
        <v>4</v>
      </c>
      <c r="K795">
        <v>0.3</v>
      </c>
      <c r="L795">
        <v>-502.12</v>
      </c>
      <c r="M795" t="s">
        <v>133</v>
      </c>
      <c r="N795" t="s">
        <v>30</v>
      </c>
      <c r="O795" t="str">
        <f t="shared" si="24"/>
        <v>Bad</v>
      </c>
      <c r="P795">
        <f t="shared" si="25"/>
        <v>951.14</v>
      </c>
      <c r="Q795">
        <v>45338</v>
      </c>
      <c r="R795">
        <f>YEAR(Table1[[#This Row],[Order_Date_New]])</f>
        <v>2024</v>
      </c>
      <c r="S795">
        <f>MONTH(Table1[[#This Row],[Order_Date_New]])</f>
        <v>2</v>
      </c>
      <c r="T795" t="str">
        <f>TEXT(Table1[[#This Row],[Order_Date_New]],"mmmm")</f>
        <v>February</v>
      </c>
      <c r="U795">
        <f>Table1[[#This Row],[Profit]]/Table1[[#This Row],[Sales]]</f>
        <v>-0.13197846794373069</v>
      </c>
      <c r="V795" t="str">
        <f>IF(Table1[[#This Row],[Discount]]=0,"No Discount",IF(Table1[[#This Row],[Discount]]&lt;=0.1,"Low",IF(Table1[[#This Row],[Discount]]&lt;=0.2,"medium","high")))</f>
        <v>high</v>
      </c>
    </row>
    <row r="796" spans="1:22" x14ac:dyDescent="0.3">
      <c r="A796" t="s">
        <v>1091</v>
      </c>
      <c r="B796" s="6">
        <v>45476</v>
      </c>
      <c r="C796" t="s">
        <v>698</v>
      </c>
      <c r="D796" t="s">
        <v>128</v>
      </c>
      <c r="E796" t="s">
        <v>129</v>
      </c>
      <c r="F796" t="s">
        <v>60</v>
      </c>
      <c r="G796" t="s">
        <v>61</v>
      </c>
      <c r="H796" t="s">
        <v>67</v>
      </c>
      <c r="I796">
        <v>776.83</v>
      </c>
      <c r="J796">
        <v>1</v>
      </c>
      <c r="K796">
        <v>0.05</v>
      </c>
      <c r="L796">
        <v>46.58</v>
      </c>
      <c r="M796" t="s">
        <v>37</v>
      </c>
      <c r="N796" t="s">
        <v>80</v>
      </c>
      <c r="O796" t="str">
        <f t="shared" si="24"/>
        <v>Bad</v>
      </c>
      <c r="P796">
        <f t="shared" si="25"/>
        <v>776.83</v>
      </c>
      <c r="Q796">
        <v>45476</v>
      </c>
      <c r="R796">
        <f>YEAR(Table1[[#This Row],[Order_Date_New]])</f>
        <v>2024</v>
      </c>
      <c r="S796">
        <f>MONTH(Table1[[#This Row],[Order_Date_New]])</f>
        <v>7</v>
      </c>
      <c r="T796" t="str">
        <f>TEXT(Table1[[#This Row],[Order_Date_New]],"mmmm")</f>
        <v>July</v>
      </c>
      <c r="U796">
        <f>Table1[[#This Row],[Profit]]/Table1[[#This Row],[Sales]]</f>
        <v>5.9961638968628911E-2</v>
      </c>
      <c r="V796" t="str">
        <f>IF(Table1[[#This Row],[Discount]]=0,"No Discount",IF(Table1[[#This Row],[Discount]]&lt;=0.1,"Low",IF(Table1[[#This Row],[Discount]]&lt;=0.2,"medium","high")))</f>
        <v>Low</v>
      </c>
    </row>
    <row r="797" spans="1:22" x14ac:dyDescent="0.3">
      <c r="A797" t="s">
        <v>1092</v>
      </c>
      <c r="B797" s="6">
        <v>45447</v>
      </c>
      <c r="C797" t="s">
        <v>427</v>
      </c>
      <c r="D797" t="s">
        <v>53</v>
      </c>
      <c r="E797" t="s">
        <v>107</v>
      </c>
      <c r="F797" t="s">
        <v>60</v>
      </c>
      <c r="G797" t="s">
        <v>78</v>
      </c>
      <c r="H797" t="s">
        <v>222</v>
      </c>
      <c r="I797">
        <v>740.64</v>
      </c>
      <c r="J797">
        <v>1</v>
      </c>
      <c r="K797">
        <v>0.3</v>
      </c>
      <c r="L797">
        <v>0.59</v>
      </c>
      <c r="M797" t="s">
        <v>170</v>
      </c>
      <c r="N797" t="s">
        <v>80</v>
      </c>
      <c r="O797" t="str">
        <f t="shared" si="24"/>
        <v>Bad</v>
      </c>
      <c r="P797">
        <f t="shared" si="25"/>
        <v>740.64</v>
      </c>
      <c r="Q797">
        <v>45447</v>
      </c>
      <c r="R797">
        <f>YEAR(Table1[[#This Row],[Order_Date_New]])</f>
        <v>2024</v>
      </c>
      <c r="S797">
        <f>MONTH(Table1[[#This Row],[Order_Date_New]])</f>
        <v>6</v>
      </c>
      <c r="T797" t="str">
        <f>TEXT(Table1[[#This Row],[Order_Date_New]],"mmmm")</f>
        <v>June</v>
      </c>
      <c r="U797">
        <f>Table1[[#This Row],[Profit]]/Table1[[#This Row],[Sales]]</f>
        <v>7.9660833873406779E-4</v>
      </c>
      <c r="V797" t="str">
        <f>IF(Table1[[#This Row],[Discount]]=0,"No Discount",IF(Table1[[#This Row],[Discount]]&lt;=0.1,"Low",IF(Table1[[#This Row],[Discount]]&lt;=0.2,"medium","high")))</f>
        <v>high</v>
      </c>
    </row>
    <row r="798" spans="1:22" x14ac:dyDescent="0.3">
      <c r="A798" t="s">
        <v>1093</v>
      </c>
      <c r="B798" s="6">
        <v>45535</v>
      </c>
      <c r="C798" t="s">
        <v>258</v>
      </c>
      <c r="D798" t="s">
        <v>53</v>
      </c>
      <c r="E798" t="s">
        <v>54</v>
      </c>
      <c r="F798" t="s">
        <v>72</v>
      </c>
      <c r="G798" t="s">
        <v>88</v>
      </c>
      <c r="H798" t="s">
        <v>209</v>
      </c>
      <c r="I798">
        <v>5440.4</v>
      </c>
      <c r="J798">
        <v>5</v>
      </c>
      <c r="K798">
        <v>0.15</v>
      </c>
      <c r="L798">
        <v>1530.52</v>
      </c>
      <c r="M798" t="s">
        <v>43</v>
      </c>
      <c r="N798" t="s">
        <v>30</v>
      </c>
      <c r="O798" t="str">
        <f t="shared" si="24"/>
        <v>Bad</v>
      </c>
      <c r="P798">
        <f t="shared" si="25"/>
        <v>1088.08</v>
      </c>
      <c r="Q798">
        <v>45535</v>
      </c>
      <c r="R798">
        <f>YEAR(Table1[[#This Row],[Order_Date_New]])</f>
        <v>2024</v>
      </c>
      <c r="S798">
        <f>MONTH(Table1[[#This Row],[Order_Date_New]])</f>
        <v>8</v>
      </c>
      <c r="T798" t="str">
        <f>TEXT(Table1[[#This Row],[Order_Date_New]],"mmmm")</f>
        <v>August</v>
      </c>
      <c r="U798">
        <f>Table1[[#This Row],[Profit]]/Table1[[#This Row],[Sales]]</f>
        <v>0.28132490258069259</v>
      </c>
      <c r="V798" t="str">
        <f>IF(Table1[[#This Row],[Discount]]=0,"No Discount",IF(Table1[[#This Row],[Discount]]&lt;=0.1,"Low",IF(Table1[[#This Row],[Discount]]&lt;=0.2,"medium","high")))</f>
        <v>medium</v>
      </c>
    </row>
    <row r="799" spans="1:22" x14ac:dyDescent="0.3">
      <c r="A799" t="s">
        <v>1094</v>
      </c>
      <c r="B799" s="6">
        <v>45843</v>
      </c>
      <c r="C799" t="s">
        <v>437</v>
      </c>
      <c r="D799" t="s">
        <v>33</v>
      </c>
      <c r="E799" t="s">
        <v>118</v>
      </c>
      <c r="F799" t="s">
        <v>60</v>
      </c>
      <c r="G799" t="s">
        <v>61</v>
      </c>
      <c r="H799" t="s">
        <v>122</v>
      </c>
      <c r="I799">
        <v>2208.3000000000002</v>
      </c>
      <c r="J799">
        <v>5</v>
      </c>
      <c r="K799">
        <v>0</v>
      </c>
      <c r="L799">
        <v>564.17999999999995</v>
      </c>
      <c r="M799" t="s">
        <v>90</v>
      </c>
      <c r="N799" t="s">
        <v>30</v>
      </c>
      <c r="O799" t="str">
        <f t="shared" si="24"/>
        <v>Bad</v>
      </c>
      <c r="P799">
        <f t="shared" si="25"/>
        <v>441.66</v>
      </c>
      <c r="Q799">
        <v>45843</v>
      </c>
      <c r="R799">
        <f>YEAR(Table1[[#This Row],[Order_Date_New]])</f>
        <v>2025</v>
      </c>
      <c r="S799">
        <f>MONTH(Table1[[#This Row],[Order_Date_New]])</f>
        <v>7</v>
      </c>
      <c r="T799" t="str">
        <f>TEXT(Table1[[#This Row],[Order_Date_New]],"mmmm")</f>
        <v>July</v>
      </c>
      <c r="U799">
        <f>Table1[[#This Row],[Profit]]/Table1[[#This Row],[Sales]]</f>
        <v>0.25548159217497618</v>
      </c>
      <c r="V799" t="str">
        <f>IF(Table1[[#This Row],[Discount]]=0,"No Discount",IF(Table1[[#This Row],[Discount]]&lt;=0.1,"Low",IF(Table1[[#This Row],[Discount]]&lt;=0.2,"medium","high")))</f>
        <v>No Discount</v>
      </c>
    </row>
    <row r="800" spans="1:22" x14ac:dyDescent="0.3">
      <c r="A800" t="s">
        <v>1095</v>
      </c>
      <c r="B800" s="6">
        <v>45301</v>
      </c>
      <c r="C800" t="s">
        <v>242</v>
      </c>
      <c r="D800" t="s">
        <v>53</v>
      </c>
      <c r="E800" t="s">
        <v>77</v>
      </c>
      <c r="F800" t="s">
        <v>72</v>
      </c>
      <c r="G800" t="s">
        <v>88</v>
      </c>
      <c r="H800" t="s">
        <v>89</v>
      </c>
      <c r="I800">
        <v>1682.62</v>
      </c>
      <c r="J800">
        <v>2</v>
      </c>
      <c r="K800">
        <v>0.15</v>
      </c>
      <c r="L800">
        <v>409.59</v>
      </c>
      <c r="M800" t="s">
        <v>170</v>
      </c>
      <c r="N800" t="s">
        <v>80</v>
      </c>
      <c r="O800" t="str">
        <f t="shared" si="24"/>
        <v>Bad</v>
      </c>
      <c r="P800">
        <f t="shared" si="25"/>
        <v>841.31</v>
      </c>
      <c r="Q800">
        <v>45301</v>
      </c>
      <c r="R800">
        <f>YEAR(Table1[[#This Row],[Order_Date_New]])</f>
        <v>2024</v>
      </c>
      <c r="S800">
        <f>MONTH(Table1[[#This Row],[Order_Date_New]])</f>
        <v>1</v>
      </c>
      <c r="T800" t="str">
        <f>TEXT(Table1[[#This Row],[Order_Date_New]],"mmmm")</f>
        <v>January</v>
      </c>
      <c r="U800">
        <f>Table1[[#This Row],[Profit]]/Table1[[#This Row],[Sales]]</f>
        <v>0.24342394598899336</v>
      </c>
      <c r="V800" t="str">
        <f>IF(Table1[[#This Row],[Discount]]=0,"No Discount",IF(Table1[[#This Row],[Discount]]&lt;=0.1,"Low",IF(Table1[[#This Row],[Discount]]&lt;=0.2,"medium","high")))</f>
        <v>medium</v>
      </c>
    </row>
    <row r="801" spans="1:22" x14ac:dyDescent="0.3">
      <c r="A801" t="s">
        <v>1096</v>
      </c>
      <c r="B801" s="6">
        <v>45534</v>
      </c>
      <c r="C801" t="s">
        <v>572</v>
      </c>
      <c r="D801" t="s">
        <v>53</v>
      </c>
      <c r="E801" t="s">
        <v>107</v>
      </c>
      <c r="F801" t="s">
        <v>26</v>
      </c>
      <c r="G801" t="s">
        <v>27</v>
      </c>
      <c r="H801" t="s">
        <v>200</v>
      </c>
      <c r="I801">
        <v>8234.1</v>
      </c>
      <c r="J801">
        <v>7</v>
      </c>
      <c r="K801">
        <v>0.05</v>
      </c>
      <c r="L801">
        <v>1807.83</v>
      </c>
      <c r="M801" t="s">
        <v>43</v>
      </c>
      <c r="N801" t="s">
        <v>80</v>
      </c>
      <c r="O801" t="str">
        <f t="shared" si="24"/>
        <v>Bad</v>
      </c>
      <c r="P801">
        <f t="shared" si="25"/>
        <v>1176.3</v>
      </c>
      <c r="Q801">
        <v>45534</v>
      </c>
      <c r="R801">
        <f>YEAR(Table1[[#This Row],[Order_Date_New]])</f>
        <v>2024</v>
      </c>
      <c r="S801">
        <f>MONTH(Table1[[#This Row],[Order_Date_New]])</f>
        <v>8</v>
      </c>
      <c r="T801" t="str">
        <f>TEXT(Table1[[#This Row],[Order_Date_New]],"mmmm")</f>
        <v>August</v>
      </c>
      <c r="U801">
        <f>Table1[[#This Row],[Profit]]/Table1[[#This Row],[Sales]]</f>
        <v>0.21955404962290959</v>
      </c>
      <c r="V801" t="str">
        <f>IF(Table1[[#This Row],[Discount]]=0,"No Discount",IF(Table1[[#This Row],[Discount]]&lt;=0.1,"Low",IF(Table1[[#This Row],[Discount]]&lt;=0.2,"medium","high")))</f>
        <v>Low</v>
      </c>
    </row>
    <row r="802" spans="1:22" x14ac:dyDescent="0.3">
      <c r="A802" t="s">
        <v>1097</v>
      </c>
      <c r="B802" s="6">
        <v>45539</v>
      </c>
      <c r="C802" t="s">
        <v>40</v>
      </c>
      <c r="D802" t="s">
        <v>33</v>
      </c>
      <c r="E802" t="s">
        <v>66</v>
      </c>
      <c r="F802" t="s">
        <v>26</v>
      </c>
      <c r="G802" t="s">
        <v>41</v>
      </c>
      <c r="H802" t="s">
        <v>42</v>
      </c>
      <c r="I802">
        <v>5416.8</v>
      </c>
      <c r="J802">
        <v>8</v>
      </c>
      <c r="K802">
        <v>0.05</v>
      </c>
      <c r="L802">
        <v>929.21</v>
      </c>
      <c r="M802" t="s">
        <v>37</v>
      </c>
      <c r="N802" t="s">
        <v>80</v>
      </c>
      <c r="O802" t="str">
        <f t="shared" si="24"/>
        <v>Good</v>
      </c>
      <c r="P802">
        <f t="shared" si="25"/>
        <v>677.1</v>
      </c>
      <c r="Q802">
        <v>45539</v>
      </c>
      <c r="R802">
        <f>YEAR(Table1[[#This Row],[Order_Date_New]])</f>
        <v>2024</v>
      </c>
      <c r="S802">
        <f>MONTH(Table1[[#This Row],[Order_Date_New]])</f>
        <v>9</v>
      </c>
      <c r="T802" t="str">
        <f>TEXT(Table1[[#This Row],[Order_Date_New]],"mmmm")</f>
        <v>September</v>
      </c>
      <c r="U802">
        <f>Table1[[#This Row],[Profit]]/Table1[[#This Row],[Sales]]</f>
        <v>0.17154223896027174</v>
      </c>
      <c r="V802" t="str">
        <f>IF(Table1[[#This Row],[Discount]]=0,"No Discount",IF(Table1[[#This Row],[Discount]]&lt;=0.1,"Low",IF(Table1[[#This Row],[Discount]]&lt;=0.2,"medium","high")))</f>
        <v>Low</v>
      </c>
    </row>
    <row r="803" spans="1:22" x14ac:dyDescent="0.3">
      <c r="A803" t="s">
        <v>1098</v>
      </c>
      <c r="B803" s="6">
        <v>45409</v>
      </c>
      <c r="C803" t="s">
        <v>454</v>
      </c>
      <c r="D803" t="s">
        <v>128</v>
      </c>
      <c r="E803" t="s">
        <v>132</v>
      </c>
      <c r="F803" t="s">
        <v>26</v>
      </c>
      <c r="G803" t="s">
        <v>27</v>
      </c>
      <c r="H803" t="s">
        <v>200</v>
      </c>
      <c r="I803">
        <v>223.46</v>
      </c>
      <c r="J803">
        <v>2</v>
      </c>
      <c r="K803">
        <v>0.15</v>
      </c>
      <c r="L803">
        <v>-15.47</v>
      </c>
      <c r="M803" t="s">
        <v>49</v>
      </c>
      <c r="N803" t="s">
        <v>80</v>
      </c>
      <c r="O803" t="str">
        <f t="shared" si="24"/>
        <v>Bad</v>
      </c>
      <c r="P803">
        <f t="shared" si="25"/>
        <v>111.73</v>
      </c>
      <c r="Q803">
        <v>45409</v>
      </c>
      <c r="R803">
        <f>YEAR(Table1[[#This Row],[Order_Date_New]])</f>
        <v>2024</v>
      </c>
      <c r="S803">
        <f>MONTH(Table1[[#This Row],[Order_Date_New]])</f>
        <v>4</v>
      </c>
      <c r="T803" t="str">
        <f>TEXT(Table1[[#This Row],[Order_Date_New]],"mmmm")</f>
        <v>April</v>
      </c>
      <c r="U803">
        <f>Table1[[#This Row],[Profit]]/Table1[[#This Row],[Sales]]</f>
        <v>-6.9229392284972699E-2</v>
      </c>
      <c r="V803" t="str">
        <f>IF(Table1[[#This Row],[Discount]]=0,"No Discount",IF(Table1[[#This Row],[Discount]]&lt;=0.1,"Low",IF(Table1[[#This Row],[Discount]]&lt;=0.2,"medium","high")))</f>
        <v>medium</v>
      </c>
    </row>
    <row r="804" spans="1:22" x14ac:dyDescent="0.3">
      <c r="A804" t="s">
        <v>1099</v>
      </c>
      <c r="B804" s="6">
        <v>45737</v>
      </c>
      <c r="C804" t="s">
        <v>191</v>
      </c>
      <c r="D804" t="s">
        <v>128</v>
      </c>
      <c r="E804" t="s">
        <v>129</v>
      </c>
      <c r="F804" t="s">
        <v>72</v>
      </c>
      <c r="G804" t="s">
        <v>88</v>
      </c>
      <c r="H804" t="s">
        <v>89</v>
      </c>
      <c r="I804">
        <v>5165.8500000000004</v>
      </c>
      <c r="J804">
        <v>5</v>
      </c>
      <c r="K804">
        <v>0.05</v>
      </c>
      <c r="L804">
        <v>1288.3499999999999</v>
      </c>
      <c r="M804" t="s">
        <v>105</v>
      </c>
      <c r="N804" t="s">
        <v>30</v>
      </c>
      <c r="O804" t="str">
        <f t="shared" si="24"/>
        <v>Bad</v>
      </c>
      <c r="P804">
        <f t="shared" si="25"/>
        <v>1033.17</v>
      </c>
      <c r="Q804">
        <v>45737</v>
      </c>
      <c r="R804">
        <f>YEAR(Table1[[#This Row],[Order_Date_New]])</f>
        <v>2025</v>
      </c>
      <c r="S804">
        <f>MONTH(Table1[[#This Row],[Order_Date_New]])</f>
        <v>3</v>
      </c>
      <c r="T804" t="str">
        <f>TEXT(Table1[[#This Row],[Order_Date_New]],"mmmm")</f>
        <v>March</v>
      </c>
      <c r="U804">
        <f>Table1[[#This Row],[Profit]]/Table1[[#This Row],[Sales]]</f>
        <v>0.24939748540898396</v>
      </c>
      <c r="V804" t="str">
        <f>IF(Table1[[#This Row],[Discount]]=0,"No Discount",IF(Table1[[#This Row],[Discount]]&lt;=0.1,"Low",IF(Table1[[#This Row],[Discount]]&lt;=0.2,"medium","high")))</f>
        <v>Low</v>
      </c>
    </row>
    <row r="805" spans="1:22" x14ac:dyDescent="0.3">
      <c r="A805" t="s">
        <v>1100</v>
      </c>
      <c r="B805" s="6">
        <v>45899</v>
      </c>
      <c r="C805" t="s">
        <v>454</v>
      </c>
      <c r="D805" t="s">
        <v>24</v>
      </c>
      <c r="E805" t="s">
        <v>84</v>
      </c>
      <c r="F805" t="s">
        <v>26</v>
      </c>
      <c r="G805" t="s">
        <v>35</v>
      </c>
      <c r="H805" t="s">
        <v>36</v>
      </c>
      <c r="I805">
        <v>122.64</v>
      </c>
      <c r="J805">
        <v>6</v>
      </c>
      <c r="K805">
        <v>0.3</v>
      </c>
      <c r="L805">
        <v>14.81</v>
      </c>
      <c r="M805" t="s">
        <v>68</v>
      </c>
      <c r="N805" t="s">
        <v>80</v>
      </c>
      <c r="O805" t="str">
        <f t="shared" si="24"/>
        <v>Bad</v>
      </c>
      <c r="P805">
        <f t="shared" si="25"/>
        <v>20.440000000000001</v>
      </c>
      <c r="Q805">
        <v>45899</v>
      </c>
      <c r="R805">
        <f>YEAR(Table1[[#This Row],[Order_Date_New]])</f>
        <v>2025</v>
      </c>
      <c r="S805">
        <f>MONTH(Table1[[#This Row],[Order_Date_New]])</f>
        <v>8</v>
      </c>
      <c r="T805" t="str">
        <f>TEXT(Table1[[#This Row],[Order_Date_New]],"mmmm")</f>
        <v>August</v>
      </c>
      <c r="U805">
        <f>Table1[[#This Row],[Profit]]/Table1[[#This Row],[Sales]]</f>
        <v>0.12075994781474234</v>
      </c>
      <c r="V805" t="str">
        <f>IF(Table1[[#This Row],[Discount]]=0,"No Discount",IF(Table1[[#This Row],[Discount]]&lt;=0.1,"Low",IF(Table1[[#This Row],[Discount]]&lt;=0.2,"medium","high")))</f>
        <v>high</v>
      </c>
    </row>
    <row r="806" spans="1:22" x14ac:dyDescent="0.3">
      <c r="A806" t="s">
        <v>1101</v>
      </c>
      <c r="B806" s="6">
        <v>45516</v>
      </c>
      <c r="C806" t="s">
        <v>704</v>
      </c>
      <c r="D806" t="s">
        <v>53</v>
      </c>
      <c r="E806" t="s">
        <v>77</v>
      </c>
      <c r="F806" t="s">
        <v>60</v>
      </c>
      <c r="G806" t="s">
        <v>61</v>
      </c>
      <c r="H806" t="s">
        <v>62</v>
      </c>
      <c r="I806">
        <v>109</v>
      </c>
      <c r="J806">
        <v>5</v>
      </c>
      <c r="K806">
        <v>0.25</v>
      </c>
      <c r="L806">
        <v>-5.19</v>
      </c>
      <c r="M806" t="s">
        <v>43</v>
      </c>
      <c r="N806" t="s">
        <v>44</v>
      </c>
      <c r="O806" t="str">
        <f t="shared" si="24"/>
        <v>Bad</v>
      </c>
      <c r="P806">
        <f t="shared" si="25"/>
        <v>21.8</v>
      </c>
      <c r="Q806">
        <v>45516</v>
      </c>
      <c r="R806">
        <f>YEAR(Table1[[#This Row],[Order_Date_New]])</f>
        <v>2024</v>
      </c>
      <c r="S806">
        <f>MONTH(Table1[[#This Row],[Order_Date_New]])</f>
        <v>8</v>
      </c>
      <c r="T806" t="str">
        <f>TEXT(Table1[[#This Row],[Order_Date_New]],"mmmm")</f>
        <v>August</v>
      </c>
      <c r="U806">
        <f>Table1[[#This Row],[Profit]]/Table1[[#This Row],[Sales]]</f>
        <v>-4.7614678899082573E-2</v>
      </c>
      <c r="V806" t="str">
        <f>IF(Table1[[#This Row],[Discount]]=0,"No Discount",IF(Table1[[#This Row],[Discount]]&lt;=0.1,"Low",IF(Table1[[#This Row],[Discount]]&lt;=0.2,"medium","high")))</f>
        <v>high</v>
      </c>
    </row>
    <row r="807" spans="1:22" x14ac:dyDescent="0.3">
      <c r="A807" t="s">
        <v>1102</v>
      </c>
      <c r="B807" s="6">
        <v>45538</v>
      </c>
      <c r="C807" t="s">
        <v>638</v>
      </c>
      <c r="D807" t="s">
        <v>33</v>
      </c>
      <c r="E807" t="s">
        <v>66</v>
      </c>
      <c r="F807" t="s">
        <v>72</v>
      </c>
      <c r="G807" t="s">
        <v>88</v>
      </c>
      <c r="H807" t="s">
        <v>89</v>
      </c>
      <c r="I807">
        <v>1819.24</v>
      </c>
      <c r="J807">
        <v>4</v>
      </c>
      <c r="K807">
        <v>0.3</v>
      </c>
      <c r="L807">
        <v>-377.99</v>
      </c>
      <c r="M807" t="s">
        <v>29</v>
      </c>
      <c r="N807" t="s">
        <v>80</v>
      </c>
      <c r="O807" t="str">
        <f t="shared" si="24"/>
        <v>Bad</v>
      </c>
      <c r="P807">
        <f t="shared" si="25"/>
        <v>454.81</v>
      </c>
      <c r="Q807">
        <v>45538</v>
      </c>
      <c r="R807">
        <f>YEAR(Table1[[#This Row],[Order_Date_New]])</f>
        <v>2024</v>
      </c>
      <c r="S807">
        <f>MONTH(Table1[[#This Row],[Order_Date_New]])</f>
        <v>9</v>
      </c>
      <c r="T807" t="str">
        <f>TEXT(Table1[[#This Row],[Order_Date_New]],"mmmm")</f>
        <v>September</v>
      </c>
      <c r="U807">
        <f>Table1[[#This Row],[Profit]]/Table1[[#This Row],[Sales]]</f>
        <v>-0.20777357577889669</v>
      </c>
      <c r="V807" t="str">
        <f>IF(Table1[[#This Row],[Discount]]=0,"No Discount",IF(Table1[[#This Row],[Discount]]&lt;=0.1,"Low",IF(Table1[[#This Row],[Discount]]&lt;=0.2,"medium","high")))</f>
        <v>high</v>
      </c>
    </row>
    <row r="808" spans="1:22" x14ac:dyDescent="0.3">
      <c r="A808" t="s">
        <v>1103</v>
      </c>
      <c r="B808" s="6">
        <v>45601</v>
      </c>
      <c r="C808" t="s">
        <v>378</v>
      </c>
      <c r="D808" t="s">
        <v>53</v>
      </c>
      <c r="E808" t="s">
        <v>77</v>
      </c>
      <c r="F808" t="s">
        <v>26</v>
      </c>
      <c r="G808" t="s">
        <v>41</v>
      </c>
      <c r="H808" t="s">
        <v>42</v>
      </c>
      <c r="I808">
        <v>6440</v>
      </c>
      <c r="J808">
        <v>8</v>
      </c>
      <c r="K808">
        <v>0.1</v>
      </c>
      <c r="L808">
        <v>2028.94</v>
      </c>
      <c r="M808" t="s">
        <v>43</v>
      </c>
      <c r="N808" t="s">
        <v>44</v>
      </c>
      <c r="O808" t="str">
        <f t="shared" si="24"/>
        <v>Good</v>
      </c>
      <c r="P808">
        <f t="shared" si="25"/>
        <v>805</v>
      </c>
      <c r="Q808">
        <v>45601</v>
      </c>
      <c r="R808">
        <f>YEAR(Table1[[#This Row],[Order_Date_New]])</f>
        <v>2024</v>
      </c>
      <c r="S808">
        <f>MONTH(Table1[[#This Row],[Order_Date_New]])</f>
        <v>11</v>
      </c>
      <c r="T808" t="str">
        <f>TEXT(Table1[[#This Row],[Order_Date_New]],"mmmm")</f>
        <v>November</v>
      </c>
      <c r="U808">
        <f>Table1[[#This Row],[Profit]]/Table1[[#This Row],[Sales]]</f>
        <v>0.31505279503105593</v>
      </c>
      <c r="V808" t="str">
        <f>IF(Table1[[#This Row],[Discount]]=0,"No Discount",IF(Table1[[#This Row],[Discount]]&lt;=0.1,"Low",IF(Table1[[#This Row],[Discount]]&lt;=0.2,"medium","high")))</f>
        <v>Low</v>
      </c>
    </row>
    <row r="809" spans="1:22" x14ac:dyDescent="0.3">
      <c r="A809" t="s">
        <v>1104</v>
      </c>
      <c r="B809" s="6">
        <v>45442</v>
      </c>
      <c r="C809" t="s">
        <v>283</v>
      </c>
      <c r="D809" t="s">
        <v>33</v>
      </c>
      <c r="E809" t="s">
        <v>48</v>
      </c>
      <c r="F809" t="s">
        <v>72</v>
      </c>
      <c r="G809" t="s">
        <v>73</v>
      </c>
      <c r="H809" t="s">
        <v>74</v>
      </c>
      <c r="I809">
        <v>7017.36</v>
      </c>
      <c r="J809">
        <v>6</v>
      </c>
      <c r="K809">
        <v>0.2</v>
      </c>
      <c r="L809">
        <v>-495.04</v>
      </c>
      <c r="M809" t="s">
        <v>90</v>
      </c>
      <c r="N809" t="s">
        <v>30</v>
      </c>
      <c r="O809" t="str">
        <f t="shared" si="24"/>
        <v>Bad</v>
      </c>
      <c r="P809">
        <f t="shared" si="25"/>
        <v>1169.56</v>
      </c>
      <c r="Q809">
        <v>45442</v>
      </c>
      <c r="R809">
        <f>YEAR(Table1[[#This Row],[Order_Date_New]])</f>
        <v>2024</v>
      </c>
      <c r="S809">
        <f>MONTH(Table1[[#This Row],[Order_Date_New]])</f>
        <v>5</v>
      </c>
      <c r="T809" t="str">
        <f>TEXT(Table1[[#This Row],[Order_Date_New]],"mmmm")</f>
        <v>May</v>
      </c>
      <c r="U809">
        <f>Table1[[#This Row],[Profit]]/Table1[[#This Row],[Sales]]</f>
        <v>-7.0545048280264949E-2</v>
      </c>
      <c r="V809" t="str">
        <f>IF(Table1[[#This Row],[Discount]]=0,"No Discount",IF(Table1[[#This Row],[Discount]]&lt;=0.1,"Low",IF(Table1[[#This Row],[Discount]]&lt;=0.2,"medium","high")))</f>
        <v>medium</v>
      </c>
    </row>
    <row r="810" spans="1:22" x14ac:dyDescent="0.3">
      <c r="A810" t="s">
        <v>1105</v>
      </c>
      <c r="B810" s="6">
        <v>45953</v>
      </c>
      <c r="C810" t="s">
        <v>317</v>
      </c>
      <c r="D810" t="s">
        <v>128</v>
      </c>
      <c r="E810" t="s">
        <v>202</v>
      </c>
      <c r="F810" t="s">
        <v>26</v>
      </c>
      <c r="G810" t="s">
        <v>27</v>
      </c>
      <c r="H810" t="s">
        <v>200</v>
      </c>
      <c r="I810">
        <v>5200.1099999999997</v>
      </c>
      <c r="J810">
        <v>9</v>
      </c>
      <c r="K810">
        <v>0</v>
      </c>
      <c r="L810">
        <v>2004.09</v>
      </c>
      <c r="M810" t="s">
        <v>113</v>
      </c>
      <c r="N810" t="s">
        <v>30</v>
      </c>
      <c r="O810" t="str">
        <f t="shared" si="24"/>
        <v>Good</v>
      </c>
      <c r="P810">
        <f t="shared" si="25"/>
        <v>577.79</v>
      </c>
      <c r="Q810">
        <v>45953</v>
      </c>
      <c r="R810">
        <f>YEAR(Table1[[#This Row],[Order_Date_New]])</f>
        <v>2025</v>
      </c>
      <c r="S810">
        <f>MONTH(Table1[[#This Row],[Order_Date_New]])</f>
        <v>10</v>
      </c>
      <c r="T810" t="str">
        <f>TEXT(Table1[[#This Row],[Order_Date_New]],"mmmm")</f>
        <v>October</v>
      </c>
      <c r="U810">
        <f>Table1[[#This Row],[Profit]]/Table1[[#This Row],[Sales]]</f>
        <v>0.38539377051639295</v>
      </c>
      <c r="V810" t="str">
        <f>IF(Table1[[#This Row],[Discount]]=0,"No Discount",IF(Table1[[#This Row],[Discount]]&lt;=0.1,"Low",IF(Table1[[#This Row],[Discount]]&lt;=0.2,"medium","high")))</f>
        <v>No Discount</v>
      </c>
    </row>
    <row r="811" spans="1:22" x14ac:dyDescent="0.3">
      <c r="A811" t="s">
        <v>1106</v>
      </c>
      <c r="B811" s="6">
        <v>45903</v>
      </c>
      <c r="C811" t="s">
        <v>334</v>
      </c>
      <c r="D811" t="s">
        <v>33</v>
      </c>
      <c r="E811" t="s">
        <v>34</v>
      </c>
      <c r="F811" t="s">
        <v>72</v>
      </c>
      <c r="G811" t="s">
        <v>111</v>
      </c>
      <c r="H811" t="s">
        <v>182</v>
      </c>
      <c r="I811">
        <v>4239.76</v>
      </c>
      <c r="J811">
        <v>4</v>
      </c>
      <c r="K811">
        <v>0.15</v>
      </c>
      <c r="L811">
        <v>592.13</v>
      </c>
      <c r="M811" t="s">
        <v>37</v>
      </c>
      <c r="N811" t="s">
        <v>80</v>
      </c>
      <c r="O811" t="str">
        <f t="shared" si="24"/>
        <v>Bad</v>
      </c>
      <c r="P811">
        <f t="shared" si="25"/>
        <v>1059.94</v>
      </c>
      <c r="Q811">
        <v>45903</v>
      </c>
      <c r="R811">
        <f>YEAR(Table1[[#This Row],[Order_Date_New]])</f>
        <v>2025</v>
      </c>
      <c r="S811">
        <f>MONTH(Table1[[#This Row],[Order_Date_New]])</f>
        <v>9</v>
      </c>
      <c r="T811" t="str">
        <f>TEXT(Table1[[#This Row],[Order_Date_New]],"mmmm")</f>
        <v>September</v>
      </c>
      <c r="U811">
        <f>Table1[[#This Row],[Profit]]/Table1[[#This Row],[Sales]]</f>
        <v>0.13966120723814554</v>
      </c>
      <c r="V811" t="str">
        <f>IF(Table1[[#This Row],[Discount]]=0,"No Discount",IF(Table1[[#This Row],[Discount]]&lt;=0.1,"Low",IF(Table1[[#This Row],[Discount]]&lt;=0.2,"medium","high")))</f>
        <v>medium</v>
      </c>
    </row>
    <row r="812" spans="1:22" x14ac:dyDescent="0.3">
      <c r="A812" t="s">
        <v>1107</v>
      </c>
      <c r="B812" s="6">
        <v>45820</v>
      </c>
      <c r="C812" t="s">
        <v>341</v>
      </c>
      <c r="D812" t="s">
        <v>53</v>
      </c>
      <c r="E812" t="s">
        <v>54</v>
      </c>
      <c r="F812" t="s">
        <v>60</v>
      </c>
      <c r="G812" t="s">
        <v>98</v>
      </c>
      <c r="H812" t="s">
        <v>141</v>
      </c>
      <c r="I812">
        <v>4090.86</v>
      </c>
      <c r="J812">
        <v>9</v>
      </c>
      <c r="K812">
        <v>0.25</v>
      </c>
      <c r="L812">
        <v>460.42</v>
      </c>
      <c r="M812" t="s">
        <v>90</v>
      </c>
      <c r="N812" t="s">
        <v>38</v>
      </c>
      <c r="O812" t="str">
        <f t="shared" si="24"/>
        <v>Bad</v>
      </c>
      <c r="P812">
        <f t="shared" si="25"/>
        <v>454.54</v>
      </c>
      <c r="Q812">
        <v>45820</v>
      </c>
      <c r="R812">
        <f>YEAR(Table1[[#This Row],[Order_Date_New]])</f>
        <v>2025</v>
      </c>
      <c r="S812">
        <f>MONTH(Table1[[#This Row],[Order_Date_New]])</f>
        <v>6</v>
      </c>
      <c r="T812" t="str">
        <f>TEXT(Table1[[#This Row],[Order_Date_New]],"mmmm")</f>
        <v>June</v>
      </c>
      <c r="U812">
        <f>Table1[[#This Row],[Profit]]/Table1[[#This Row],[Sales]]</f>
        <v>0.11254846169265142</v>
      </c>
      <c r="V812" t="str">
        <f>IF(Table1[[#This Row],[Discount]]=0,"No Discount",IF(Table1[[#This Row],[Discount]]&lt;=0.1,"Low",IF(Table1[[#This Row],[Discount]]&lt;=0.2,"medium","high")))</f>
        <v>high</v>
      </c>
    </row>
    <row r="813" spans="1:22" x14ac:dyDescent="0.3">
      <c r="A813" t="s">
        <v>1108</v>
      </c>
      <c r="B813" s="6">
        <v>45979</v>
      </c>
      <c r="C813" t="s">
        <v>258</v>
      </c>
      <c r="D813" t="s">
        <v>53</v>
      </c>
      <c r="E813" t="s">
        <v>87</v>
      </c>
      <c r="F813" t="s">
        <v>60</v>
      </c>
      <c r="G813" t="s">
        <v>78</v>
      </c>
      <c r="H813" t="s">
        <v>79</v>
      </c>
      <c r="I813">
        <v>4836.16</v>
      </c>
      <c r="J813">
        <v>7</v>
      </c>
      <c r="K813">
        <v>0.2</v>
      </c>
      <c r="L813">
        <v>-172.17</v>
      </c>
      <c r="M813" t="s">
        <v>170</v>
      </c>
      <c r="N813" t="s">
        <v>38</v>
      </c>
      <c r="O813" t="str">
        <f t="shared" si="24"/>
        <v>Bad</v>
      </c>
      <c r="P813">
        <f t="shared" si="25"/>
        <v>690.88</v>
      </c>
      <c r="Q813">
        <v>45979</v>
      </c>
      <c r="R813">
        <f>YEAR(Table1[[#This Row],[Order_Date_New]])</f>
        <v>2025</v>
      </c>
      <c r="S813">
        <f>MONTH(Table1[[#This Row],[Order_Date_New]])</f>
        <v>11</v>
      </c>
      <c r="T813" t="str">
        <f>TEXT(Table1[[#This Row],[Order_Date_New]],"mmmm")</f>
        <v>November</v>
      </c>
      <c r="U813">
        <f>Table1[[#This Row],[Profit]]/Table1[[#This Row],[Sales]]</f>
        <v>-3.5600559121286311E-2</v>
      </c>
      <c r="V813" t="str">
        <f>IF(Table1[[#This Row],[Discount]]=0,"No Discount",IF(Table1[[#This Row],[Discount]]&lt;=0.1,"Low",IF(Table1[[#This Row],[Discount]]&lt;=0.2,"medium","high")))</f>
        <v>medium</v>
      </c>
    </row>
    <row r="814" spans="1:22" x14ac:dyDescent="0.3">
      <c r="A814" t="s">
        <v>1109</v>
      </c>
      <c r="B814" s="6">
        <v>45591</v>
      </c>
      <c r="C814" t="s">
        <v>850</v>
      </c>
      <c r="D814" t="s">
        <v>33</v>
      </c>
      <c r="E814" t="s">
        <v>34</v>
      </c>
      <c r="F814" t="s">
        <v>26</v>
      </c>
      <c r="G814" t="s">
        <v>35</v>
      </c>
      <c r="H814" t="s">
        <v>173</v>
      </c>
      <c r="I814">
        <v>5532.35</v>
      </c>
      <c r="J814">
        <v>5</v>
      </c>
      <c r="K814">
        <v>0.15</v>
      </c>
      <c r="L814">
        <v>647.04</v>
      </c>
      <c r="M814" t="s">
        <v>113</v>
      </c>
      <c r="N814" t="s">
        <v>38</v>
      </c>
      <c r="O814" t="str">
        <f t="shared" si="24"/>
        <v>Bad</v>
      </c>
      <c r="P814">
        <f t="shared" si="25"/>
        <v>1106.47</v>
      </c>
      <c r="Q814">
        <v>45591</v>
      </c>
      <c r="R814">
        <f>YEAR(Table1[[#This Row],[Order_Date_New]])</f>
        <v>2024</v>
      </c>
      <c r="S814">
        <f>MONTH(Table1[[#This Row],[Order_Date_New]])</f>
        <v>10</v>
      </c>
      <c r="T814" t="str">
        <f>TEXT(Table1[[#This Row],[Order_Date_New]],"mmmm")</f>
        <v>October</v>
      </c>
      <c r="U814">
        <f>Table1[[#This Row],[Profit]]/Table1[[#This Row],[Sales]]</f>
        <v>0.11695572405939608</v>
      </c>
      <c r="V814" t="str">
        <f>IF(Table1[[#This Row],[Discount]]=0,"No Discount",IF(Table1[[#This Row],[Discount]]&lt;=0.1,"Low",IF(Table1[[#This Row],[Discount]]&lt;=0.2,"medium","high")))</f>
        <v>medium</v>
      </c>
    </row>
    <row r="815" spans="1:22" x14ac:dyDescent="0.3">
      <c r="A815" t="s">
        <v>1110</v>
      </c>
      <c r="B815" s="6">
        <v>45807</v>
      </c>
      <c r="C815" t="s">
        <v>521</v>
      </c>
      <c r="D815" t="s">
        <v>128</v>
      </c>
      <c r="E815" t="s">
        <v>129</v>
      </c>
      <c r="F815" t="s">
        <v>60</v>
      </c>
      <c r="G815" t="s">
        <v>78</v>
      </c>
      <c r="H815" t="s">
        <v>125</v>
      </c>
      <c r="I815">
        <v>3966.93</v>
      </c>
      <c r="J815">
        <v>9</v>
      </c>
      <c r="K815">
        <v>0.2</v>
      </c>
      <c r="L815">
        <v>880.97</v>
      </c>
      <c r="M815" t="s">
        <v>90</v>
      </c>
      <c r="N815" t="s">
        <v>30</v>
      </c>
      <c r="O815" t="str">
        <f t="shared" si="24"/>
        <v>Bad</v>
      </c>
      <c r="P815">
        <f t="shared" si="25"/>
        <v>440.77</v>
      </c>
      <c r="Q815">
        <v>45807</v>
      </c>
      <c r="R815">
        <f>YEAR(Table1[[#This Row],[Order_Date_New]])</f>
        <v>2025</v>
      </c>
      <c r="S815">
        <f>MONTH(Table1[[#This Row],[Order_Date_New]])</f>
        <v>5</v>
      </c>
      <c r="T815" t="str">
        <f>TEXT(Table1[[#This Row],[Order_Date_New]],"mmmm")</f>
        <v>May</v>
      </c>
      <c r="U815">
        <f>Table1[[#This Row],[Profit]]/Table1[[#This Row],[Sales]]</f>
        <v>0.22207853428217791</v>
      </c>
      <c r="V815" t="str">
        <f>IF(Table1[[#This Row],[Discount]]=0,"No Discount",IF(Table1[[#This Row],[Discount]]&lt;=0.1,"Low",IF(Table1[[#This Row],[Discount]]&lt;=0.2,"medium","high")))</f>
        <v>medium</v>
      </c>
    </row>
    <row r="816" spans="1:22" x14ac:dyDescent="0.3">
      <c r="A816" t="s">
        <v>1111</v>
      </c>
      <c r="B816" s="6">
        <v>45813</v>
      </c>
      <c r="C816" t="s">
        <v>32</v>
      </c>
      <c r="D816" t="s">
        <v>33</v>
      </c>
      <c r="E816" t="s">
        <v>118</v>
      </c>
      <c r="F816" t="s">
        <v>60</v>
      </c>
      <c r="G816" t="s">
        <v>78</v>
      </c>
      <c r="H816" t="s">
        <v>222</v>
      </c>
      <c r="I816">
        <v>2156.62</v>
      </c>
      <c r="J816">
        <v>2</v>
      </c>
      <c r="K816">
        <v>0.05</v>
      </c>
      <c r="L816">
        <v>110.68</v>
      </c>
      <c r="M816" t="s">
        <v>105</v>
      </c>
      <c r="N816" t="s">
        <v>30</v>
      </c>
      <c r="O816" t="str">
        <f t="shared" si="24"/>
        <v>Bad</v>
      </c>
      <c r="P816">
        <f t="shared" si="25"/>
        <v>1078.31</v>
      </c>
      <c r="Q816">
        <v>45813</v>
      </c>
      <c r="R816">
        <f>YEAR(Table1[[#This Row],[Order_Date_New]])</f>
        <v>2025</v>
      </c>
      <c r="S816">
        <f>MONTH(Table1[[#This Row],[Order_Date_New]])</f>
        <v>6</v>
      </c>
      <c r="T816" t="str">
        <f>TEXT(Table1[[#This Row],[Order_Date_New]],"mmmm")</f>
        <v>June</v>
      </c>
      <c r="U816">
        <f>Table1[[#This Row],[Profit]]/Table1[[#This Row],[Sales]]</f>
        <v>5.1321048678023951E-2</v>
      </c>
      <c r="V816" t="str">
        <f>IF(Table1[[#This Row],[Discount]]=0,"No Discount",IF(Table1[[#This Row],[Discount]]&lt;=0.1,"Low",IF(Table1[[#This Row],[Discount]]&lt;=0.2,"medium","high")))</f>
        <v>Low</v>
      </c>
    </row>
    <row r="817" spans="1:22" x14ac:dyDescent="0.3">
      <c r="A817" t="s">
        <v>1112</v>
      </c>
      <c r="B817" s="6">
        <v>45353</v>
      </c>
      <c r="C817" t="s">
        <v>485</v>
      </c>
      <c r="D817" t="s">
        <v>24</v>
      </c>
      <c r="E817" t="s">
        <v>59</v>
      </c>
      <c r="F817" t="s">
        <v>72</v>
      </c>
      <c r="G817" t="s">
        <v>111</v>
      </c>
      <c r="H817" t="s">
        <v>158</v>
      </c>
      <c r="I817">
        <v>1337.04</v>
      </c>
      <c r="J817">
        <v>3</v>
      </c>
      <c r="K817">
        <v>0.1</v>
      </c>
      <c r="L817">
        <v>67.849999999999994</v>
      </c>
      <c r="M817" t="s">
        <v>105</v>
      </c>
      <c r="N817" t="s">
        <v>80</v>
      </c>
      <c r="O817" t="str">
        <f t="shared" si="24"/>
        <v>Bad</v>
      </c>
      <c r="P817">
        <f t="shared" si="25"/>
        <v>445.68</v>
      </c>
      <c r="Q817">
        <v>45353</v>
      </c>
      <c r="R817">
        <f>YEAR(Table1[[#This Row],[Order_Date_New]])</f>
        <v>2024</v>
      </c>
      <c r="S817">
        <f>MONTH(Table1[[#This Row],[Order_Date_New]])</f>
        <v>3</v>
      </c>
      <c r="T817" t="str">
        <f>TEXT(Table1[[#This Row],[Order_Date_New]],"mmmm")</f>
        <v>March</v>
      </c>
      <c r="U817">
        <f>Table1[[#This Row],[Profit]]/Table1[[#This Row],[Sales]]</f>
        <v>5.0746424938670494E-2</v>
      </c>
      <c r="V817" t="str">
        <f>IF(Table1[[#This Row],[Discount]]=0,"No Discount",IF(Table1[[#This Row],[Discount]]&lt;=0.1,"Low",IF(Table1[[#This Row],[Discount]]&lt;=0.2,"medium","high")))</f>
        <v>Low</v>
      </c>
    </row>
    <row r="818" spans="1:22" x14ac:dyDescent="0.3">
      <c r="A818" t="s">
        <v>1113</v>
      </c>
      <c r="B818" s="6">
        <v>45829</v>
      </c>
      <c r="C818" t="s">
        <v>309</v>
      </c>
      <c r="D818" t="s">
        <v>33</v>
      </c>
      <c r="E818" t="s">
        <v>34</v>
      </c>
      <c r="F818" t="s">
        <v>60</v>
      </c>
      <c r="G818" t="s">
        <v>98</v>
      </c>
      <c r="H818" t="s">
        <v>99</v>
      </c>
      <c r="I818">
        <v>6318.96</v>
      </c>
      <c r="J818">
        <v>8</v>
      </c>
      <c r="K818">
        <v>0.15</v>
      </c>
      <c r="L818">
        <v>-325.38</v>
      </c>
      <c r="M818" t="s">
        <v>29</v>
      </c>
      <c r="N818" t="s">
        <v>30</v>
      </c>
      <c r="O818" t="str">
        <f t="shared" si="24"/>
        <v>Good</v>
      </c>
      <c r="P818">
        <f t="shared" si="25"/>
        <v>789.87</v>
      </c>
      <c r="Q818">
        <v>45829</v>
      </c>
      <c r="R818">
        <f>YEAR(Table1[[#This Row],[Order_Date_New]])</f>
        <v>2025</v>
      </c>
      <c r="S818">
        <f>MONTH(Table1[[#This Row],[Order_Date_New]])</f>
        <v>6</v>
      </c>
      <c r="T818" t="str">
        <f>TEXT(Table1[[#This Row],[Order_Date_New]],"mmmm")</f>
        <v>June</v>
      </c>
      <c r="U818">
        <f>Table1[[#This Row],[Profit]]/Table1[[#This Row],[Sales]]</f>
        <v>-5.1492650689353943E-2</v>
      </c>
      <c r="V818" t="str">
        <f>IF(Table1[[#This Row],[Discount]]=0,"No Discount",IF(Table1[[#This Row],[Discount]]&lt;=0.1,"Low",IF(Table1[[#This Row],[Discount]]&lt;=0.2,"medium","high")))</f>
        <v>medium</v>
      </c>
    </row>
    <row r="819" spans="1:22" x14ac:dyDescent="0.3">
      <c r="A819" t="s">
        <v>1114</v>
      </c>
      <c r="B819" s="6">
        <v>45868</v>
      </c>
      <c r="C819" t="s">
        <v>154</v>
      </c>
      <c r="D819" t="s">
        <v>33</v>
      </c>
      <c r="E819" t="s">
        <v>66</v>
      </c>
      <c r="F819" t="s">
        <v>60</v>
      </c>
      <c r="G819" t="s">
        <v>61</v>
      </c>
      <c r="H819" t="s">
        <v>62</v>
      </c>
      <c r="I819">
        <v>10628.46</v>
      </c>
      <c r="J819">
        <v>9</v>
      </c>
      <c r="K819">
        <v>0.1</v>
      </c>
      <c r="L819">
        <v>3283.02</v>
      </c>
      <c r="M819" t="s">
        <v>170</v>
      </c>
      <c r="N819" t="s">
        <v>44</v>
      </c>
      <c r="O819" t="str">
        <f t="shared" si="24"/>
        <v>Good</v>
      </c>
      <c r="P819">
        <f t="shared" si="25"/>
        <v>1180.9399999999998</v>
      </c>
      <c r="Q819">
        <v>45868</v>
      </c>
      <c r="R819">
        <f>YEAR(Table1[[#This Row],[Order_Date_New]])</f>
        <v>2025</v>
      </c>
      <c r="S819">
        <f>MONTH(Table1[[#This Row],[Order_Date_New]])</f>
        <v>7</v>
      </c>
      <c r="T819" t="str">
        <f>TEXT(Table1[[#This Row],[Order_Date_New]],"mmmm")</f>
        <v>July</v>
      </c>
      <c r="U819">
        <f>Table1[[#This Row],[Profit]]/Table1[[#This Row],[Sales]]</f>
        <v>0.30888952868054265</v>
      </c>
      <c r="V819" t="str">
        <f>IF(Table1[[#This Row],[Discount]]=0,"No Discount",IF(Table1[[#This Row],[Discount]]&lt;=0.1,"Low",IF(Table1[[#This Row],[Discount]]&lt;=0.2,"medium","high")))</f>
        <v>Low</v>
      </c>
    </row>
    <row r="820" spans="1:22" x14ac:dyDescent="0.3">
      <c r="A820" t="s">
        <v>1115</v>
      </c>
      <c r="B820" s="6">
        <v>45614</v>
      </c>
      <c r="C820" t="s">
        <v>850</v>
      </c>
      <c r="D820" t="s">
        <v>33</v>
      </c>
      <c r="E820" t="s">
        <v>66</v>
      </c>
      <c r="F820" t="s">
        <v>60</v>
      </c>
      <c r="G820" t="s">
        <v>98</v>
      </c>
      <c r="H820" t="s">
        <v>99</v>
      </c>
      <c r="I820">
        <v>7855.47</v>
      </c>
      <c r="J820">
        <v>9</v>
      </c>
      <c r="K820">
        <v>0.2</v>
      </c>
      <c r="L820">
        <v>1062.1099999999999</v>
      </c>
      <c r="M820" t="s">
        <v>68</v>
      </c>
      <c r="N820" t="s">
        <v>80</v>
      </c>
      <c r="O820" t="str">
        <f t="shared" si="24"/>
        <v>Good</v>
      </c>
      <c r="P820">
        <f t="shared" si="25"/>
        <v>872.83</v>
      </c>
      <c r="Q820">
        <v>45614</v>
      </c>
      <c r="R820">
        <f>YEAR(Table1[[#This Row],[Order_Date_New]])</f>
        <v>2024</v>
      </c>
      <c r="S820">
        <f>MONTH(Table1[[#This Row],[Order_Date_New]])</f>
        <v>11</v>
      </c>
      <c r="T820" t="str">
        <f>TEXT(Table1[[#This Row],[Order_Date_New]],"mmmm")</f>
        <v>November</v>
      </c>
      <c r="U820">
        <f>Table1[[#This Row],[Profit]]/Table1[[#This Row],[Sales]]</f>
        <v>0.13520642304025091</v>
      </c>
      <c r="V820" t="str">
        <f>IF(Table1[[#This Row],[Discount]]=0,"No Discount",IF(Table1[[#This Row],[Discount]]&lt;=0.1,"Low",IF(Table1[[#This Row],[Discount]]&lt;=0.2,"medium","high")))</f>
        <v>medium</v>
      </c>
    </row>
    <row r="821" spans="1:22" x14ac:dyDescent="0.3">
      <c r="A821" t="s">
        <v>1116</v>
      </c>
      <c r="B821" s="6">
        <v>45963</v>
      </c>
      <c r="C821" t="s">
        <v>490</v>
      </c>
      <c r="D821" t="s">
        <v>24</v>
      </c>
      <c r="E821" t="s">
        <v>97</v>
      </c>
      <c r="F821" t="s">
        <v>72</v>
      </c>
      <c r="G821" t="s">
        <v>73</v>
      </c>
      <c r="H821" t="s">
        <v>74</v>
      </c>
      <c r="I821">
        <v>209.82</v>
      </c>
      <c r="J821">
        <v>2</v>
      </c>
      <c r="K821">
        <v>0</v>
      </c>
      <c r="L821">
        <v>52.92</v>
      </c>
      <c r="M821" t="s">
        <v>90</v>
      </c>
      <c r="N821" t="s">
        <v>44</v>
      </c>
      <c r="O821" t="str">
        <f t="shared" si="24"/>
        <v>Bad</v>
      </c>
      <c r="P821">
        <f t="shared" si="25"/>
        <v>104.91</v>
      </c>
      <c r="Q821">
        <v>45963</v>
      </c>
      <c r="R821">
        <f>YEAR(Table1[[#This Row],[Order_Date_New]])</f>
        <v>2025</v>
      </c>
      <c r="S821">
        <f>MONTH(Table1[[#This Row],[Order_Date_New]])</f>
        <v>11</v>
      </c>
      <c r="T821" t="str">
        <f>TEXT(Table1[[#This Row],[Order_Date_New]],"mmmm")</f>
        <v>November</v>
      </c>
      <c r="U821">
        <f>Table1[[#This Row],[Profit]]/Table1[[#This Row],[Sales]]</f>
        <v>0.25221618530168716</v>
      </c>
      <c r="V821" t="str">
        <f>IF(Table1[[#This Row],[Discount]]=0,"No Discount",IF(Table1[[#This Row],[Discount]]&lt;=0.1,"Low",IF(Table1[[#This Row],[Discount]]&lt;=0.2,"medium","high")))</f>
        <v>No Discount</v>
      </c>
    </row>
    <row r="822" spans="1:22" x14ac:dyDescent="0.3">
      <c r="A822" t="s">
        <v>1117</v>
      </c>
      <c r="B822" s="6">
        <v>45582</v>
      </c>
      <c r="C822" t="s">
        <v>595</v>
      </c>
      <c r="D822" t="s">
        <v>53</v>
      </c>
      <c r="E822" t="s">
        <v>107</v>
      </c>
      <c r="F822" t="s">
        <v>60</v>
      </c>
      <c r="G822" t="s">
        <v>98</v>
      </c>
      <c r="H822" t="s">
        <v>141</v>
      </c>
      <c r="I822">
        <v>515.67999999999995</v>
      </c>
      <c r="J822">
        <v>1</v>
      </c>
      <c r="K822">
        <v>0.3</v>
      </c>
      <c r="L822">
        <v>-47.01</v>
      </c>
      <c r="M822" t="s">
        <v>43</v>
      </c>
      <c r="N822" t="s">
        <v>38</v>
      </c>
      <c r="O822" t="str">
        <f t="shared" si="24"/>
        <v>Bad</v>
      </c>
      <c r="P822">
        <f t="shared" si="25"/>
        <v>515.67999999999995</v>
      </c>
      <c r="Q822">
        <v>45582</v>
      </c>
      <c r="R822">
        <f>YEAR(Table1[[#This Row],[Order_Date_New]])</f>
        <v>2024</v>
      </c>
      <c r="S822">
        <f>MONTH(Table1[[#This Row],[Order_Date_New]])</f>
        <v>10</v>
      </c>
      <c r="T822" t="str">
        <f>TEXT(Table1[[#This Row],[Order_Date_New]],"mmmm")</f>
        <v>October</v>
      </c>
      <c r="U822">
        <f>Table1[[#This Row],[Profit]]/Table1[[#This Row],[Sales]]</f>
        <v>-9.1161185231151104E-2</v>
      </c>
      <c r="V822" t="str">
        <f>IF(Table1[[#This Row],[Discount]]=0,"No Discount",IF(Table1[[#This Row],[Discount]]&lt;=0.1,"Low",IF(Table1[[#This Row],[Discount]]&lt;=0.2,"medium","high")))</f>
        <v>high</v>
      </c>
    </row>
    <row r="823" spans="1:22" x14ac:dyDescent="0.3">
      <c r="A823" t="s">
        <v>1118</v>
      </c>
      <c r="B823" s="6">
        <v>46017</v>
      </c>
      <c r="C823" t="s">
        <v>698</v>
      </c>
      <c r="D823" t="s">
        <v>53</v>
      </c>
      <c r="E823" t="s">
        <v>77</v>
      </c>
      <c r="F823" t="s">
        <v>60</v>
      </c>
      <c r="G823" t="s">
        <v>61</v>
      </c>
      <c r="H823" t="s">
        <v>122</v>
      </c>
      <c r="I823">
        <v>2795.13</v>
      </c>
      <c r="J823">
        <v>3</v>
      </c>
      <c r="K823">
        <v>0.25</v>
      </c>
      <c r="L823">
        <v>227.14</v>
      </c>
      <c r="M823" t="s">
        <v>49</v>
      </c>
      <c r="N823" t="s">
        <v>30</v>
      </c>
      <c r="O823" t="str">
        <f t="shared" si="24"/>
        <v>Bad</v>
      </c>
      <c r="P823">
        <f t="shared" si="25"/>
        <v>931.71</v>
      </c>
      <c r="Q823">
        <v>46017</v>
      </c>
      <c r="R823">
        <f>YEAR(Table1[[#This Row],[Order_Date_New]])</f>
        <v>2025</v>
      </c>
      <c r="S823">
        <f>MONTH(Table1[[#This Row],[Order_Date_New]])</f>
        <v>12</v>
      </c>
      <c r="T823" t="str">
        <f>TEXT(Table1[[#This Row],[Order_Date_New]],"mmmm")</f>
        <v>December</v>
      </c>
      <c r="U823">
        <f>Table1[[#This Row],[Profit]]/Table1[[#This Row],[Sales]]</f>
        <v>8.1262767742466352E-2</v>
      </c>
      <c r="V823" t="str">
        <f>IF(Table1[[#This Row],[Discount]]=0,"No Discount",IF(Table1[[#This Row],[Discount]]&lt;=0.1,"Low",IF(Table1[[#This Row],[Discount]]&lt;=0.2,"medium","high")))</f>
        <v>high</v>
      </c>
    </row>
    <row r="824" spans="1:22" x14ac:dyDescent="0.3">
      <c r="A824" t="s">
        <v>1119</v>
      </c>
      <c r="B824" s="6">
        <v>45292</v>
      </c>
      <c r="C824" t="s">
        <v>365</v>
      </c>
      <c r="D824" t="s">
        <v>33</v>
      </c>
      <c r="E824" t="s">
        <v>118</v>
      </c>
      <c r="F824" t="s">
        <v>26</v>
      </c>
      <c r="G824" t="s">
        <v>41</v>
      </c>
      <c r="H824" t="s">
        <v>189</v>
      </c>
      <c r="I824">
        <v>277.37</v>
      </c>
      <c r="J824">
        <v>1</v>
      </c>
      <c r="K824">
        <v>0.2</v>
      </c>
      <c r="L824">
        <v>12.76</v>
      </c>
      <c r="M824" t="s">
        <v>133</v>
      </c>
      <c r="N824" t="s">
        <v>38</v>
      </c>
      <c r="O824" t="str">
        <f t="shared" si="24"/>
        <v>Bad</v>
      </c>
      <c r="P824">
        <f t="shared" si="25"/>
        <v>277.37</v>
      </c>
      <c r="Q824">
        <v>45292</v>
      </c>
      <c r="R824">
        <f>YEAR(Table1[[#This Row],[Order_Date_New]])</f>
        <v>2024</v>
      </c>
      <c r="S824">
        <f>MONTH(Table1[[#This Row],[Order_Date_New]])</f>
        <v>1</v>
      </c>
      <c r="T824" t="str">
        <f>TEXT(Table1[[#This Row],[Order_Date_New]],"mmmm")</f>
        <v>January</v>
      </c>
      <c r="U824">
        <f>Table1[[#This Row],[Profit]]/Table1[[#This Row],[Sales]]</f>
        <v>4.6003533186718099E-2</v>
      </c>
      <c r="V824" t="str">
        <f>IF(Table1[[#This Row],[Discount]]=0,"No Discount",IF(Table1[[#This Row],[Discount]]&lt;=0.1,"Low",IF(Table1[[#This Row],[Discount]]&lt;=0.2,"medium","high")))</f>
        <v>medium</v>
      </c>
    </row>
    <row r="825" spans="1:22" x14ac:dyDescent="0.3">
      <c r="A825" t="s">
        <v>1120</v>
      </c>
      <c r="B825" s="6">
        <v>45888</v>
      </c>
      <c r="C825" t="s">
        <v>751</v>
      </c>
      <c r="D825" t="s">
        <v>24</v>
      </c>
      <c r="E825" t="s">
        <v>59</v>
      </c>
      <c r="F825" t="s">
        <v>72</v>
      </c>
      <c r="G825" t="s">
        <v>88</v>
      </c>
      <c r="H825" t="s">
        <v>209</v>
      </c>
      <c r="I825">
        <v>8172.2</v>
      </c>
      <c r="J825">
        <v>10</v>
      </c>
      <c r="K825">
        <v>0.3</v>
      </c>
      <c r="L825">
        <v>-959.77</v>
      </c>
      <c r="M825" t="s">
        <v>43</v>
      </c>
      <c r="N825" t="s">
        <v>80</v>
      </c>
      <c r="O825" t="str">
        <f t="shared" si="24"/>
        <v>Good</v>
      </c>
      <c r="P825">
        <f t="shared" si="25"/>
        <v>817.22</v>
      </c>
      <c r="Q825">
        <v>45888</v>
      </c>
      <c r="R825">
        <f>YEAR(Table1[[#This Row],[Order_Date_New]])</f>
        <v>2025</v>
      </c>
      <c r="S825">
        <f>MONTH(Table1[[#This Row],[Order_Date_New]])</f>
        <v>8</v>
      </c>
      <c r="T825" t="str">
        <f>TEXT(Table1[[#This Row],[Order_Date_New]],"mmmm")</f>
        <v>August</v>
      </c>
      <c r="U825">
        <f>Table1[[#This Row],[Profit]]/Table1[[#This Row],[Sales]]</f>
        <v>-0.11744328332639925</v>
      </c>
      <c r="V825" t="str">
        <f>IF(Table1[[#This Row],[Discount]]=0,"No Discount",IF(Table1[[#This Row],[Discount]]&lt;=0.1,"Low",IF(Table1[[#This Row],[Discount]]&lt;=0.2,"medium","high")))</f>
        <v>high</v>
      </c>
    </row>
    <row r="826" spans="1:22" x14ac:dyDescent="0.3">
      <c r="A826" t="s">
        <v>1121</v>
      </c>
      <c r="B826" s="6">
        <v>45987</v>
      </c>
      <c r="C826" t="s">
        <v>256</v>
      </c>
      <c r="D826" t="s">
        <v>33</v>
      </c>
      <c r="E826" t="s">
        <v>48</v>
      </c>
      <c r="F826" t="s">
        <v>60</v>
      </c>
      <c r="G826" t="s">
        <v>78</v>
      </c>
      <c r="H826" t="s">
        <v>222</v>
      </c>
      <c r="I826">
        <v>3933.28</v>
      </c>
      <c r="J826">
        <v>4</v>
      </c>
      <c r="K826">
        <v>0.25</v>
      </c>
      <c r="L826">
        <v>-82.07</v>
      </c>
      <c r="M826" t="s">
        <v>90</v>
      </c>
      <c r="N826" t="s">
        <v>30</v>
      </c>
      <c r="O826" t="str">
        <f t="shared" si="24"/>
        <v>Bad</v>
      </c>
      <c r="P826">
        <f t="shared" si="25"/>
        <v>983.32</v>
      </c>
      <c r="Q826">
        <v>45987</v>
      </c>
      <c r="R826">
        <f>YEAR(Table1[[#This Row],[Order_Date_New]])</f>
        <v>2025</v>
      </c>
      <c r="S826">
        <f>MONTH(Table1[[#This Row],[Order_Date_New]])</f>
        <v>11</v>
      </c>
      <c r="T826" t="str">
        <f>TEXT(Table1[[#This Row],[Order_Date_New]],"mmmm")</f>
        <v>November</v>
      </c>
      <c r="U826">
        <f>Table1[[#This Row],[Profit]]/Table1[[#This Row],[Sales]]</f>
        <v>-2.0865537159825892E-2</v>
      </c>
      <c r="V826" t="str">
        <f>IF(Table1[[#This Row],[Discount]]=0,"No Discount",IF(Table1[[#This Row],[Discount]]&lt;=0.1,"Low",IF(Table1[[#This Row],[Discount]]&lt;=0.2,"medium","high")))</f>
        <v>high</v>
      </c>
    </row>
    <row r="827" spans="1:22" x14ac:dyDescent="0.3">
      <c r="A827" t="s">
        <v>1122</v>
      </c>
      <c r="B827" s="6">
        <v>45423</v>
      </c>
      <c r="C827" t="s">
        <v>83</v>
      </c>
      <c r="D827" t="s">
        <v>128</v>
      </c>
      <c r="E827" t="s">
        <v>146</v>
      </c>
      <c r="F827" t="s">
        <v>26</v>
      </c>
      <c r="G827" t="s">
        <v>35</v>
      </c>
      <c r="H827" t="s">
        <v>55</v>
      </c>
      <c r="I827">
        <v>113.68</v>
      </c>
      <c r="J827">
        <v>1</v>
      </c>
      <c r="K827">
        <v>0.15</v>
      </c>
      <c r="L827">
        <v>-6.41</v>
      </c>
      <c r="M827" t="s">
        <v>133</v>
      </c>
      <c r="N827" t="s">
        <v>80</v>
      </c>
      <c r="O827" t="str">
        <f t="shared" si="24"/>
        <v>Bad</v>
      </c>
      <c r="P827">
        <f t="shared" si="25"/>
        <v>113.68</v>
      </c>
      <c r="Q827">
        <v>45423</v>
      </c>
      <c r="R827">
        <f>YEAR(Table1[[#This Row],[Order_Date_New]])</f>
        <v>2024</v>
      </c>
      <c r="S827">
        <f>MONTH(Table1[[#This Row],[Order_Date_New]])</f>
        <v>5</v>
      </c>
      <c r="T827" t="str">
        <f>TEXT(Table1[[#This Row],[Order_Date_New]],"mmmm")</f>
        <v>May</v>
      </c>
      <c r="U827">
        <f>Table1[[#This Row],[Profit]]/Table1[[#This Row],[Sales]]</f>
        <v>-5.6386347642505275E-2</v>
      </c>
      <c r="V827" t="str">
        <f>IF(Table1[[#This Row],[Discount]]=0,"No Discount",IF(Table1[[#This Row],[Discount]]&lt;=0.1,"Low",IF(Table1[[#This Row],[Discount]]&lt;=0.2,"medium","high")))</f>
        <v>medium</v>
      </c>
    </row>
    <row r="828" spans="1:22" x14ac:dyDescent="0.3">
      <c r="A828" t="s">
        <v>1123</v>
      </c>
      <c r="B828" s="6">
        <v>45508</v>
      </c>
      <c r="C828" t="s">
        <v>558</v>
      </c>
      <c r="D828" t="s">
        <v>24</v>
      </c>
      <c r="E828" t="s">
        <v>25</v>
      </c>
      <c r="F828" t="s">
        <v>72</v>
      </c>
      <c r="G828" t="s">
        <v>88</v>
      </c>
      <c r="H828" t="s">
        <v>119</v>
      </c>
      <c r="I828">
        <v>9765.7000000000007</v>
      </c>
      <c r="J828">
        <v>10</v>
      </c>
      <c r="K828">
        <v>0</v>
      </c>
      <c r="L828">
        <v>736.3</v>
      </c>
      <c r="M828" t="s">
        <v>105</v>
      </c>
      <c r="N828" t="s">
        <v>38</v>
      </c>
      <c r="O828" t="str">
        <f t="shared" si="24"/>
        <v>Good</v>
      </c>
      <c r="P828">
        <f t="shared" si="25"/>
        <v>976.57</v>
      </c>
      <c r="Q828">
        <v>45508</v>
      </c>
      <c r="R828">
        <f>YEAR(Table1[[#This Row],[Order_Date_New]])</f>
        <v>2024</v>
      </c>
      <c r="S828">
        <f>MONTH(Table1[[#This Row],[Order_Date_New]])</f>
        <v>8</v>
      </c>
      <c r="T828" t="str">
        <f>TEXT(Table1[[#This Row],[Order_Date_New]],"mmmm")</f>
        <v>August</v>
      </c>
      <c r="U828">
        <f>Table1[[#This Row],[Profit]]/Table1[[#This Row],[Sales]]</f>
        <v>7.5396540954565452E-2</v>
      </c>
      <c r="V828" t="str">
        <f>IF(Table1[[#This Row],[Discount]]=0,"No Discount",IF(Table1[[#This Row],[Discount]]&lt;=0.1,"Low",IF(Table1[[#This Row],[Discount]]&lt;=0.2,"medium","high")))</f>
        <v>No Discount</v>
      </c>
    </row>
    <row r="829" spans="1:22" x14ac:dyDescent="0.3">
      <c r="A829" t="s">
        <v>1124</v>
      </c>
      <c r="B829" s="6">
        <v>45442</v>
      </c>
      <c r="C829" t="s">
        <v>296</v>
      </c>
      <c r="D829" t="s">
        <v>24</v>
      </c>
      <c r="E829" t="s">
        <v>59</v>
      </c>
      <c r="F829" t="s">
        <v>26</v>
      </c>
      <c r="G829" t="s">
        <v>41</v>
      </c>
      <c r="H829" t="s">
        <v>42</v>
      </c>
      <c r="I829">
        <v>3597.15</v>
      </c>
      <c r="J829">
        <v>3</v>
      </c>
      <c r="K829">
        <v>0</v>
      </c>
      <c r="L829">
        <v>253.61</v>
      </c>
      <c r="M829" t="s">
        <v>90</v>
      </c>
      <c r="N829" t="s">
        <v>30</v>
      </c>
      <c r="O829" t="str">
        <f t="shared" si="24"/>
        <v>Bad</v>
      </c>
      <c r="P829">
        <f t="shared" si="25"/>
        <v>1199.05</v>
      </c>
      <c r="Q829">
        <v>45442</v>
      </c>
      <c r="R829">
        <f>YEAR(Table1[[#This Row],[Order_Date_New]])</f>
        <v>2024</v>
      </c>
      <c r="S829">
        <f>MONTH(Table1[[#This Row],[Order_Date_New]])</f>
        <v>5</v>
      </c>
      <c r="T829" t="str">
        <f>TEXT(Table1[[#This Row],[Order_Date_New]],"mmmm")</f>
        <v>May</v>
      </c>
      <c r="U829">
        <f>Table1[[#This Row],[Profit]]/Table1[[#This Row],[Sales]]</f>
        <v>7.0503037126614126E-2</v>
      </c>
      <c r="V829" t="str">
        <f>IF(Table1[[#This Row],[Discount]]=0,"No Discount",IF(Table1[[#This Row],[Discount]]&lt;=0.1,"Low",IF(Table1[[#This Row],[Discount]]&lt;=0.2,"medium","high")))</f>
        <v>No Discount</v>
      </c>
    </row>
    <row r="830" spans="1:22" x14ac:dyDescent="0.3">
      <c r="A830" t="s">
        <v>1125</v>
      </c>
      <c r="B830" s="6">
        <v>45674</v>
      </c>
      <c r="C830" t="s">
        <v>179</v>
      </c>
      <c r="D830" t="s">
        <v>128</v>
      </c>
      <c r="E830" t="s">
        <v>129</v>
      </c>
      <c r="F830" t="s">
        <v>26</v>
      </c>
      <c r="G830" t="s">
        <v>35</v>
      </c>
      <c r="H830" t="s">
        <v>55</v>
      </c>
      <c r="I830">
        <v>1885.24</v>
      </c>
      <c r="J830">
        <v>4</v>
      </c>
      <c r="K830">
        <v>0.05</v>
      </c>
      <c r="L830">
        <v>628.12</v>
      </c>
      <c r="M830" t="s">
        <v>105</v>
      </c>
      <c r="N830" t="s">
        <v>38</v>
      </c>
      <c r="O830" t="str">
        <f t="shared" si="24"/>
        <v>Bad</v>
      </c>
      <c r="P830">
        <f t="shared" si="25"/>
        <v>471.31</v>
      </c>
      <c r="Q830">
        <v>45674</v>
      </c>
      <c r="R830">
        <f>YEAR(Table1[[#This Row],[Order_Date_New]])</f>
        <v>2025</v>
      </c>
      <c r="S830">
        <f>MONTH(Table1[[#This Row],[Order_Date_New]])</f>
        <v>1</v>
      </c>
      <c r="T830" t="str">
        <f>TEXT(Table1[[#This Row],[Order_Date_New]],"mmmm")</f>
        <v>January</v>
      </c>
      <c r="U830">
        <f>Table1[[#This Row],[Profit]]/Table1[[#This Row],[Sales]]</f>
        <v>0.33317773864335576</v>
      </c>
      <c r="V830" t="str">
        <f>IF(Table1[[#This Row],[Discount]]=0,"No Discount",IF(Table1[[#This Row],[Discount]]&lt;=0.1,"Low",IF(Table1[[#This Row],[Discount]]&lt;=0.2,"medium","high")))</f>
        <v>Low</v>
      </c>
    </row>
    <row r="831" spans="1:22" x14ac:dyDescent="0.3">
      <c r="A831" t="s">
        <v>1126</v>
      </c>
      <c r="B831" s="6">
        <v>45597</v>
      </c>
      <c r="C831" t="s">
        <v>396</v>
      </c>
      <c r="D831" t="s">
        <v>33</v>
      </c>
      <c r="E831" t="s">
        <v>34</v>
      </c>
      <c r="F831" t="s">
        <v>72</v>
      </c>
      <c r="G831" t="s">
        <v>88</v>
      </c>
      <c r="H831" t="s">
        <v>209</v>
      </c>
      <c r="I831">
        <v>4543.4399999999996</v>
      </c>
      <c r="J831">
        <v>4</v>
      </c>
      <c r="K831">
        <v>0.05</v>
      </c>
      <c r="L831">
        <v>1589.22</v>
      </c>
      <c r="M831" t="s">
        <v>133</v>
      </c>
      <c r="N831" t="s">
        <v>80</v>
      </c>
      <c r="O831" t="str">
        <f t="shared" si="24"/>
        <v>Bad</v>
      </c>
      <c r="P831">
        <f t="shared" si="25"/>
        <v>1135.8599999999999</v>
      </c>
      <c r="Q831">
        <v>45597</v>
      </c>
      <c r="R831">
        <f>YEAR(Table1[[#This Row],[Order_Date_New]])</f>
        <v>2024</v>
      </c>
      <c r="S831">
        <f>MONTH(Table1[[#This Row],[Order_Date_New]])</f>
        <v>11</v>
      </c>
      <c r="T831" t="str">
        <f>TEXT(Table1[[#This Row],[Order_Date_New]],"mmmm")</f>
        <v>November</v>
      </c>
      <c r="U831">
        <f>Table1[[#This Row],[Profit]]/Table1[[#This Row],[Sales]]</f>
        <v>0.3497834240135228</v>
      </c>
      <c r="V831" t="str">
        <f>IF(Table1[[#This Row],[Discount]]=0,"No Discount",IF(Table1[[#This Row],[Discount]]&lt;=0.1,"Low",IF(Table1[[#This Row],[Discount]]&lt;=0.2,"medium","high")))</f>
        <v>Low</v>
      </c>
    </row>
    <row r="832" spans="1:22" x14ac:dyDescent="0.3">
      <c r="A832" t="s">
        <v>1127</v>
      </c>
      <c r="B832" s="6">
        <v>45730</v>
      </c>
      <c r="C832" t="s">
        <v>175</v>
      </c>
      <c r="D832" t="s">
        <v>53</v>
      </c>
      <c r="E832" t="s">
        <v>87</v>
      </c>
      <c r="F832" t="s">
        <v>26</v>
      </c>
      <c r="G832" t="s">
        <v>41</v>
      </c>
      <c r="H832" t="s">
        <v>42</v>
      </c>
      <c r="I832">
        <v>9047.84</v>
      </c>
      <c r="J832">
        <v>8</v>
      </c>
      <c r="K832">
        <v>0.1</v>
      </c>
      <c r="L832">
        <v>823.72</v>
      </c>
      <c r="M832" t="s">
        <v>170</v>
      </c>
      <c r="N832" t="s">
        <v>30</v>
      </c>
      <c r="O832" t="str">
        <f t="shared" si="24"/>
        <v>Good</v>
      </c>
      <c r="P832">
        <f t="shared" si="25"/>
        <v>1130.98</v>
      </c>
      <c r="Q832">
        <v>45730</v>
      </c>
      <c r="R832">
        <f>YEAR(Table1[[#This Row],[Order_Date_New]])</f>
        <v>2025</v>
      </c>
      <c r="S832">
        <f>MONTH(Table1[[#This Row],[Order_Date_New]])</f>
        <v>3</v>
      </c>
      <c r="T832" t="str">
        <f>TEXT(Table1[[#This Row],[Order_Date_New]],"mmmm")</f>
        <v>March</v>
      </c>
      <c r="U832">
        <f>Table1[[#This Row],[Profit]]/Table1[[#This Row],[Sales]]</f>
        <v>9.1040513536932571E-2</v>
      </c>
      <c r="V832" t="str">
        <f>IF(Table1[[#This Row],[Discount]]=0,"No Discount",IF(Table1[[#This Row],[Discount]]&lt;=0.1,"Low",IF(Table1[[#This Row],[Discount]]&lt;=0.2,"medium","high")))</f>
        <v>Low</v>
      </c>
    </row>
    <row r="833" spans="1:22" x14ac:dyDescent="0.3">
      <c r="A833" t="s">
        <v>1128</v>
      </c>
      <c r="B833" s="6">
        <v>45390</v>
      </c>
      <c r="C833" t="s">
        <v>553</v>
      </c>
      <c r="D833" t="s">
        <v>53</v>
      </c>
      <c r="E833" t="s">
        <v>77</v>
      </c>
      <c r="F833" t="s">
        <v>26</v>
      </c>
      <c r="G833" t="s">
        <v>27</v>
      </c>
      <c r="H833" t="s">
        <v>271</v>
      </c>
      <c r="I833">
        <v>9136.7000000000007</v>
      </c>
      <c r="J833">
        <v>10</v>
      </c>
      <c r="K833">
        <v>0.3</v>
      </c>
      <c r="L833">
        <v>1296.01</v>
      </c>
      <c r="M833" t="s">
        <v>90</v>
      </c>
      <c r="N833" t="s">
        <v>80</v>
      </c>
      <c r="O833" t="str">
        <f t="shared" si="24"/>
        <v>Good</v>
      </c>
      <c r="P833">
        <f t="shared" si="25"/>
        <v>913.67000000000007</v>
      </c>
      <c r="Q833">
        <v>45390</v>
      </c>
      <c r="R833">
        <f>YEAR(Table1[[#This Row],[Order_Date_New]])</f>
        <v>2024</v>
      </c>
      <c r="S833">
        <f>MONTH(Table1[[#This Row],[Order_Date_New]])</f>
        <v>4</v>
      </c>
      <c r="T833" t="str">
        <f>TEXT(Table1[[#This Row],[Order_Date_New]],"mmmm")</f>
        <v>April</v>
      </c>
      <c r="U833">
        <f>Table1[[#This Row],[Profit]]/Table1[[#This Row],[Sales]]</f>
        <v>0.14184661858220143</v>
      </c>
      <c r="V833" t="str">
        <f>IF(Table1[[#This Row],[Discount]]=0,"No Discount",IF(Table1[[#This Row],[Discount]]&lt;=0.1,"Low",IF(Table1[[#This Row],[Discount]]&lt;=0.2,"medium","high")))</f>
        <v>high</v>
      </c>
    </row>
    <row r="834" spans="1:22" x14ac:dyDescent="0.3">
      <c r="A834" t="s">
        <v>1129</v>
      </c>
      <c r="B834" s="6">
        <v>45627</v>
      </c>
      <c r="C834" t="s">
        <v>391</v>
      </c>
      <c r="D834" t="s">
        <v>128</v>
      </c>
      <c r="E834" t="s">
        <v>129</v>
      </c>
      <c r="F834" t="s">
        <v>60</v>
      </c>
      <c r="G834" t="s">
        <v>78</v>
      </c>
      <c r="H834" t="s">
        <v>222</v>
      </c>
      <c r="I834">
        <v>751.04</v>
      </c>
      <c r="J834">
        <v>2</v>
      </c>
      <c r="K834">
        <v>0.1</v>
      </c>
      <c r="L834">
        <v>75.92</v>
      </c>
      <c r="M834" t="s">
        <v>90</v>
      </c>
      <c r="N834" t="s">
        <v>30</v>
      </c>
      <c r="O834" t="str">
        <f t="shared" ref="O834:O897" si="26">IF(AND(I834&gt;5000,J834&gt;7),"Good","Bad")</f>
        <v>Bad</v>
      </c>
      <c r="P834">
        <f t="shared" ref="P834:P897" si="27">I834/J834</f>
        <v>375.52</v>
      </c>
      <c r="Q834">
        <v>45627</v>
      </c>
      <c r="R834">
        <f>YEAR(Table1[[#This Row],[Order_Date_New]])</f>
        <v>2024</v>
      </c>
      <c r="S834">
        <f>MONTH(Table1[[#This Row],[Order_Date_New]])</f>
        <v>12</v>
      </c>
      <c r="T834" t="str">
        <f>TEXT(Table1[[#This Row],[Order_Date_New]],"mmmm")</f>
        <v>December</v>
      </c>
      <c r="U834">
        <f>Table1[[#This Row],[Profit]]/Table1[[#This Row],[Sales]]</f>
        <v>0.10108649339582447</v>
      </c>
      <c r="V834" t="str">
        <f>IF(Table1[[#This Row],[Discount]]=0,"No Discount",IF(Table1[[#This Row],[Discount]]&lt;=0.1,"Low",IF(Table1[[#This Row],[Discount]]&lt;=0.2,"medium","high")))</f>
        <v>Low</v>
      </c>
    </row>
    <row r="835" spans="1:22" x14ac:dyDescent="0.3">
      <c r="A835" t="s">
        <v>1130</v>
      </c>
      <c r="B835" s="6">
        <v>45846</v>
      </c>
      <c r="C835" t="s">
        <v>206</v>
      </c>
      <c r="D835" t="s">
        <v>33</v>
      </c>
      <c r="E835" t="s">
        <v>34</v>
      </c>
      <c r="F835" t="s">
        <v>26</v>
      </c>
      <c r="G835" t="s">
        <v>27</v>
      </c>
      <c r="H835" t="s">
        <v>28</v>
      </c>
      <c r="I835">
        <v>9198.1</v>
      </c>
      <c r="J835">
        <v>10</v>
      </c>
      <c r="K835">
        <v>0.25</v>
      </c>
      <c r="L835">
        <v>-1608.91</v>
      </c>
      <c r="M835" t="s">
        <v>90</v>
      </c>
      <c r="N835" t="s">
        <v>44</v>
      </c>
      <c r="O835" t="str">
        <f t="shared" si="26"/>
        <v>Good</v>
      </c>
      <c r="P835">
        <f t="shared" si="27"/>
        <v>919.81000000000006</v>
      </c>
      <c r="Q835">
        <v>45846</v>
      </c>
      <c r="R835">
        <f>YEAR(Table1[[#This Row],[Order_Date_New]])</f>
        <v>2025</v>
      </c>
      <c r="S835">
        <f>MONTH(Table1[[#This Row],[Order_Date_New]])</f>
        <v>7</v>
      </c>
      <c r="T835" t="str">
        <f>TEXT(Table1[[#This Row],[Order_Date_New]],"mmmm")</f>
        <v>July</v>
      </c>
      <c r="U835">
        <f>Table1[[#This Row],[Profit]]/Table1[[#This Row],[Sales]]</f>
        <v>-0.17491764603559432</v>
      </c>
      <c r="V835" t="str">
        <f>IF(Table1[[#This Row],[Discount]]=0,"No Discount",IF(Table1[[#This Row],[Discount]]&lt;=0.1,"Low",IF(Table1[[#This Row],[Discount]]&lt;=0.2,"medium","high")))</f>
        <v>high</v>
      </c>
    </row>
    <row r="836" spans="1:22" x14ac:dyDescent="0.3">
      <c r="A836" t="s">
        <v>1131</v>
      </c>
      <c r="B836" s="6">
        <v>45368</v>
      </c>
      <c r="C836" t="s">
        <v>647</v>
      </c>
      <c r="D836" t="s">
        <v>128</v>
      </c>
      <c r="E836" t="s">
        <v>202</v>
      </c>
      <c r="F836" t="s">
        <v>60</v>
      </c>
      <c r="G836" t="s">
        <v>61</v>
      </c>
      <c r="H836" t="s">
        <v>67</v>
      </c>
      <c r="I836">
        <v>687.59</v>
      </c>
      <c r="J836">
        <v>1</v>
      </c>
      <c r="K836">
        <v>0.15</v>
      </c>
      <c r="L836">
        <v>62.21</v>
      </c>
      <c r="M836" t="s">
        <v>113</v>
      </c>
      <c r="N836" t="s">
        <v>38</v>
      </c>
      <c r="O836" t="str">
        <f t="shared" si="26"/>
        <v>Bad</v>
      </c>
      <c r="P836">
        <f t="shared" si="27"/>
        <v>687.59</v>
      </c>
      <c r="Q836">
        <v>45368</v>
      </c>
      <c r="R836">
        <f>YEAR(Table1[[#This Row],[Order_Date_New]])</f>
        <v>2024</v>
      </c>
      <c r="S836">
        <f>MONTH(Table1[[#This Row],[Order_Date_New]])</f>
        <v>3</v>
      </c>
      <c r="T836" t="str">
        <f>TEXT(Table1[[#This Row],[Order_Date_New]],"mmmm")</f>
        <v>March</v>
      </c>
      <c r="U836">
        <f>Table1[[#This Row],[Profit]]/Table1[[#This Row],[Sales]]</f>
        <v>9.0475428671155766E-2</v>
      </c>
      <c r="V836" t="str">
        <f>IF(Table1[[#This Row],[Discount]]=0,"No Discount",IF(Table1[[#This Row],[Discount]]&lt;=0.1,"Low",IF(Table1[[#This Row],[Discount]]&lt;=0.2,"medium","high")))</f>
        <v>medium</v>
      </c>
    </row>
    <row r="837" spans="1:22" x14ac:dyDescent="0.3">
      <c r="A837" t="s">
        <v>1132</v>
      </c>
      <c r="B837" s="6">
        <v>45458</v>
      </c>
      <c r="C837" t="s">
        <v>729</v>
      </c>
      <c r="D837" t="s">
        <v>24</v>
      </c>
      <c r="E837" t="s">
        <v>59</v>
      </c>
      <c r="F837" t="s">
        <v>26</v>
      </c>
      <c r="G837" t="s">
        <v>27</v>
      </c>
      <c r="H837" t="s">
        <v>28</v>
      </c>
      <c r="I837">
        <v>10420.6</v>
      </c>
      <c r="J837">
        <v>10</v>
      </c>
      <c r="K837">
        <v>0</v>
      </c>
      <c r="L837">
        <v>3804</v>
      </c>
      <c r="M837" t="s">
        <v>29</v>
      </c>
      <c r="N837" t="s">
        <v>44</v>
      </c>
      <c r="O837" t="str">
        <f t="shared" si="26"/>
        <v>Good</v>
      </c>
      <c r="P837">
        <f t="shared" si="27"/>
        <v>1042.06</v>
      </c>
      <c r="Q837">
        <v>45458</v>
      </c>
      <c r="R837">
        <f>YEAR(Table1[[#This Row],[Order_Date_New]])</f>
        <v>2024</v>
      </c>
      <c r="S837">
        <f>MONTH(Table1[[#This Row],[Order_Date_New]])</f>
        <v>6</v>
      </c>
      <c r="T837" t="str">
        <f>TEXT(Table1[[#This Row],[Order_Date_New]],"mmmm")</f>
        <v>June</v>
      </c>
      <c r="U837">
        <f>Table1[[#This Row],[Profit]]/Table1[[#This Row],[Sales]]</f>
        <v>0.36504615857052375</v>
      </c>
      <c r="V837" t="str">
        <f>IF(Table1[[#This Row],[Discount]]=0,"No Discount",IF(Table1[[#This Row],[Discount]]&lt;=0.1,"Low",IF(Table1[[#This Row],[Discount]]&lt;=0.2,"medium","high")))</f>
        <v>No Discount</v>
      </c>
    </row>
    <row r="838" spans="1:22" x14ac:dyDescent="0.3">
      <c r="A838" t="s">
        <v>1133</v>
      </c>
      <c r="B838" s="6">
        <v>45546</v>
      </c>
      <c r="C838" t="s">
        <v>599</v>
      </c>
      <c r="D838" t="s">
        <v>128</v>
      </c>
      <c r="E838" t="s">
        <v>202</v>
      </c>
      <c r="F838" t="s">
        <v>60</v>
      </c>
      <c r="G838" t="s">
        <v>98</v>
      </c>
      <c r="H838" t="s">
        <v>141</v>
      </c>
      <c r="I838">
        <v>4477.92</v>
      </c>
      <c r="J838">
        <v>4</v>
      </c>
      <c r="K838">
        <v>0.3</v>
      </c>
      <c r="L838">
        <v>-157.31</v>
      </c>
      <c r="M838" t="s">
        <v>43</v>
      </c>
      <c r="N838" t="s">
        <v>80</v>
      </c>
      <c r="O838" t="str">
        <f t="shared" si="26"/>
        <v>Bad</v>
      </c>
      <c r="P838">
        <f t="shared" si="27"/>
        <v>1119.48</v>
      </c>
      <c r="Q838">
        <v>45546</v>
      </c>
      <c r="R838">
        <f>YEAR(Table1[[#This Row],[Order_Date_New]])</f>
        <v>2024</v>
      </c>
      <c r="S838">
        <f>MONTH(Table1[[#This Row],[Order_Date_New]])</f>
        <v>9</v>
      </c>
      <c r="T838" t="str">
        <f>TEXT(Table1[[#This Row],[Order_Date_New]],"mmmm")</f>
        <v>September</v>
      </c>
      <c r="U838">
        <f>Table1[[#This Row],[Profit]]/Table1[[#This Row],[Sales]]</f>
        <v>-3.5130149712366457E-2</v>
      </c>
      <c r="V838" t="str">
        <f>IF(Table1[[#This Row],[Discount]]=0,"No Discount",IF(Table1[[#This Row],[Discount]]&lt;=0.1,"Low",IF(Table1[[#This Row],[Discount]]&lt;=0.2,"medium","high")))</f>
        <v>high</v>
      </c>
    </row>
    <row r="839" spans="1:22" x14ac:dyDescent="0.3">
      <c r="A839" t="s">
        <v>1134</v>
      </c>
      <c r="B839" s="6">
        <v>45662</v>
      </c>
      <c r="C839" t="s">
        <v>52</v>
      </c>
      <c r="D839" t="s">
        <v>128</v>
      </c>
      <c r="E839" t="s">
        <v>129</v>
      </c>
      <c r="F839" t="s">
        <v>72</v>
      </c>
      <c r="G839" t="s">
        <v>88</v>
      </c>
      <c r="H839" t="s">
        <v>119</v>
      </c>
      <c r="I839">
        <v>1707.72</v>
      </c>
      <c r="J839">
        <v>7</v>
      </c>
      <c r="K839">
        <v>0.3</v>
      </c>
      <c r="L839">
        <v>-98.61</v>
      </c>
      <c r="M839" t="s">
        <v>37</v>
      </c>
      <c r="N839" t="s">
        <v>44</v>
      </c>
      <c r="O839" t="str">
        <f t="shared" si="26"/>
        <v>Bad</v>
      </c>
      <c r="P839">
        <f t="shared" si="27"/>
        <v>243.96</v>
      </c>
      <c r="Q839">
        <v>45662</v>
      </c>
      <c r="R839">
        <f>YEAR(Table1[[#This Row],[Order_Date_New]])</f>
        <v>2025</v>
      </c>
      <c r="S839">
        <f>MONTH(Table1[[#This Row],[Order_Date_New]])</f>
        <v>1</v>
      </c>
      <c r="T839" t="str">
        <f>TEXT(Table1[[#This Row],[Order_Date_New]],"mmmm")</f>
        <v>January</v>
      </c>
      <c r="U839">
        <f>Table1[[#This Row],[Profit]]/Table1[[#This Row],[Sales]]</f>
        <v>-5.7743658210947929E-2</v>
      </c>
      <c r="V839" t="str">
        <f>IF(Table1[[#This Row],[Discount]]=0,"No Discount",IF(Table1[[#This Row],[Discount]]&lt;=0.1,"Low",IF(Table1[[#This Row],[Discount]]&lt;=0.2,"medium","high")))</f>
        <v>high</v>
      </c>
    </row>
    <row r="840" spans="1:22" x14ac:dyDescent="0.3">
      <c r="A840" t="s">
        <v>1135</v>
      </c>
      <c r="B840" s="6">
        <v>45460</v>
      </c>
      <c r="C840" t="s">
        <v>698</v>
      </c>
      <c r="D840" t="s">
        <v>24</v>
      </c>
      <c r="E840" t="s">
        <v>59</v>
      </c>
      <c r="F840" t="s">
        <v>26</v>
      </c>
      <c r="G840" t="s">
        <v>41</v>
      </c>
      <c r="H840" t="s">
        <v>42</v>
      </c>
      <c r="I840">
        <v>654.24</v>
      </c>
      <c r="J840">
        <v>8</v>
      </c>
      <c r="K840">
        <v>0.2</v>
      </c>
      <c r="L840">
        <v>71.89</v>
      </c>
      <c r="M840" t="s">
        <v>113</v>
      </c>
      <c r="N840" t="s">
        <v>38</v>
      </c>
      <c r="O840" t="str">
        <f t="shared" si="26"/>
        <v>Bad</v>
      </c>
      <c r="P840">
        <f t="shared" si="27"/>
        <v>81.78</v>
      </c>
      <c r="Q840">
        <v>45460</v>
      </c>
      <c r="R840">
        <f>YEAR(Table1[[#This Row],[Order_Date_New]])</f>
        <v>2024</v>
      </c>
      <c r="S840">
        <f>MONTH(Table1[[#This Row],[Order_Date_New]])</f>
        <v>6</v>
      </c>
      <c r="T840" t="str">
        <f>TEXT(Table1[[#This Row],[Order_Date_New]],"mmmm")</f>
        <v>June</v>
      </c>
      <c r="U840">
        <f>Table1[[#This Row],[Profit]]/Table1[[#This Row],[Sales]]</f>
        <v>0.10988322328197603</v>
      </c>
      <c r="V840" t="str">
        <f>IF(Table1[[#This Row],[Discount]]=0,"No Discount",IF(Table1[[#This Row],[Discount]]&lt;=0.1,"Low",IF(Table1[[#This Row],[Discount]]&lt;=0.2,"medium","high")))</f>
        <v>medium</v>
      </c>
    </row>
    <row r="841" spans="1:22" x14ac:dyDescent="0.3">
      <c r="A841" t="s">
        <v>1136</v>
      </c>
      <c r="B841" s="6">
        <v>45988</v>
      </c>
      <c r="C841" t="s">
        <v>398</v>
      </c>
      <c r="D841" t="s">
        <v>128</v>
      </c>
      <c r="E841" t="s">
        <v>129</v>
      </c>
      <c r="F841" t="s">
        <v>60</v>
      </c>
      <c r="G841" t="s">
        <v>61</v>
      </c>
      <c r="H841" t="s">
        <v>62</v>
      </c>
      <c r="I841">
        <v>1773.24</v>
      </c>
      <c r="J841">
        <v>7</v>
      </c>
      <c r="K841">
        <v>0.2</v>
      </c>
      <c r="L841">
        <v>323.05</v>
      </c>
      <c r="M841" t="s">
        <v>49</v>
      </c>
      <c r="N841" t="s">
        <v>30</v>
      </c>
      <c r="O841" t="str">
        <f t="shared" si="26"/>
        <v>Bad</v>
      </c>
      <c r="P841">
        <f t="shared" si="27"/>
        <v>253.32</v>
      </c>
      <c r="Q841">
        <v>45988</v>
      </c>
      <c r="R841">
        <f>YEAR(Table1[[#This Row],[Order_Date_New]])</f>
        <v>2025</v>
      </c>
      <c r="S841">
        <f>MONTH(Table1[[#This Row],[Order_Date_New]])</f>
        <v>11</v>
      </c>
      <c r="T841" t="str">
        <f>TEXT(Table1[[#This Row],[Order_Date_New]],"mmmm")</f>
        <v>November</v>
      </c>
      <c r="U841">
        <f>Table1[[#This Row],[Profit]]/Table1[[#This Row],[Sales]]</f>
        <v>0.18218064108637297</v>
      </c>
      <c r="V841" t="str">
        <f>IF(Table1[[#This Row],[Discount]]=0,"No Discount",IF(Table1[[#This Row],[Discount]]&lt;=0.1,"Low",IF(Table1[[#This Row],[Discount]]&lt;=0.2,"medium","high")))</f>
        <v>medium</v>
      </c>
    </row>
    <row r="842" spans="1:22" x14ac:dyDescent="0.3">
      <c r="A842" t="s">
        <v>1137</v>
      </c>
      <c r="B842" s="6">
        <v>45369</v>
      </c>
      <c r="C842" t="s">
        <v>253</v>
      </c>
      <c r="D842" t="s">
        <v>33</v>
      </c>
      <c r="E842" t="s">
        <v>34</v>
      </c>
      <c r="F842" t="s">
        <v>72</v>
      </c>
      <c r="G842" t="s">
        <v>88</v>
      </c>
      <c r="H842" t="s">
        <v>209</v>
      </c>
      <c r="I842">
        <v>3331.71</v>
      </c>
      <c r="J842">
        <v>9</v>
      </c>
      <c r="K842">
        <v>0.25</v>
      </c>
      <c r="L842">
        <v>22.04</v>
      </c>
      <c r="M842" t="s">
        <v>37</v>
      </c>
      <c r="N842" t="s">
        <v>80</v>
      </c>
      <c r="O842" t="str">
        <f t="shared" si="26"/>
        <v>Bad</v>
      </c>
      <c r="P842">
        <f t="shared" si="27"/>
        <v>370.19</v>
      </c>
      <c r="Q842">
        <v>45369</v>
      </c>
      <c r="R842">
        <f>YEAR(Table1[[#This Row],[Order_Date_New]])</f>
        <v>2024</v>
      </c>
      <c r="S842">
        <f>MONTH(Table1[[#This Row],[Order_Date_New]])</f>
        <v>3</v>
      </c>
      <c r="T842" t="str">
        <f>TEXT(Table1[[#This Row],[Order_Date_New]],"mmmm")</f>
        <v>March</v>
      </c>
      <c r="U842">
        <f>Table1[[#This Row],[Profit]]/Table1[[#This Row],[Sales]]</f>
        <v>6.6152216129254943E-3</v>
      </c>
      <c r="V842" t="str">
        <f>IF(Table1[[#This Row],[Discount]]=0,"No Discount",IF(Table1[[#This Row],[Discount]]&lt;=0.1,"Low",IF(Table1[[#This Row],[Discount]]&lt;=0.2,"medium","high")))</f>
        <v>high</v>
      </c>
    </row>
    <row r="843" spans="1:22" x14ac:dyDescent="0.3">
      <c r="A843" t="s">
        <v>1138</v>
      </c>
      <c r="B843" s="6">
        <v>45389</v>
      </c>
      <c r="C843" t="s">
        <v>296</v>
      </c>
      <c r="D843" t="s">
        <v>24</v>
      </c>
      <c r="E843" t="s">
        <v>25</v>
      </c>
      <c r="F843" t="s">
        <v>72</v>
      </c>
      <c r="G843" t="s">
        <v>111</v>
      </c>
      <c r="H843" t="s">
        <v>112</v>
      </c>
      <c r="I843">
        <v>7307</v>
      </c>
      <c r="J843">
        <v>10</v>
      </c>
      <c r="K843">
        <v>0.05</v>
      </c>
      <c r="L843">
        <v>1901.19</v>
      </c>
      <c r="M843" t="s">
        <v>43</v>
      </c>
      <c r="N843" t="s">
        <v>30</v>
      </c>
      <c r="O843" t="str">
        <f t="shared" si="26"/>
        <v>Good</v>
      </c>
      <c r="P843">
        <f t="shared" si="27"/>
        <v>730.7</v>
      </c>
      <c r="Q843">
        <v>45389</v>
      </c>
      <c r="R843">
        <f>YEAR(Table1[[#This Row],[Order_Date_New]])</f>
        <v>2024</v>
      </c>
      <c r="S843">
        <f>MONTH(Table1[[#This Row],[Order_Date_New]])</f>
        <v>4</v>
      </c>
      <c r="T843" t="str">
        <f>TEXT(Table1[[#This Row],[Order_Date_New]],"mmmm")</f>
        <v>April</v>
      </c>
      <c r="U843">
        <f>Table1[[#This Row],[Profit]]/Table1[[#This Row],[Sales]]</f>
        <v>0.26018749144655812</v>
      </c>
      <c r="V843" t="str">
        <f>IF(Table1[[#This Row],[Discount]]=0,"No Discount",IF(Table1[[#This Row],[Discount]]&lt;=0.1,"Low",IF(Table1[[#This Row],[Discount]]&lt;=0.2,"medium","high")))</f>
        <v>Low</v>
      </c>
    </row>
    <row r="844" spans="1:22" x14ac:dyDescent="0.3">
      <c r="A844" t="s">
        <v>1139</v>
      </c>
      <c r="B844" s="6">
        <v>45479</v>
      </c>
      <c r="C844" t="s">
        <v>470</v>
      </c>
      <c r="D844" t="s">
        <v>128</v>
      </c>
      <c r="E844" t="s">
        <v>202</v>
      </c>
      <c r="F844" t="s">
        <v>60</v>
      </c>
      <c r="G844" t="s">
        <v>98</v>
      </c>
      <c r="H844" t="s">
        <v>138</v>
      </c>
      <c r="I844">
        <v>7940.61</v>
      </c>
      <c r="J844">
        <v>9</v>
      </c>
      <c r="K844">
        <v>0.15</v>
      </c>
      <c r="L844">
        <v>-12.86</v>
      </c>
      <c r="M844" t="s">
        <v>133</v>
      </c>
      <c r="N844" t="s">
        <v>80</v>
      </c>
      <c r="O844" t="str">
        <f t="shared" si="26"/>
        <v>Good</v>
      </c>
      <c r="P844">
        <f t="shared" si="27"/>
        <v>882.29</v>
      </c>
      <c r="Q844">
        <v>45479</v>
      </c>
      <c r="R844">
        <f>YEAR(Table1[[#This Row],[Order_Date_New]])</f>
        <v>2024</v>
      </c>
      <c r="S844">
        <f>MONTH(Table1[[#This Row],[Order_Date_New]])</f>
        <v>7</v>
      </c>
      <c r="T844" t="str">
        <f>TEXT(Table1[[#This Row],[Order_Date_New]],"mmmm")</f>
        <v>July</v>
      </c>
      <c r="U844">
        <f>Table1[[#This Row],[Profit]]/Table1[[#This Row],[Sales]]</f>
        <v>-1.619522933376655E-3</v>
      </c>
      <c r="V844" t="str">
        <f>IF(Table1[[#This Row],[Discount]]=0,"No Discount",IF(Table1[[#This Row],[Discount]]&lt;=0.1,"Low",IF(Table1[[#This Row],[Discount]]&lt;=0.2,"medium","high")))</f>
        <v>medium</v>
      </c>
    </row>
    <row r="845" spans="1:22" x14ac:dyDescent="0.3">
      <c r="A845" t="s">
        <v>1140</v>
      </c>
      <c r="B845" s="6">
        <v>45868</v>
      </c>
      <c r="C845" t="s">
        <v>572</v>
      </c>
      <c r="D845" t="s">
        <v>24</v>
      </c>
      <c r="E845" t="s">
        <v>59</v>
      </c>
      <c r="F845" t="s">
        <v>60</v>
      </c>
      <c r="G845" t="s">
        <v>61</v>
      </c>
      <c r="H845" t="s">
        <v>122</v>
      </c>
      <c r="I845">
        <v>3759.35</v>
      </c>
      <c r="J845">
        <v>7</v>
      </c>
      <c r="K845">
        <v>0.05</v>
      </c>
      <c r="L845">
        <v>994.65</v>
      </c>
      <c r="M845" t="s">
        <v>133</v>
      </c>
      <c r="N845" t="s">
        <v>38</v>
      </c>
      <c r="O845" t="str">
        <f t="shared" si="26"/>
        <v>Bad</v>
      </c>
      <c r="P845">
        <f t="shared" si="27"/>
        <v>537.04999999999995</v>
      </c>
      <c r="Q845">
        <v>45868</v>
      </c>
      <c r="R845">
        <f>YEAR(Table1[[#This Row],[Order_Date_New]])</f>
        <v>2025</v>
      </c>
      <c r="S845">
        <f>MONTH(Table1[[#This Row],[Order_Date_New]])</f>
        <v>7</v>
      </c>
      <c r="T845" t="str">
        <f>TEXT(Table1[[#This Row],[Order_Date_New]],"mmmm")</f>
        <v>July</v>
      </c>
      <c r="U845">
        <f>Table1[[#This Row],[Profit]]/Table1[[#This Row],[Sales]]</f>
        <v>0.2645803130860388</v>
      </c>
      <c r="V845" t="str">
        <f>IF(Table1[[#This Row],[Discount]]=0,"No Discount",IF(Table1[[#This Row],[Discount]]&lt;=0.1,"Low",IF(Table1[[#This Row],[Discount]]&lt;=0.2,"medium","high")))</f>
        <v>Low</v>
      </c>
    </row>
    <row r="846" spans="1:22" x14ac:dyDescent="0.3">
      <c r="A846" t="s">
        <v>1141</v>
      </c>
      <c r="B846" s="6">
        <v>45558</v>
      </c>
      <c r="C846" t="s">
        <v>219</v>
      </c>
      <c r="D846" t="s">
        <v>53</v>
      </c>
      <c r="E846" t="s">
        <v>107</v>
      </c>
      <c r="F846" t="s">
        <v>72</v>
      </c>
      <c r="G846" t="s">
        <v>88</v>
      </c>
      <c r="H846" t="s">
        <v>89</v>
      </c>
      <c r="I846">
        <v>944.52</v>
      </c>
      <c r="J846">
        <v>2</v>
      </c>
      <c r="K846">
        <v>0.05</v>
      </c>
      <c r="L846">
        <v>199.34</v>
      </c>
      <c r="M846" t="s">
        <v>170</v>
      </c>
      <c r="N846" t="s">
        <v>30</v>
      </c>
      <c r="O846" t="str">
        <f t="shared" si="26"/>
        <v>Bad</v>
      </c>
      <c r="P846">
        <f t="shared" si="27"/>
        <v>472.26</v>
      </c>
      <c r="Q846">
        <v>45558</v>
      </c>
      <c r="R846">
        <f>YEAR(Table1[[#This Row],[Order_Date_New]])</f>
        <v>2024</v>
      </c>
      <c r="S846">
        <f>MONTH(Table1[[#This Row],[Order_Date_New]])</f>
        <v>9</v>
      </c>
      <c r="T846" t="str">
        <f>TEXT(Table1[[#This Row],[Order_Date_New]],"mmmm")</f>
        <v>September</v>
      </c>
      <c r="U846">
        <f>Table1[[#This Row],[Profit]]/Table1[[#This Row],[Sales]]</f>
        <v>0.21104899843306654</v>
      </c>
      <c r="V846" t="str">
        <f>IF(Table1[[#This Row],[Discount]]=0,"No Discount",IF(Table1[[#This Row],[Discount]]&lt;=0.1,"Low",IF(Table1[[#This Row],[Discount]]&lt;=0.2,"medium","high")))</f>
        <v>Low</v>
      </c>
    </row>
    <row r="847" spans="1:22" x14ac:dyDescent="0.3">
      <c r="A847" t="s">
        <v>1142</v>
      </c>
      <c r="B847" s="6">
        <v>45421</v>
      </c>
      <c r="C847" t="s">
        <v>401</v>
      </c>
      <c r="D847" t="s">
        <v>24</v>
      </c>
      <c r="E847" t="s">
        <v>59</v>
      </c>
      <c r="F847" t="s">
        <v>26</v>
      </c>
      <c r="G847" t="s">
        <v>35</v>
      </c>
      <c r="H847" t="s">
        <v>173</v>
      </c>
      <c r="I847">
        <v>1241.8399999999999</v>
      </c>
      <c r="J847">
        <v>8</v>
      </c>
      <c r="K847">
        <v>0</v>
      </c>
      <c r="L847">
        <v>353.57</v>
      </c>
      <c r="M847" t="s">
        <v>90</v>
      </c>
      <c r="N847" t="s">
        <v>44</v>
      </c>
      <c r="O847" t="str">
        <f t="shared" si="26"/>
        <v>Bad</v>
      </c>
      <c r="P847">
        <f t="shared" si="27"/>
        <v>155.22999999999999</v>
      </c>
      <c r="Q847">
        <v>45421</v>
      </c>
      <c r="R847">
        <f>YEAR(Table1[[#This Row],[Order_Date_New]])</f>
        <v>2024</v>
      </c>
      <c r="S847">
        <f>MONTH(Table1[[#This Row],[Order_Date_New]])</f>
        <v>5</v>
      </c>
      <c r="T847" t="str">
        <f>TEXT(Table1[[#This Row],[Order_Date_New]],"mmmm")</f>
        <v>May</v>
      </c>
      <c r="U847">
        <f>Table1[[#This Row],[Profit]]/Table1[[#This Row],[Sales]]</f>
        <v>0.28471461701990597</v>
      </c>
      <c r="V847" t="str">
        <f>IF(Table1[[#This Row],[Discount]]=0,"No Discount",IF(Table1[[#This Row],[Discount]]&lt;=0.1,"Low",IF(Table1[[#This Row],[Discount]]&lt;=0.2,"medium","high")))</f>
        <v>No Discount</v>
      </c>
    </row>
    <row r="848" spans="1:22" x14ac:dyDescent="0.3">
      <c r="A848" t="s">
        <v>1143</v>
      </c>
      <c r="B848" s="6">
        <v>45509</v>
      </c>
      <c r="C848" t="s">
        <v>361</v>
      </c>
      <c r="D848" t="s">
        <v>33</v>
      </c>
      <c r="E848" t="s">
        <v>66</v>
      </c>
      <c r="F848" t="s">
        <v>26</v>
      </c>
      <c r="G848" t="s">
        <v>35</v>
      </c>
      <c r="H848" t="s">
        <v>55</v>
      </c>
      <c r="I848">
        <v>1029.92</v>
      </c>
      <c r="J848">
        <v>4</v>
      </c>
      <c r="K848">
        <v>0.25</v>
      </c>
      <c r="L848">
        <v>78.48</v>
      </c>
      <c r="M848" t="s">
        <v>37</v>
      </c>
      <c r="N848" t="s">
        <v>30</v>
      </c>
      <c r="O848" t="str">
        <f t="shared" si="26"/>
        <v>Bad</v>
      </c>
      <c r="P848">
        <f t="shared" si="27"/>
        <v>257.48</v>
      </c>
      <c r="Q848">
        <v>45509</v>
      </c>
      <c r="R848">
        <f>YEAR(Table1[[#This Row],[Order_Date_New]])</f>
        <v>2024</v>
      </c>
      <c r="S848">
        <f>MONTH(Table1[[#This Row],[Order_Date_New]])</f>
        <v>8</v>
      </c>
      <c r="T848" t="str">
        <f>TEXT(Table1[[#This Row],[Order_Date_New]],"mmmm")</f>
        <v>August</v>
      </c>
      <c r="U848">
        <f>Table1[[#This Row],[Profit]]/Table1[[#This Row],[Sales]]</f>
        <v>7.6200093211123199E-2</v>
      </c>
      <c r="V848" t="str">
        <f>IF(Table1[[#This Row],[Discount]]=0,"No Discount",IF(Table1[[#This Row],[Discount]]&lt;=0.1,"Low",IF(Table1[[#This Row],[Discount]]&lt;=0.2,"medium","high")))</f>
        <v>high</v>
      </c>
    </row>
    <row r="849" spans="1:22" x14ac:dyDescent="0.3">
      <c r="A849" t="s">
        <v>1144</v>
      </c>
      <c r="B849" s="6">
        <v>45321</v>
      </c>
      <c r="C849" t="s">
        <v>334</v>
      </c>
      <c r="D849" t="s">
        <v>24</v>
      </c>
      <c r="E849" t="s">
        <v>59</v>
      </c>
      <c r="F849" t="s">
        <v>26</v>
      </c>
      <c r="G849" t="s">
        <v>41</v>
      </c>
      <c r="H849" t="s">
        <v>189</v>
      </c>
      <c r="I849">
        <v>8183.9</v>
      </c>
      <c r="J849">
        <v>10</v>
      </c>
      <c r="K849">
        <v>0.2</v>
      </c>
      <c r="L849">
        <v>813.93</v>
      </c>
      <c r="M849" t="s">
        <v>49</v>
      </c>
      <c r="N849" t="s">
        <v>80</v>
      </c>
      <c r="O849" t="str">
        <f t="shared" si="26"/>
        <v>Good</v>
      </c>
      <c r="P849">
        <f t="shared" si="27"/>
        <v>818.39</v>
      </c>
      <c r="Q849">
        <v>45321</v>
      </c>
      <c r="R849">
        <f>YEAR(Table1[[#This Row],[Order_Date_New]])</f>
        <v>2024</v>
      </c>
      <c r="S849">
        <f>MONTH(Table1[[#This Row],[Order_Date_New]])</f>
        <v>1</v>
      </c>
      <c r="T849" t="str">
        <f>TEXT(Table1[[#This Row],[Order_Date_New]],"mmmm")</f>
        <v>January</v>
      </c>
      <c r="U849">
        <f>Table1[[#This Row],[Profit]]/Table1[[#This Row],[Sales]]</f>
        <v>9.9455027554100128E-2</v>
      </c>
      <c r="V849" t="str">
        <f>IF(Table1[[#This Row],[Discount]]=0,"No Discount",IF(Table1[[#This Row],[Discount]]&lt;=0.1,"Low",IF(Table1[[#This Row],[Discount]]&lt;=0.2,"medium","high")))</f>
        <v>medium</v>
      </c>
    </row>
    <row r="850" spans="1:22" x14ac:dyDescent="0.3">
      <c r="A850" t="s">
        <v>1145</v>
      </c>
      <c r="B850" s="6">
        <v>45313</v>
      </c>
      <c r="C850" t="s">
        <v>237</v>
      </c>
      <c r="D850" t="s">
        <v>128</v>
      </c>
      <c r="E850" t="s">
        <v>202</v>
      </c>
      <c r="F850" t="s">
        <v>60</v>
      </c>
      <c r="G850" t="s">
        <v>61</v>
      </c>
      <c r="H850" t="s">
        <v>67</v>
      </c>
      <c r="I850">
        <v>197.6</v>
      </c>
      <c r="J850">
        <v>5</v>
      </c>
      <c r="K850">
        <v>0.15</v>
      </c>
      <c r="L850">
        <v>13.35</v>
      </c>
      <c r="M850" t="s">
        <v>90</v>
      </c>
      <c r="N850" t="s">
        <v>80</v>
      </c>
      <c r="O850" t="str">
        <f t="shared" si="26"/>
        <v>Bad</v>
      </c>
      <c r="P850">
        <f t="shared" si="27"/>
        <v>39.519999999999996</v>
      </c>
      <c r="Q850">
        <v>45313</v>
      </c>
      <c r="R850">
        <f>YEAR(Table1[[#This Row],[Order_Date_New]])</f>
        <v>2024</v>
      </c>
      <c r="S850">
        <f>MONTH(Table1[[#This Row],[Order_Date_New]])</f>
        <v>1</v>
      </c>
      <c r="T850" t="str">
        <f>TEXT(Table1[[#This Row],[Order_Date_New]],"mmmm")</f>
        <v>January</v>
      </c>
      <c r="U850">
        <f>Table1[[#This Row],[Profit]]/Table1[[#This Row],[Sales]]</f>
        <v>6.7560728744939277E-2</v>
      </c>
      <c r="V850" t="str">
        <f>IF(Table1[[#This Row],[Discount]]=0,"No Discount",IF(Table1[[#This Row],[Discount]]&lt;=0.1,"Low",IF(Table1[[#This Row],[Discount]]&lt;=0.2,"medium","high")))</f>
        <v>medium</v>
      </c>
    </row>
    <row r="851" spans="1:22" x14ac:dyDescent="0.3">
      <c r="A851" t="s">
        <v>1146</v>
      </c>
      <c r="B851" s="6">
        <v>45677</v>
      </c>
      <c r="C851" t="s">
        <v>365</v>
      </c>
      <c r="D851" t="s">
        <v>128</v>
      </c>
      <c r="E851" t="s">
        <v>132</v>
      </c>
      <c r="F851" t="s">
        <v>60</v>
      </c>
      <c r="G851" t="s">
        <v>61</v>
      </c>
      <c r="H851" t="s">
        <v>62</v>
      </c>
      <c r="I851">
        <v>7506.2</v>
      </c>
      <c r="J851">
        <v>10</v>
      </c>
      <c r="K851">
        <v>0.05</v>
      </c>
      <c r="L851">
        <v>2725.17</v>
      </c>
      <c r="M851" t="s">
        <v>170</v>
      </c>
      <c r="N851" t="s">
        <v>44</v>
      </c>
      <c r="O851" t="str">
        <f t="shared" si="26"/>
        <v>Good</v>
      </c>
      <c r="P851">
        <f t="shared" si="27"/>
        <v>750.62</v>
      </c>
      <c r="Q851">
        <v>45677</v>
      </c>
      <c r="R851">
        <f>YEAR(Table1[[#This Row],[Order_Date_New]])</f>
        <v>2025</v>
      </c>
      <c r="S851">
        <f>MONTH(Table1[[#This Row],[Order_Date_New]])</f>
        <v>1</v>
      </c>
      <c r="T851" t="str">
        <f>TEXT(Table1[[#This Row],[Order_Date_New]],"mmmm")</f>
        <v>January</v>
      </c>
      <c r="U851">
        <f>Table1[[#This Row],[Profit]]/Table1[[#This Row],[Sales]]</f>
        <v>0.36305587381098292</v>
      </c>
      <c r="V851" t="str">
        <f>IF(Table1[[#This Row],[Discount]]=0,"No Discount",IF(Table1[[#This Row],[Discount]]&lt;=0.1,"Low",IF(Table1[[#This Row],[Discount]]&lt;=0.2,"medium","high")))</f>
        <v>Low</v>
      </c>
    </row>
    <row r="852" spans="1:22" x14ac:dyDescent="0.3">
      <c r="A852" t="s">
        <v>1147</v>
      </c>
      <c r="B852" s="6">
        <v>45436</v>
      </c>
      <c r="C852" t="s">
        <v>208</v>
      </c>
      <c r="D852" t="s">
        <v>128</v>
      </c>
      <c r="E852" t="s">
        <v>129</v>
      </c>
      <c r="F852" t="s">
        <v>72</v>
      </c>
      <c r="G852" t="s">
        <v>88</v>
      </c>
      <c r="H852" t="s">
        <v>119</v>
      </c>
      <c r="I852">
        <v>3743.2</v>
      </c>
      <c r="J852">
        <v>8</v>
      </c>
      <c r="K852">
        <v>0</v>
      </c>
      <c r="L852">
        <v>309.26</v>
      </c>
      <c r="M852" t="s">
        <v>37</v>
      </c>
      <c r="N852" t="s">
        <v>80</v>
      </c>
      <c r="O852" t="str">
        <f t="shared" si="26"/>
        <v>Bad</v>
      </c>
      <c r="P852">
        <f t="shared" si="27"/>
        <v>467.9</v>
      </c>
      <c r="Q852">
        <v>45436</v>
      </c>
      <c r="R852">
        <f>YEAR(Table1[[#This Row],[Order_Date_New]])</f>
        <v>2024</v>
      </c>
      <c r="S852">
        <f>MONTH(Table1[[#This Row],[Order_Date_New]])</f>
        <v>5</v>
      </c>
      <c r="T852" t="str">
        <f>TEXT(Table1[[#This Row],[Order_Date_New]],"mmmm")</f>
        <v>May</v>
      </c>
      <c r="U852">
        <f>Table1[[#This Row],[Profit]]/Table1[[#This Row],[Sales]]</f>
        <v>8.2619149390895485E-2</v>
      </c>
      <c r="V852" t="str">
        <f>IF(Table1[[#This Row],[Discount]]=0,"No Discount",IF(Table1[[#This Row],[Discount]]&lt;=0.1,"Low",IF(Table1[[#This Row],[Discount]]&lt;=0.2,"medium","high")))</f>
        <v>No Discount</v>
      </c>
    </row>
    <row r="853" spans="1:22" x14ac:dyDescent="0.3">
      <c r="A853" t="s">
        <v>1148</v>
      </c>
      <c r="B853" s="6">
        <v>45706</v>
      </c>
      <c r="C853" t="s">
        <v>163</v>
      </c>
      <c r="D853" t="s">
        <v>33</v>
      </c>
      <c r="E853" t="s">
        <v>118</v>
      </c>
      <c r="F853" t="s">
        <v>72</v>
      </c>
      <c r="G853" t="s">
        <v>73</v>
      </c>
      <c r="H853" t="s">
        <v>102</v>
      </c>
      <c r="I853">
        <v>98.85</v>
      </c>
      <c r="J853">
        <v>1</v>
      </c>
      <c r="K853">
        <v>0.1</v>
      </c>
      <c r="L853">
        <v>5.58</v>
      </c>
      <c r="M853" t="s">
        <v>133</v>
      </c>
      <c r="N853" t="s">
        <v>30</v>
      </c>
      <c r="O853" t="str">
        <f t="shared" si="26"/>
        <v>Bad</v>
      </c>
      <c r="P853">
        <f t="shared" si="27"/>
        <v>98.85</v>
      </c>
      <c r="Q853">
        <v>45706</v>
      </c>
      <c r="R853">
        <f>YEAR(Table1[[#This Row],[Order_Date_New]])</f>
        <v>2025</v>
      </c>
      <c r="S853">
        <f>MONTH(Table1[[#This Row],[Order_Date_New]])</f>
        <v>2</v>
      </c>
      <c r="T853" t="str">
        <f>TEXT(Table1[[#This Row],[Order_Date_New]],"mmmm")</f>
        <v>February</v>
      </c>
      <c r="U853">
        <f>Table1[[#This Row],[Profit]]/Table1[[#This Row],[Sales]]</f>
        <v>5.6449165402124434E-2</v>
      </c>
      <c r="V853" t="str">
        <f>IF(Table1[[#This Row],[Discount]]=0,"No Discount",IF(Table1[[#This Row],[Discount]]&lt;=0.1,"Low",IF(Table1[[#This Row],[Discount]]&lt;=0.2,"medium","high")))</f>
        <v>Low</v>
      </c>
    </row>
    <row r="854" spans="1:22" x14ac:dyDescent="0.3">
      <c r="A854" t="s">
        <v>1149</v>
      </c>
      <c r="B854" s="6">
        <v>45709</v>
      </c>
      <c r="C854" t="s">
        <v>317</v>
      </c>
      <c r="D854" t="s">
        <v>33</v>
      </c>
      <c r="E854" t="s">
        <v>66</v>
      </c>
      <c r="F854" t="s">
        <v>60</v>
      </c>
      <c r="G854" t="s">
        <v>98</v>
      </c>
      <c r="H854" t="s">
        <v>141</v>
      </c>
      <c r="I854">
        <v>957.84</v>
      </c>
      <c r="J854">
        <v>4</v>
      </c>
      <c r="K854">
        <v>0</v>
      </c>
      <c r="L854">
        <v>410.47</v>
      </c>
      <c r="M854" t="s">
        <v>37</v>
      </c>
      <c r="N854" t="s">
        <v>38</v>
      </c>
      <c r="O854" t="str">
        <f t="shared" si="26"/>
        <v>Bad</v>
      </c>
      <c r="P854">
        <f t="shared" si="27"/>
        <v>239.46</v>
      </c>
      <c r="Q854">
        <v>45709</v>
      </c>
      <c r="R854">
        <f>YEAR(Table1[[#This Row],[Order_Date_New]])</f>
        <v>2025</v>
      </c>
      <c r="S854">
        <f>MONTH(Table1[[#This Row],[Order_Date_New]])</f>
        <v>2</v>
      </c>
      <c r="T854" t="str">
        <f>TEXT(Table1[[#This Row],[Order_Date_New]],"mmmm")</f>
        <v>February</v>
      </c>
      <c r="U854">
        <f>Table1[[#This Row],[Profit]]/Table1[[#This Row],[Sales]]</f>
        <v>0.42853712519836301</v>
      </c>
      <c r="V854" t="str">
        <f>IF(Table1[[#This Row],[Discount]]=0,"No Discount",IF(Table1[[#This Row],[Discount]]&lt;=0.1,"Low",IF(Table1[[#This Row],[Discount]]&lt;=0.2,"medium","high")))</f>
        <v>No Discount</v>
      </c>
    </row>
    <row r="855" spans="1:22" x14ac:dyDescent="0.3">
      <c r="A855" t="s">
        <v>1150</v>
      </c>
      <c r="B855" s="6">
        <v>45389</v>
      </c>
      <c r="C855" t="s">
        <v>1151</v>
      </c>
      <c r="D855" t="s">
        <v>33</v>
      </c>
      <c r="E855" t="s">
        <v>48</v>
      </c>
      <c r="F855" t="s">
        <v>72</v>
      </c>
      <c r="G855" t="s">
        <v>111</v>
      </c>
      <c r="H855" t="s">
        <v>112</v>
      </c>
      <c r="I855">
        <v>2248.88</v>
      </c>
      <c r="J855">
        <v>4</v>
      </c>
      <c r="K855">
        <v>0.3</v>
      </c>
      <c r="L855">
        <v>275.36</v>
      </c>
      <c r="M855" t="s">
        <v>43</v>
      </c>
      <c r="N855" t="s">
        <v>38</v>
      </c>
      <c r="O855" t="str">
        <f t="shared" si="26"/>
        <v>Bad</v>
      </c>
      <c r="P855">
        <f t="shared" si="27"/>
        <v>562.22</v>
      </c>
      <c r="Q855">
        <v>45389</v>
      </c>
      <c r="R855">
        <f>YEAR(Table1[[#This Row],[Order_Date_New]])</f>
        <v>2024</v>
      </c>
      <c r="S855">
        <f>MONTH(Table1[[#This Row],[Order_Date_New]])</f>
        <v>4</v>
      </c>
      <c r="T855" t="str">
        <f>TEXT(Table1[[#This Row],[Order_Date_New]],"mmmm")</f>
        <v>April</v>
      </c>
      <c r="U855">
        <f>Table1[[#This Row],[Profit]]/Table1[[#This Row],[Sales]]</f>
        <v>0.12244317171214116</v>
      </c>
      <c r="V855" t="str">
        <f>IF(Table1[[#This Row],[Discount]]=0,"No Discount",IF(Table1[[#This Row],[Discount]]&lt;=0.1,"Low",IF(Table1[[#This Row],[Discount]]&lt;=0.2,"medium","high")))</f>
        <v>high</v>
      </c>
    </row>
    <row r="856" spans="1:22" x14ac:dyDescent="0.3">
      <c r="A856" t="s">
        <v>1152</v>
      </c>
      <c r="B856" s="6">
        <v>45605</v>
      </c>
      <c r="C856" t="s">
        <v>760</v>
      </c>
      <c r="D856" t="s">
        <v>128</v>
      </c>
      <c r="E856" t="s">
        <v>132</v>
      </c>
      <c r="F856" t="s">
        <v>60</v>
      </c>
      <c r="G856" t="s">
        <v>98</v>
      </c>
      <c r="H856" t="s">
        <v>141</v>
      </c>
      <c r="I856">
        <v>5842.53</v>
      </c>
      <c r="J856">
        <v>9</v>
      </c>
      <c r="K856">
        <v>0.2</v>
      </c>
      <c r="L856">
        <v>1263.68</v>
      </c>
      <c r="M856" t="s">
        <v>29</v>
      </c>
      <c r="N856" t="s">
        <v>38</v>
      </c>
      <c r="O856" t="str">
        <f t="shared" si="26"/>
        <v>Good</v>
      </c>
      <c r="P856">
        <f t="shared" si="27"/>
        <v>649.16999999999996</v>
      </c>
      <c r="Q856">
        <v>45605</v>
      </c>
      <c r="R856">
        <f>YEAR(Table1[[#This Row],[Order_Date_New]])</f>
        <v>2024</v>
      </c>
      <c r="S856">
        <f>MONTH(Table1[[#This Row],[Order_Date_New]])</f>
        <v>11</v>
      </c>
      <c r="T856" t="str">
        <f>TEXT(Table1[[#This Row],[Order_Date_New]],"mmmm")</f>
        <v>November</v>
      </c>
      <c r="U856">
        <f>Table1[[#This Row],[Profit]]/Table1[[#This Row],[Sales]]</f>
        <v>0.21628986072814349</v>
      </c>
      <c r="V856" t="str">
        <f>IF(Table1[[#This Row],[Discount]]=0,"No Discount",IF(Table1[[#This Row],[Discount]]&lt;=0.1,"Low",IF(Table1[[#This Row],[Discount]]&lt;=0.2,"medium","high")))</f>
        <v>medium</v>
      </c>
    </row>
    <row r="857" spans="1:22" x14ac:dyDescent="0.3">
      <c r="A857" t="s">
        <v>1153</v>
      </c>
      <c r="B857" s="6">
        <v>45709</v>
      </c>
      <c r="C857" t="s">
        <v>140</v>
      </c>
      <c r="D857" t="s">
        <v>128</v>
      </c>
      <c r="E857" t="s">
        <v>146</v>
      </c>
      <c r="F857" t="s">
        <v>60</v>
      </c>
      <c r="G857" t="s">
        <v>98</v>
      </c>
      <c r="H857" t="s">
        <v>141</v>
      </c>
      <c r="I857">
        <v>1157.72</v>
      </c>
      <c r="J857">
        <v>2</v>
      </c>
      <c r="K857">
        <v>0.1</v>
      </c>
      <c r="L857">
        <v>9.83</v>
      </c>
      <c r="M857" t="s">
        <v>68</v>
      </c>
      <c r="N857" t="s">
        <v>30</v>
      </c>
      <c r="O857" t="str">
        <f t="shared" si="26"/>
        <v>Bad</v>
      </c>
      <c r="P857">
        <f t="shared" si="27"/>
        <v>578.86</v>
      </c>
      <c r="Q857">
        <v>45709</v>
      </c>
      <c r="R857">
        <f>YEAR(Table1[[#This Row],[Order_Date_New]])</f>
        <v>2025</v>
      </c>
      <c r="S857">
        <f>MONTH(Table1[[#This Row],[Order_Date_New]])</f>
        <v>2</v>
      </c>
      <c r="T857" t="str">
        <f>TEXT(Table1[[#This Row],[Order_Date_New]],"mmmm")</f>
        <v>February</v>
      </c>
      <c r="U857">
        <f>Table1[[#This Row],[Profit]]/Table1[[#This Row],[Sales]]</f>
        <v>8.4908267974985307E-3</v>
      </c>
      <c r="V857" t="str">
        <f>IF(Table1[[#This Row],[Discount]]=0,"No Discount",IF(Table1[[#This Row],[Discount]]&lt;=0.1,"Low",IF(Table1[[#This Row],[Discount]]&lt;=0.2,"medium","high")))</f>
        <v>Low</v>
      </c>
    </row>
    <row r="858" spans="1:22" x14ac:dyDescent="0.3">
      <c r="A858" t="s">
        <v>1154</v>
      </c>
      <c r="B858" s="6">
        <v>45702</v>
      </c>
      <c r="C858" t="s">
        <v>233</v>
      </c>
      <c r="D858" t="s">
        <v>128</v>
      </c>
      <c r="E858" t="s">
        <v>146</v>
      </c>
      <c r="F858" t="s">
        <v>60</v>
      </c>
      <c r="G858" t="s">
        <v>78</v>
      </c>
      <c r="H858" t="s">
        <v>79</v>
      </c>
      <c r="I858">
        <v>1275.8800000000001</v>
      </c>
      <c r="J858">
        <v>4</v>
      </c>
      <c r="K858">
        <v>0.25</v>
      </c>
      <c r="L858">
        <v>4.3899999999999997</v>
      </c>
      <c r="M858" t="s">
        <v>105</v>
      </c>
      <c r="N858" t="s">
        <v>44</v>
      </c>
      <c r="O858" t="str">
        <f t="shared" si="26"/>
        <v>Bad</v>
      </c>
      <c r="P858">
        <f t="shared" si="27"/>
        <v>318.97000000000003</v>
      </c>
      <c r="Q858">
        <v>45702</v>
      </c>
      <c r="R858">
        <f>YEAR(Table1[[#This Row],[Order_Date_New]])</f>
        <v>2025</v>
      </c>
      <c r="S858">
        <f>MONTH(Table1[[#This Row],[Order_Date_New]])</f>
        <v>2</v>
      </c>
      <c r="T858" t="str">
        <f>TEXT(Table1[[#This Row],[Order_Date_New]],"mmmm")</f>
        <v>February</v>
      </c>
      <c r="U858">
        <f>Table1[[#This Row],[Profit]]/Table1[[#This Row],[Sales]]</f>
        <v>3.4407624541492924E-3</v>
      </c>
      <c r="V858" t="str">
        <f>IF(Table1[[#This Row],[Discount]]=0,"No Discount",IF(Table1[[#This Row],[Discount]]&lt;=0.1,"Low",IF(Table1[[#This Row],[Discount]]&lt;=0.2,"medium","high")))</f>
        <v>high</v>
      </c>
    </row>
    <row r="859" spans="1:22" x14ac:dyDescent="0.3">
      <c r="A859" t="s">
        <v>1155</v>
      </c>
      <c r="B859" s="6">
        <v>45778</v>
      </c>
      <c r="C859" t="s">
        <v>184</v>
      </c>
      <c r="D859" t="s">
        <v>53</v>
      </c>
      <c r="E859" t="s">
        <v>87</v>
      </c>
      <c r="F859" t="s">
        <v>26</v>
      </c>
      <c r="G859" t="s">
        <v>41</v>
      </c>
      <c r="H859" t="s">
        <v>42</v>
      </c>
      <c r="I859">
        <v>647.45000000000005</v>
      </c>
      <c r="J859">
        <v>5</v>
      </c>
      <c r="K859">
        <v>0.1</v>
      </c>
      <c r="L859">
        <v>108.02</v>
      </c>
      <c r="M859" t="s">
        <v>90</v>
      </c>
      <c r="N859" t="s">
        <v>30</v>
      </c>
      <c r="O859" t="str">
        <f t="shared" si="26"/>
        <v>Bad</v>
      </c>
      <c r="P859">
        <f t="shared" si="27"/>
        <v>129.49</v>
      </c>
      <c r="Q859">
        <v>45778</v>
      </c>
      <c r="R859">
        <f>YEAR(Table1[[#This Row],[Order_Date_New]])</f>
        <v>2025</v>
      </c>
      <c r="S859">
        <f>MONTH(Table1[[#This Row],[Order_Date_New]])</f>
        <v>5</v>
      </c>
      <c r="T859" t="str">
        <f>TEXT(Table1[[#This Row],[Order_Date_New]],"mmmm")</f>
        <v>May</v>
      </c>
      <c r="U859">
        <f>Table1[[#This Row],[Profit]]/Table1[[#This Row],[Sales]]</f>
        <v>0.16683913815738666</v>
      </c>
      <c r="V859" t="str">
        <f>IF(Table1[[#This Row],[Discount]]=0,"No Discount",IF(Table1[[#This Row],[Discount]]&lt;=0.1,"Low",IF(Table1[[#This Row],[Discount]]&lt;=0.2,"medium","high")))</f>
        <v>Low</v>
      </c>
    </row>
    <row r="860" spans="1:22" x14ac:dyDescent="0.3">
      <c r="A860" t="s">
        <v>1156</v>
      </c>
      <c r="B860" s="6">
        <v>45816</v>
      </c>
      <c r="C860" t="s">
        <v>65</v>
      </c>
      <c r="D860" t="s">
        <v>24</v>
      </c>
      <c r="E860" t="s">
        <v>97</v>
      </c>
      <c r="F860" t="s">
        <v>60</v>
      </c>
      <c r="G860" t="s">
        <v>78</v>
      </c>
      <c r="H860" t="s">
        <v>125</v>
      </c>
      <c r="I860">
        <v>2813.64</v>
      </c>
      <c r="J860">
        <v>3</v>
      </c>
      <c r="K860">
        <v>0.15</v>
      </c>
      <c r="L860">
        <v>755.31</v>
      </c>
      <c r="M860" t="s">
        <v>133</v>
      </c>
      <c r="N860" t="s">
        <v>30</v>
      </c>
      <c r="O860" t="str">
        <f t="shared" si="26"/>
        <v>Bad</v>
      </c>
      <c r="P860">
        <f t="shared" si="27"/>
        <v>937.88</v>
      </c>
      <c r="Q860">
        <v>45816</v>
      </c>
      <c r="R860">
        <f>YEAR(Table1[[#This Row],[Order_Date_New]])</f>
        <v>2025</v>
      </c>
      <c r="S860">
        <f>MONTH(Table1[[#This Row],[Order_Date_New]])</f>
        <v>6</v>
      </c>
      <c r="T860" t="str">
        <f>TEXT(Table1[[#This Row],[Order_Date_New]],"mmmm")</f>
        <v>June</v>
      </c>
      <c r="U860">
        <f>Table1[[#This Row],[Profit]]/Table1[[#This Row],[Sales]]</f>
        <v>0.2684458566127863</v>
      </c>
      <c r="V860" t="str">
        <f>IF(Table1[[#This Row],[Discount]]=0,"No Discount",IF(Table1[[#This Row],[Discount]]&lt;=0.1,"Low",IF(Table1[[#This Row],[Discount]]&lt;=0.2,"medium","high")))</f>
        <v>medium</v>
      </c>
    </row>
    <row r="861" spans="1:22" x14ac:dyDescent="0.3">
      <c r="A861" t="s">
        <v>1157</v>
      </c>
      <c r="B861" s="6">
        <v>45725</v>
      </c>
      <c r="C861" t="s">
        <v>669</v>
      </c>
      <c r="D861" t="s">
        <v>53</v>
      </c>
      <c r="E861" t="s">
        <v>107</v>
      </c>
      <c r="F861" t="s">
        <v>26</v>
      </c>
      <c r="G861" t="s">
        <v>35</v>
      </c>
      <c r="H861" t="s">
        <v>173</v>
      </c>
      <c r="I861">
        <v>4077.64</v>
      </c>
      <c r="J861">
        <v>4</v>
      </c>
      <c r="K861">
        <v>0.3</v>
      </c>
      <c r="L861">
        <v>300.8</v>
      </c>
      <c r="M861" t="s">
        <v>68</v>
      </c>
      <c r="N861" t="s">
        <v>44</v>
      </c>
      <c r="O861" t="str">
        <f t="shared" si="26"/>
        <v>Bad</v>
      </c>
      <c r="P861">
        <f t="shared" si="27"/>
        <v>1019.41</v>
      </c>
      <c r="Q861">
        <v>45725</v>
      </c>
      <c r="R861">
        <f>YEAR(Table1[[#This Row],[Order_Date_New]])</f>
        <v>2025</v>
      </c>
      <c r="S861">
        <f>MONTH(Table1[[#This Row],[Order_Date_New]])</f>
        <v>3</v>
      </c>
      <c r="T861" t="str">
        <f>TEXT(Table1[[#This Row],[Order_Date_New]],"mmmm")</f>
        <v>March</v>
      </c>
      <c r="U861">
        <f>Table1[[#This Row],[Profit]]/Table1[[#This Row],[Sales]]</f>
        <v>7.3768160014125825E-2</v>
      </c>
      <c r="V861" t="str">
        <f>IF(Table1[[#This Row],[Discount]]=0,"No Discount",IF(Table1[[#This Row],[Discount]]&lt;=0.1,"Low",IF(Table1[[#This Row],[Discount]]&lt;=0.2,"medium","high")))</f>
        <v>high</v>
      </c>
    </row>
    <row r="862" spans="1:22" x14ac:dyDescent="0.3">
      <c r="A862" t="s">
        <v>1158</v>
      </c>
      <c r="B862" s="6">
        <v>45829</v>
      </c>
      <c r="C862" t="s">
        <v>191</v>
      </c>
      <c r="D862" t="s">
        <v>33</v>
      </c>
      <c r="E862" t="s">
        <v>118</v>
      </c>
      <c r="F862" t="s">
        <v>60</v>
      </c>
      <c r="G862" t="s">
        <v>98</v>
      </c>
      <c r="H862" t="s">
        <v>141</v>
      </c>
      <c r="I862">
        <v>257.16000000000003</v>
      </c>
      <c r="J862">
        <v>2</v>
      </c>
      <c r="K862">
        <v>0.25</v>
      </c>
      <c r="L862">
        <v>34.380000000000003</v>
      </c>
      <c r="M862" t="s">
        <v>49</v>
      </c>
      <c r="N862" t="s">
        <v>44</v>
      </c>
      <c r="O862" t="str">
        <f t="shared" si="26"/>
        <v>Bad</v>
      </c>
      <c r="P862">
        <f t="shared" si="27"/>
        <v>128.58000000000001</v>
      </c>
      <c r="Q862">
        <v>45829</v>
      </c>
      <c r="R862">
        <f>YEAR(Table1[[#This Row],[Order_Date_New]])</f>
        <v>2025</v>
      </c>
      <c r="S862">
        <f>MONTH(Table1[[#This Row],[Order_Date_New]])</f>
        <v>6</v>
      </c>
      <c r="T862" t="str">
        <f>TEXT(Table1[[#This Row],[Order_Date_New]],"mmmm")</f>
        <v>June</v>
      </c>
      <c r="U862">
        <f>Table1[[#This Row],[Profit]]/Table1[[#This Row],[Sales]]</f>
        <v>0.13369108726084927</v>
      </c>
      <c r="V862" t="str">
        <f>IF(Table1[[#This Row],[Discount]]=0,"No Discount",IF(Table1[[#This Row],[Discount]]&lt;=0.1,"Low",IF(Table1[[#This Row],[Discount]]&lt;=0.2,"medium","high")))</f>
        <v>high</v>
      </c>
    </row>
    <row r="863" spans="1:22" x14ac:dyDescent="0.3">
      <c r="A863" t="s">
        <v>1159</v>
      </c>
      <c r="B863" s="6">
        <v>45384</v>
      </c>
      <c r="C863" t="s">
        <v>458</v>
      </c>
      <c r="D863" t="s">
        <v>24</v>
      </c>
      <c r="E863" t="s">
        <v>25</v>
      </c>
      <c r="F863" t="s">
        <v>26</v>
      </c>
      <c r="G863" t="s">
        <v>41</v>
      </c>
      <c r="H863" t="s">
        <v>108</v>
      </c>
      <c r="I863">
        <v>2612.6799999999998</v>
      </c>
      <c r="J863">
        <v>7</v>
      </c>
      <c r="K863">
        <v>0.05</v>
      </c>
      <c r="L863">
        <v>644.63</v>
      </c>
      <c r="M863" t="s">
        <v>90</v>
      </c>
      <c r="N863" t="s">
        <v>44</v>
      </c>
      <c r="O863" t="str">
        <f t="shared" si="26"/>
        <v>Bad</v>
      </c>
      <c r="P863">
        <f t="shared" si="27"/>
        <v>373.23999999999995</v>
      </c>
      <c r="Q863">
        <v>45384</v>
      </c>
      <c r="R863">
        <f>YEAR(Table1[[#This Row],[Order_Date_New]])</f>
        <v>2024</v>
      </c>
      <c r="S863">
        <f>MONTH(Table1[[#This Row],[Order_Date_New]])</f>
        <v>4</v>
      </c>
      <c r="T863" t="str">
        <f>TEXT(Table1[[#This Row],[Order_Date_New]],"mmmm")</f>
        <v>April</v>
      </c>
      <c r="U863">
        <f>Table1[[#This Row],[Profit]]/Table1[[#This Row],[Sales]]</f>
        <v>0.24673132568856501</v>
      </c>
      <c r="V863" t="str">
        <f>IF(Table1[[#This Row],[Discount]]=0,"No Discount",IF(Table1[[#This Row],[Discount]]&lt;=0.1,"Low",IF(Table1[[#This Row],[Discount]]&lt;=0.2,"medium","high")))</f>
        <v>Low</v>
      </c>
    </row>
    <row r="864" spans="1:22" x14ac:dyDescent="0.3">
      <c r="A864" t="s">
        <v>1160</v>
      </c>
      <c r="B864" s="6">
        <v>45959</v>
      </c>
      <c r="C864" t="s">
        <v>233</v>
      </c>
      <c r="D864" t="s">
        <v>53</v>
      </c>
      <c r="E864" t="s">
        <v>87</v>
      </c>
      <c r="F864" t="s">
        <v>60</v>
      </c>
      <c r="G864" t="s">
        <v>61</v>
      </c>
      <c r="H864" t="s">
        <v>67</v>
      </c>
      <c r="I864">
        <v>7800.03</v>
      </c>
      <c r="J864">
        <v>9</v>
      </c>
      <c r="K864">
        <v>0.2</v>
      </c>
      <c r="L864">
        <v>779.98</v>
      </c>
      <c r="M864" t="s">
        <v>105</v>
      </c>
      <c r="N864" t="s">
        <v>38</v>
      </c>
      <c r="O864" t="str">
        <f t="shared" si="26"/>
        <v>Good</v>
      </c>
      <c r="P864">
        <f t="shared" si="27"/>
        <v>866.67</v>
      </c>
      <c r="Q864">
        <v>45959</v>
      </c>
      <c r="R864">
        <f>YEAR(Table1[[#This Row],[Order_Date_New]])</f>
        <v>2025</v>
      </c>
      <c r="S864">
        <f>MONTH(Table1[[#This Row],[Order_Date_New]])</f>
        <v>10</v>
      </c>
      <c r="T864" t="str">
        <f>TEXT(Table1[[#This Row],[Order_Date_New]],"mmmm")</f>
        <v>October</v>
      </c>
      <c r="U864">
        <f>Table1[[#This Row],[Profit]]/Table1[[#This Row],[Sales]]</f>
        <v>9.9997051293392467E-2</v>
      </c>
      <c r="V864" t="str">
        <f>IF(Table1[[#This Row],[Discount]]=0,"No Discount",IF(Table1[[#This Row],[Discount]]&lt;=0.1,"Low",IF(Table1[[#This Row],[Discount]]&lt;=0.2,"medium","high")))</f>
        <v>medium</v>
      </c>
    </row>
    <row r="865" spans="1:22" x14ac:dyDescent="0.3">
      <c r="A865" t="s">
        <v>1161</v>
      </c>
      <c r="B865" s="6">
        <v>45731</v>
      </c>
      <c r="C865" t="s">
        <v>121</v>
      </c>
      <c r="D865" t="s">
        <v>128</v>
      </c>
      <c r="E865" t="s">
        <v>129</v>
      </c>
      <c r="F865" t="s">
        <v>72</v>
      </c>
      <c r="G865" t="s">
        <v>73</v>
      </c>
      <c r="H865" t="s">
        <v>74</v>
      </c>
      <c r="I865">
        <v>4922.75</v>
      </c>
      <c r="J865">
        <v>7</v>
      </c>
      <c r="K865">
        <v>0.05</v>
      </c>
      <c r="L865">
        <v>795.79</v>
      </c>
      <c r="M865" t="s">
        <v>37</v>
      </c>
      <c r="N865" t="s">
        <v>80</v>
      </c>
      <c r="O865" t="str">
        <f t="shared" si="26"/>
        <v>Bad</v>
      </c>
      <c r="P865">
        <f t="shared" si="27"/>
        <v>703.25</v>
      </c>
      <c r="Q865">
        <v>45731</v>
      </c>
      <c r="R865">
        <f>YEAR(Table1[[#This Row],[Order_Date_New]])</f>
        <v>2025</v>
      </c>
      <c r="S865">
        <f>MONTH(Table1[[#This Row],[Order_Date_New]])</f>
        <v>3</v>
      </c>
      <c r="T865" t="str">
        <f>TEXT(Table1[[#This Row],[Order_Date_New]],"mmmm")</f>
        <v>March</v>
      </c>
      <c r="U865">
        <f>Table1[[#This Row],[Profit]]/Table1[[#This Row],[Sales]]</f>
        <v>0.16165557869077243</v>
      </c>
      <c r="V865" t="str">
        <f>IF(Table1[[#This Row],[Discount]]=0,"No Discount",IF(Table1[[#This Row],[Discount]]&lt;=0.1,"Low",IF(Table1[[#This Row],[Discount]]&lt;=0.2,"medium","high")))</f>
        <v>Low</v>
      </c>
    </row>
    <row r="866" spans="1:22" x14ac:dyDescent="0.3">
      <c r="A866" t="s">
        <v>1162</v>
      </c>
      <c r="B866" s="6">
        <v>45657</v>
      </c>
      <c r="C866" t="s">
        <v>228</v>
      </c>
      <c r="D866" t="s">
        <v>128</v>
      </c>
      <c r="E866" t="s">
        <v>132</v>
      </c>
      <c r="F866" t="s">
        <v>26</v>
      </c>
      <c r="G866" t="s">
        <v>27</v>
      </c>
      <c r="H866" t="s">
        <v>200</v>
      </c>
      <c r="I866">
        <v>4187.3599999999997</v>
      </c>
      <c r="J866">
        <v>8</v>
      </c>
      <c r="K866">
        <v>0.2</v>
      </c>
      <c r="L866">
        <v>-152.51</v>
      </c>
      <c r="M866" t="s">
        <v>37</v>
      </c>
      <c r="N866" t="s">
        <v>30</v>
      </c>
      <c r="O866" t="str">
        <f t="shared" si="26"/>
        <v>Bad</v>
      </c>
      <c r="P866">
        <f t="shared" si="27"/>
        <v>523.41999999999996</v>
      </c>
      <c r="Q866">
        <v>45657</v>
      </c>
      <c r="R866">
        <f>YEAR(Table1[[#This Row],[Order_Date_New]])</f>
        <v>2024</v>
      </c>
      <c r="S866">
        <f>MONTH(Table1[[#This Row],[Order_Date_New]])</f>
        <v>12</v>
      </c>
      <c r="T866" t="str">
        <f>TEXT(Table1[[#This Row],[Order_Date_New]],"mmmm")</f>
        <v>December</v>
      </c>
      <c r="U866">
        <f>Table1[[#This Row],[Profit]]/Table1[[#This Row],[Sales]]</f>
        <v>-3.6421516182033549E-2</v>
      </c>
      <c r="V866" t="str">
        <f>IF(Table1[[#This Row],[Discount]]=0,"No Discount",IF(Table1[[#This Row],[Discount]]&lt;=0.1,"Low",IF(Table1[[#This Row],[Discount]]&lt;=0.2,"medium","high")))</f>
        <v>medium</v>
      </c>
    </row>
    <row r="867" spans="1:22" x14ac:dyDescent="0.3">
      <c r="A867" t="s">
        <v>1163</v>
      </c>
      <c r="B867" s="6">
        <v>45462</v>
      </c>
      <c r="C867" t="s">
        <v>152</v>
      </c>
      <c r="D867" t="s">
        <v>128</v>
      </c>
      <c r="E867" t="s">
        <v>132</v>
      </c>
      <c r="F867" t="s">
        <v>60</v>
      </c>
      <c r="G867" t="s">
        <v>98</v>
      </c>
      <c r="H867" t="s">
        <v>141</v>
      </c>
      <c r="I867">
        <v>11826.8</v>
      </c>
      <c r="J867">
        <v>10</v>
      </c>
      <c r="K867">
        <v>0.3</v>
      </c>
      <c r="L867">
        <v>-2132.44</v>
      </c>
      <c r="M867" t="s">
        <v>133</v>
      </c>
      <c r="N867" t="s">
        <v>44</v>
      </c>
      <c r="O867" t="str">
        <f t="shared" si="26"/>
        <v>Good</v>
      </c>
      <c r="P867">
        <f t="shared" si="27"/>
        <v>1182.6799999999998</v>
      </c>
      <c r="Q867">
        <v>45462</v>
      </c>
      <c r="R867">
        <f>YEAR(Table1[[#This Row],[Order_Date_New]])</f>
        <v>2024</v>
      </c>
      <c r="S867">
        <f>MONTH(Table1[[#This Row],[Order_Date_New]])</f>
        <v>6</v>
      </c>
      <c r="T867" t="str">
        <f>TEXT(Table1[[#This Row],[Order_Date_New]],"mmmm")</f>
        <v>June</v>
      </c>
      <c r="U867">
        <f>Table1[[#This Row],[Profit]]/Table1[[#This Row],[Sales]]</f>
        <v>-0.18030574627118073</v>
      </c>
      <c r="V867" t="str">
        <f>IF(Table1[[#This Row],[Discount]]=0,"No Discount",IF(Table1[[#This Row],[Discount]]&lt;=0.1,"Low",IF(Table1[[#This Row],[Discount]]&lt;=0.2,"medium","high")))</f>
        <v>high</v>
      </c>
    </row>
    <row r="868" spans="1:22" x14ac:dyDescent="0.3">
      <c r="A868" t="s">
        <v>1164</v>
      </c>
      <c r="B868" s="6">
        <v>45816</v>
      </c>
      <c r="C868" t="s">
        <v>535</v>
      </c>
      <c r="D868" t="s">
        <v>53</v>
      </c>
      <c r="E868" t="s">
        <v>107</v>
      </c>
      <c r="F868" t="s">
        <v>60</v>
      </c>
      <c r="G868" t="s">
        <v>98</v>
      </c>
      <c r="H868" t="s">
        <v>138</v>
      </c>
      <c r="I868">
        <v>4250.24</v>
      </c>
      <c r="J868">
        <v>4</v>
      </c>
      <c r="K868">
        <v>0.3</v>
      </c>
      <c r="L868">
        <v>-891.01</v>
      </c>
      <c r="M868" t="s">
        <v>29</v>
      </c>
      <c r="N868" t="s">
        <v>44</v>
      </c>
      <c r="O868" t="str">
        <f t="shared" si="26"/>
        <v>Bad</v>
      </c>
      <c r="P868">
        <f t="shared" si="27"/>
        <v>1062.56</v>
      </c>
      <c r="Q868">
        <v>45816</v>
      </c>
      <c r="R868">
        <f>YEAR(Table1[[#This Row],[Order_Date_New]])</f>
        <v>2025</v>
      </c>
      <c r="S868">
        <f>MONTH(Table1[[#This Row],[Order_Date_New]])</f>
        <v>6</v>
      </c>
      <c r="T868" t="str">
        <f>TEXT(Table1[[#This Row],[Order_Date_New]],"mmmm")</f>
        <v>June</v>
      </c>
      <c r="U868">
        <f>Table1[[#This Row],[Profit]]/Table1[[#This Row],[Sales]]</f>
        <v>-0.20963757340761935</v>
      </c>
      <c r="V868" t="str">
        <f>IF(Table1[[#This Row],[Discount]]=0,"No Discount",IF(Table1[[#This Row],[Discount]]&lt;=0.1,"Low",IF(Table1[[#This Row],[Discount]]&lt;=0.2,"medium","high")))</f>
        <v>high</v>
      </c>
    </row>
    <row r="869" spans="1:22" x14ac:dyDescent="0.3">
      <c r="A869" t="s">
        <v>1165</v>
      </c>
      <c r="B869" s="6">
        <v>45901</v>
      </c>
      <c r="C869" t="s">
        <v>270</v>
      </c>
      <c r="D869" t="s">
        <v>24</v>
      </c>
      <c r="E869" t="s">
        <v>97</v>
      </c>
      <c r="F869" t="s">
        <v>72</v>
      </c>
      <c r="G869" t="s">
        <v>88</v>
      </c>
      <c r="H869" t="s">
        <v>89</v>
      </c>
      <c r="I869">
        <v>5868.35</v>
      </c>
      <c r="J869">
        <v>5</v>
      </c>
      <c r="K869">
        <v>0.2</v>
      </c>
      <c r="L869">
        <v>-695.64</v>
      </c>
      <c r="M869" t="s">
        <v>37</v>
      </c>
      <c r="N869" t="s">
        <v>30</v>
      </c>
      <c r="O869" t="str">
        <f t="shared" si="26"/>
        <v>Bad</v>
      </c>
      <c r="P869">
        <f t="shared" si="27"/>
        <v>1173.67</v>
      </c>
      <c r="Q869">
        <v>45901</v>
      </c>
      <c r="R869">
        <f>YEAR(Table1[[#This Row],[Order_Date_New]])</f>
        <v>2025</v>
      </c>
      <c r="S869">
        <f>MONTH(Table1[[#This Row],[Order_Date_New]])</f>
        <v>9</v>
      </c>
      <c r="T869" t="str">
        <f>TEXT(Table1[[#This Row],[Order_Date_New]],"mmmm")</f>
        <v>September</v>
      </c>
      <c r="U869">
        <f>Table1[[#This Row],[Profit]]/Table1[[#This Row],[Sales]]</f>
        <v>-0.11854098681912291</v>
      </c>
      <c r="V869" t="str">
        <f>IF(Table1[[#This Row],[Discount]]=0,"No Discount",IF(Table1[[#This Row],[Discount]]&lt;=0.1,"Low",IF(Table1[[#This Row],[Discount]]&lt;=0.2,"medium","high")))</f>
        <v>medium</v>
      </c>
    </row>
    <row r="870" spans="1:22" x14ac:dyDescent="0.3">
      <c r="A870" t="s">
        <v>1166</v>
      </c>
      <c r="B870" s="6">
        <v>45997</v>
      </c>
      <c r="C870" t="s">
        <v>654</v>
      </c>
      <c r="D870" t="s">
        <v>53</v>
      </c>
      <c r="E870" t="s">
        <v>107</v>
      </c>
      <c r="F870" t="s">
        <v>60</v>
      </c>
      <c r="G870" t="s">
        <v>61</v>
      </c>
      <c r="H870" t="s">
        <v>67</v>
      </c>
      <c r="I870">
        <v>4112.46</v>
      </c>
      <c r="J870">
        <v>6</v>
      </c>
      <c r="K870">
        <v>0</v>
      </c>
      <c r="L870">
        <v>967.66</v>
      </c>
      <c r="M870" t="s">
        <v>49</v>
      </c>
      <c r="N870" t="s">
        <v>30</v>
      </c>
      <c r="O870" t="str">
        <f t="shared" si="26"/>
        <v>Bad</v>
      </c>
      <c r="P870">
        <f t="shared" si="27"/>
        <v>685.41</v>
      </c>
      <c r="Q870">
        <v>45997</v>
      </c>
      <c r="R870">
        <f>YEAR(Table1[[#This Row],[Order_Date_New]])</f>
        <v>2025</v>
      </c>
      <c r="S870">
        <f>MONTH(Table1[[#This Row],[Order_Date_New]])</f>
        <v>12</v>
      </c>
      <c r="T870" t="str">
        <f>TEXT(Table1[[#This Row],[Order_Date_New]],"mmmm")</f>
        <v>December</v>
      </c>
      <c r="U870">
        <f>Table1[[#This Row],[Profit]]/Table1[[#This Row],[Sales]]</f>
        <v>0.23529955306556172</v>
      </c>
      <c r="V870" t="str">
        <f>IF(Table1[[#This Row],[Discount]]=0,"No Discount",IF(Table1[[#This Row],[Discount]]&lt;=0.1,"Low",IF(Table1[[#This Row],[Discount]]&lt;=0.2,"medium","high")))</f>
        <v>No Discount</v>
      </c>
    </row>
    <row r="871" spans="1:22" x14ac:dyDescent="0.3">
      <c r="A871" t="s">
        <v>1167</v>
      </c>
      <c r="B871" s="6">
        <v>45800</v>
      </c>
      <c r="C871" t="s">
        <v>850</v>
      </c>
      <c r="D871" t="s">
        <v>128</v>
      </c>
      <c r="E871" t="s">
        <v>129</v>
      </c>
      <c r="F871" t="s">
        <v>60</v>
      </c>
      <c r="G871" t="s">
        <v>78</v>
      </c>
      <c r="H871" t="s">
        <v>125</v>
      </c>
      <c r="I871">
        <v>4872.42</v>
      </c>
      <c r="J871">
        <v>7</v>
      </c>
      <c r="K871">
        <v>0.3</v>
      </c>
      <c r="L871">
        <v>114.29</v>
      </c>
      <c r="M871" t="s">
        <v>113</v>
      </c>
      <c r="N871" t="s">
        <v>30</v>
      </c>
      <c r="O871" t="str">
        <f t="shared" si="26"/>
        <v>Bad</v>
      </c>
      <c r="P871">
        <f t="shared" si="27"/>
        <v>696.06000000000006</v>
      </c>
      <c r="Q871">
        <v>45800</v>
      </c>
      <c r="R871">
        <f>YEAR(Table1[[#This Row],[Order_Date_New]])</f>
        <v>2025</v>
      </c>
      <c r="S871">
        <f>MONTH(Table1[[#This Row],[Order_Date_New]])</f>
        <v>5</v>
      </c>
      <c r="T871" t="str">
        <f>TEXT(Table1[[#This Row],[Order_Date_New]],"mmmm")</f>
        <v>May</v>
      </c>
      <c r="U871">
        <f>Table1[[#This Row],[Profit]]/Table1[[#This Row],[Sales]]</f>
        <v>2.3456516474359763E-2</v>
      </c>
      <c r="V871" t="str">
        <f>IF(Table1[[#This Row],[Discount]]=0,"No Discount",IF(Table1[[#This Row],[Discount]]&lt;=0.1,"Low",IF(Table1[[#This Row],[Discount]]&lt;=0.2,"medium","high")))</f>
        <v>high</v>
      </c>
    </row>
    <row r="872" spans="1:22" x14ac:dyDescent="0.3">
      <c r="A872" t="s">
        <v>1168</v>
      </c>
      <c r="B872" s="6">
        <v>45943</v>
      </c>
      <c r="C872" t="s">
        <v>354</v>
      </c>
      <c r="D872" t="s">
        <v>24</v>
      </c>
      <c r="E872" t="s">
        <v>59</v>
      </c>
      <c r="F872" t="s">
        <v>26</v>
      </c>
      <c r="G872" t="s">
        <v>41</v>
      </c>
      <c r="H872" t="s">
        <v>42</v>
      </c>
      <c r="I872">
        <v>464.24</v>
      </c>
      <c r="J872">
        <v>7</v>
      </c>
      <c r="K872">
        <v>0.05</v>
      </c>
      <c r="L872">
        <v>25.4</v>
      </c>
      <c r="M872" t="s">
        <v>37</v>
      </c>
      <c r="N872" t="s">
        <v>30</v>
      </c>
      <c r="O872" t="str">
        <f t="shared" si="26"/>
        <v>Bad</v>
      </c>
      <c r="P872">
        <f t="shared" si="27"/>
        <v>66.320000000000007</v>
      </c>
      <c r="Q872">
        <v>45943</v>
      </c>
      <c r="R872">
        <f>YEAR(Table1[[#This Row],[Order_Date_New]])</f>
        <v>2025</v>
      </c>
      <c r="S872">
        <f>MONTH(Table1[[#This Row],[Order_Date_New]])</f>
        <v>10</v>
      </c>
      <c r="T872" t="str">
        <f>TEXT(Table1[[#This Row],[Order_Date_New]],"mmmm")</f>
        <v>October</v>
      </c>
      <c r="U872">
        <f>Table1[[#This Row],[Profit]]/Table1[[#This Row],[Sales]]</f>
        <v>5.4713079441668096E-2</v>
      </c>
      <c r="V872" t="str">
        <f>IF(Table1[[#This Row],[Discount]]=0,"No Discount",IF(Table1[[#This Row],[Discount]]&lt;=0.1,"Low",IF(Table1[[#This Row],[Discount]]&lt;=0.2,"medium","high")))</f>
        <v>Low</v>
      </c>
    </row>
    <row r="873" spans="1:22" x14ac:dyDescent="0.3">
      <c r="A873" t="s">
        <v>1169</v>
      </c>
      <c r="B873" s="6">
        <v>45671</v>
      </c>
      <c r="C873" t="s">
        <v>71</v>
      </c>
      <c r="D873" t="s">
        <v>128</v>
      </c>
      <c r="E873" t="s">
        <v>202</v>
      </c>
      <c r="F873" t="s">
        <v>72</v>
      </c>
      <c r="G873" t="s">
        <v>111</v>
      </c>
      <c r="H873" t="s">
        <v>182</v>
      </c>
      <c r="I873">
        <v>840.92</v>
      </c>
      <c r="J873">
        <v>1</v>
      </c>
      <c r="K873">
        <v>0.25</v>
      </c>
      <c r="L873">
        <v>125.42</v>
      </c>
      <c r="M873" t="s">
        <v>170</v>
      </c>
      <c r="N873" t="s">
        <v>38</v>
      </c>
      <c r="O873" t="str">
        <f t="shared" si="26"/>
        <v>Bad</v>
      </c>
      <c r="P873">
        <f t="shared" si="27"/>
        <v>840.92</v>
      </c>
      <c r="Q873">
        <v>45671</v>
      </c>
      <c r="R873">
        <f>YEAR(Table1[[#This Row],[Order_Date_New]])</f>
        <v>2025</v>
      </c>
      <c r="S873">
        <f>MONTH(Table1[[#This Row],[Order_Date_New]])</f>
        <v>1</v>
      </c>
      <c r="T873" t="str">
        <f>TEXT(Table1[[#This Row],[Order_Date_New]],"mmmm")</f>
        <v>January</v>
      </c>
      <c r="U873">
        <f>Table1[[#This Row],[Profit]]/Table1[[#This Row],[Sales]]</f>
        <v>0.14914617323883367</v>
      </c>
      <c r="V873" t="str">
        <f>IF(Table1[[#This Row],[Discount]]=0,"No Discount",IF(Table1[[#This Row],[Discount]]&lt;=0.1,"Low",IF(Table1[[#This Row],[Discount]]&lt;=0.2,"medium","high")))</f>
        <v>high</v>
      </c>
    </row>
    <row r="874" spans="1:22" x14ac:dyDescent="0.3">
      <c r="A874" t="s">
        <v>1170</v>
      </c>
      <c r="B874" s="6">
        <v>45653</v>
      </c>
      <c r="C874" t="s">
        <v>631</v>
      </c>
      <c r="D874" t="s">
        <v>24</v>
      </c>
      <c r="E874" t="s">
        <v>97</v>
      </c>
      <c r="F874" t="s">
        <v>60</v>
      </c>
      <c r="G874" t="s">
        <v>61</v>
      </c>
      <c r="H874" t="s">
        <v>62</v>
      </c>
      <c r="I874">
        <v>5299.5</v>
      </c>
      <c r="J874">
        <v>5</v>
      </c>
      <c r="K874">
        <v>0.05</v>
      </c>
      <c r="L874">
        <v>68.33</v>
      </c>
      <c r="M874" t="s">
        <v>68</v>
      </c>
      <c r="N874" t="s">
        <v>30</v>
      </c>
      <c r="O874" t="str">
        <f t="shared" si="26"/>
        <v>Bad</v>
      </c>
      <c r="P874">
        <f t="shared" si="27"/>
        <v>1059.9000000000001</v>
      </c>
      <c r="Q874">
        <v>45653</v>
      </c>
      <c r="R874">
        <f>YEAR(Table1[[#This Row],[Order_Date_New]])</f>
        <v>2024</v>
      </c>
      <c r="S874">
        <f>MONTH(Table1[[#This Row],[Order_Date_New]])</f>
        <v>12</v>
      </c>
      <c r="T874" t="str">
        <f>TEXT(Table1[[#This Row],[Order_Date_New]],"mmmm")</f>
        <v>December</v>
      </c>
      <c r="U874">
        <f>Table1[[#This Row],[Profit]]/Table1[[#This Row],[Sales]]</f>
        <v>1.28936692140768E-2</v>
      </c>
      <c r="V874" t="str">
        <f>IF(Table1[[#This Row],[Discount]]=0,"No Discount",IF(Table1[[#This Row],[Discount]]&lt;=0.1,"Low",IF(Table1[[#This Row],[Discount]]&lt;=0.2,"medium","high")))</f>
        <v>Low</v>
      </c>
    </row>
    <row r="875" spans="1:22" x14ac:dyDescent="0.3">
      <c r="A875" t="s">
        <v>1171</v>
      </c>
      <c r="B875" s="6">
        <v>45737</v>
      </c>
      <c r="C875" t="s">
        <v>92</v>
      </c>
      <c r="D875" t="s">
        <v>128</v>
      </c>
      <c r="E875" t="s">
        <v>146</v>
      </c>
      <c r="F875" t="s">
        <v>60</v>
      </c>
      <c r="G875" t="s">
        <v>78</v>
      </c>
      <c r="H875" t="s">
        <v>222</v>
      </c>
      <c r="I875">
        <v>672.42</v>
      </c>
      <c r="J875">
        <v>7</v>
      </c>
      <c r="K875">
        <v>0</v>
      </c>
      <c r="L875">
        <v>113.86</v>
      </c>
      <c r="M875" t="s">
        <v>37</v>
      </c>
      <c r="N875" t="s">
        <v>30</v>
      </c>
      <c r="O875" t="str">
        <f t="shared" si="26"/>
        <v>Bad</v>
      </c>
      <c r="P875">
        <f t="shared" si="27"/>
        <v>96.059999999999988</v>
      </c>
      <c r="Q875">
        <v>45737</v>
      </c>
      <c r="R875">
        <f>YEAR(Table1[[#This Row],[Order_Date_New]])</f>
        <v>2025</v>
      </c>
      <c r="S875">
        <f>MONTH(Table1[[#This Row],[Order_Date_New]])</f>
        <v>3</v>
      </c>
      <c r="T875" t="str">
        <f>TEXT(Table1[[#This Row],[Order_Date_New]],"mmmm")</f>
        <v>March</v>
      </c>
      <c r="U875">
        <f>Table1[[#This Row],[Profit]]/Table1[[#This Row],[Sales]]</f>
        <v>0.16932869337616371</v>
      </c>
      <c r="V875" t="str">
        <f>IF(Table1[[#This Row],[Discount]]=0,"No Discount",IF(Table1[[#This Row],[Discount]]&lt;=0.1,"Low",IF(Table1[[#This Row],[Discount]]&lt;=0.2,"medium","high")))</f>
        <v>No Discount</v>
      </c>
    </row>
    <row r="876" spans="1:22" x14ac:dyDescent="0.3">
      <c r="A876" t="s">
        <v>1172</v>
      </c>
      <c r="B876" s="6">
        <v>45945</v>
      </c>
      <c r="C876" t="s">
        <v>481</v>
      </c>
      <c r="D876" t="s">
        <v>128</v>
      </c>
      <c r="E876" t="s">
        <v>146</v>
      </c>
      <c r="F876" t="s">
        <v>72</v>
      </c>
      <c r="G876" t="s">
        <v>111</v>
      </c>
      <c r="H876" t="s">
        <v>112</v>
      </c>
      <c r="I876">
        <v>2904.18</v>
      </c>
      <c r="J876">
        <v>6</v>
      </c>
      <c r="K876">
        <v>0.25</v>
      </c>
      <c r="L876">
        <v>-265.52999999999997</v>
      </c>
      <c r="M876" t="s">
        <v>68</v>
      </c>
      <c r="N876" t="s">
        <v>44</v>
      </c>
      <c r="O876" t="str">
        <f t="shared" si="26"/>
        <v>Bad</v>
      </c>
      <c r="P876">
        <f t="shared" si="27"/>
        <v>484.03</v>
      </c>
      <c r="Q876">
        <v>45945</v>
      </c>
      <c r="R876">
        <f>YEAR(Table1[[#This Row],[Order_Date_New]])</f>
        <v>2025</v>
      </c>
      <c r="S876">
        <f>MONTH(Table1[[#This Row],[Order_Date_New]])</f>
        <v>10</v>
      </c>
      <c r="T876" t="str">
        <f>TEXT(Table1[[#This Row],[Order_Date_New]],"mmmm")</f>
        <v>October</v>
      </c>
      <c r="U876">
        <f>Table1[[#This Row],[Profit]]/Table1[[#This Row],[Sales]]</f>
        <v>-9.1430283246906177E-2</v>
      </c>
      <c r="V876" t="str">
        <f>IF(Table1[[#This Row],[Discount]]=0,"No Discount",IF(Table1[[#This Row],[Discount]]&lt;=0.1,"Low",IF(Table1[[#This Row],[Discount]]&lt;=0.2,"medium","high")))</f>
        <v>high</v>
      </c>
    </row>
    <row r="877" spans="1:22" x14ac:dyDescent="0.3">
      <c r="A877" t="s">
        <v>1173</v>
      </c>
      <c r="B877" s="6">
        <v>45990</v>
      </c>
      <c r="C877" t="s">
        <v>1174</v>
      </c>
      <c r="D877" t="s">
        <v>33</v>
      </c>
      <c r="E877" t="s">
        <v>34</v>
      </c>
      <c r="F877" t="s">
        <v>60</v>
      </c>
      <c r="G877" t="s">
        <v>98</v>
      </c>
      <c r="H877" t="s">
        <v>138</v>
      </c>
      <c r="I877">
        <v>2887.41</v>
      </c>
      <c r="J877">
        <v>3</v>
      </c>
      <c r="K877">
        <v>0.2</v>
      </c>
      <c r="L877">
        <v>326.52999999999997</v>
      </c>
      <c r="M877" t="s">
        <v>170</v>
      </c>
      <c r="N877" t="s">
        <v>38</v>
      </c>
      <c r="O877" t="str">
        <f t="shared" si="26"/>
        <v>Bad</v>
      </c>
      <c r="P877">
        <f t="shared" si="27"/>
        <v>962.46999999999991</v>
      </c>
      <c r="Q877">
        <v>45990</v>
      </c>
      <c r="R877">
        <f>YEAR(Table1[[#This Row],[Order_Date_New]])</f>
        <v>2025</v>
      </c>
      <c r="S877">
        <f>MONTH(Table1[[#This Row],[Order_Date_New]])</f>
        <v>11</v>
      </c>
      <c r="T877" t="str">
        <f>TEXT(Table1[[#This Row],[Order_Date_New]],"mmmm")</f>
        <v>November</v>
      </c>
      <c r="U877">
        <f>Table1[[#This Row],[Profit]]/Table1[[#This Row],[Sales]]</f>
        <v>0.11308750748941092</v>
      </c>
      <c r="V877" t="str">
        <f>IF(Table1[[#This Row],[Discount]]=0,"No Discount",IF(Table1[[#This Row],[Discount]]&lt;=0.1,"Low",IF(Table1[[#This Row],[Discount]]&lt;=0.2,"medium","high")))</f>
        <v>medium</v>
      </c>
    </row>
    <row r="878" spans="1:22" x14ac:dyDescent="0.3">
      <c r="A878" t="s">
        <v>1175</v>
      </c>
      <c r="B878" s="6">
        <v>45916</v>
      </c>
      <c r="C878" t="s">
        <v>191</v>
      </c>
      <c r="D878" t="s">
        <v>33</v>
      </c>
      <c r="E878" t="s">
        <v>34</v>
      </c>
      <c r="F878" t="s">
        <v>26</v>
      </c>
      <c r="G878" t="s">
        <v>35</v>
      </c>
      <c r="H878" t="s">
        <v>36</v>
      </c>
      <c r="I878">
        <v>561.34</v>
      </c>
      <c r="J878">
        <v>2</v>
      </c>
      <c r="K878">
        <v>0.3</v>
      </c>
      <c r="L878">
        <v>-112.57</v>
      </c>
      <c r="M878" t="s">
        <v>49</v>
      </c>
      <c r="N878" t="s">
        <v>30</v>
      </c>
      <c r="O878" t="str">
        <f t="shared" si="26"/>
        <v>Bad</v>
      </c>
      <c r="P878">
        <f t="shared" si="27"/>
        <v>280.67</v>
      </c>
      <c r="Q878">
        <v>45916</v>
      </c>
      <c r="R878">
        <f>YEAR(Table1[[#This Row],[Order_Date_New]])</f>
        <v>2025</v>
      </c>
      <c r="S878">
        <f>MONTH(Table1[[#This Row],[Order_Date_New]])</f>
        <v>9</v>
      </c>
      <c r="T878" t="str">
        <f>TEXT(Table1[[#This Row],[Order_Date_New]],"mmmm")</f>
        <v>September</v>
      </c>
      <c r="U878">
        <f>Table1[[#This Row],[Profit]]/Table1[[#This Row],[Sales]]</f>
        <v>-0.20053799836106456</v>
      </c>
      <c r="V878" t="str">
        <f>IF(Table1[[#This Row],[Discount]]=0,"No Discount",IF(Table1[[#This Row],[Discount]]&lt;=0.1,"Low",IF(Table1[[#This Row],[Discount]]&lt;=0.2,"medium","high")))</f>
        <v>high</v>
      </c>
    </row>
    <row r="879" spans="1:22" x14ac:dyDescent="0.3">
      <c r="A879" t="s">
        <v>1176</v>
      </c>
      <c r="B879" s="6">
        <v>45752</v>
      </c>
      <c r="C879" t="s">
        <v>588</v>
      </c>
      <c r="D879" t="s">
        <v>33</v>
      </c>
      <c r="E879" t="s">
        <v>118</v>
      </c>
      <c r="F879" t="s">
        <v>26</v>
      </c>
      <c r="G879" t="s">
        <v>27</v>
      </c>
      <c r="H879" t="s">
        <v>28</v>
      </c>
      <c r="I879">
        <v>277.62</v>
      </c>
      <c r="J879">
        <v>3</v>
      </c>
      <c r="K879">
        <v>0.1</v>
      </c>
      <c r="L879">
        <v>34.159999999999997</v>
      </c>
      <c r="M879" t="s">
        <v>68</v>
      </c>
      <c r="N879" t="s">
        <v>38</v>
      </c>
      <c r="O879" t="str">
        <f t="shared" si="26"/>
        <v>Bad</v>
      </c>
      <c r="P879">
        <f t="shared" si="27"/>
        <v>92.54</v>
      </c>
      <c r="Q879">
        <v>45752</v>
      </c>
      <c r="R879">
        <f>YEAR(Table1[[#This Row],[Order_Date_New]])</f>
        <v>2025</v>
      </c>
      <c r="S879">
        <f>MONTH(Table1[[#This Row],[Order_Date_New]])</f>
        <v>4</v>
      </c>
      <c r="T879" t="str">
        <f>TEXT(Table1[[#This Row],[Order_Date_New]],"mmmm")</f>
        <v>April</v>
      </c>
      <c r="U879">
        <f>Table1[[#This Row],[Profit]]/Table1[[#This Row],[Sales]]</f>
        <v>0.12304589006555722</v>
      </c>
      <c r="V879" t="str">
        <f>IF(Table1[[#This Row],[Discount]]=0,"No Discount",IF(Table1[[#This Row],[Discount]]&lt;=0.1,"Low",IF(Table1[[#This Row],[Discount]]&lt;=0.2,"medium","high")))</f>
        <v>Low</v>
      </c>
    </row>
    <row r="880" spans="1:22" x14ac:dyDescent="0.3">
      <c r="A880" t="s">
        <v>1177</v>
      </c>
      <c r="B880" s="6">
        <v>45897</v>
      </c>
      <c r="C880" t="s">
        <v>634</v>
      </c>
      <c r="D880" t="s">
        <v>53</v>
      </c>
      <c r="E880" t="s">
        <v>77</v>
      </c>
      <c r="F880" t="s">
        <v>60</v>
      </c>
      <c r="G880" t="s">
        <v>61</v>
      </c>
      <c r="H880" t="s">
        <v>122</v>
      </c>
      <c r="I880">
        <v>1220.8800000000001</v>
      </c>
      <c r="J880">
        <v>8</v>
      </c>
      <c r="K880">
        <v>0.15</v>
      </c>
      <c r="L880">
        <v>-13.28</v>
      </c>
      <c r="M880" t="s">
        <v>133</v>
      </c>
      <c r="N880" t="s">
        <v>38</v>
      </c>
      <c r="O880" t="str">
        <f t="shared" si="26"/>
        <v>Bad</v>
      </c>
      <c r="P880">
        <f t="shared" si="27"/>
        <v>152.61000000000001</v>
      </c>
      <c r="Q880">
        <v>45897</v>
      </c>
      <c r="R880">
        <f>YEAR(Table1[[#This Row],[Order_Date_New]])</f>
        <v>2025</v>
      </c>
      <c r="S880">
        <f>MONTH(Table1[[#This Row],[Order_Date_New]])</f>
        <v>8</v>
      </c>
      <c r="T880" t="str">
        <f>TEXT(Table1[[#This Row],[Order_Date_New]],"mmmm")</f>
        <v>August</v>
      </c>
      <c r="U880">
        <f>Table1[[#This Row],[Profit]]/Table1[[#This Row],[Sales]]</f>
        <v>-1.0877399908262891E-2</v>
      </c>
      <c r="V880" t="str">
        <f>IF(Table1[[#This Row],[Discount]]=0,"No Discount",IF(Table1[[#This Row],[Discount]]&lt;=0.1,"Low",IF(Table1[[#This Row],[Discount]]&lt;=0.2,"medium","high")))</f>
        <v>medium</v>
      </c>
    </row>
    <row r="881" spans="1:22" x14ac:dyDescent="0.3">
      <c r="A881" t="s">
        <v>1178</v>
      </c>
      <c r="B881" s="6">
        <v>45431</v>
      </c>
      <c r="C881" t="s">
        <v>317</v>
      </c>
      <c r="D881" t="s">
        <v>24</v>
      </c>
      <c r="E881" t="s">
        <v>59</v>
      </c>
      <c r="F881" t="s">
        <v>72</v>
      </c>
      <c r="G881" t="s">
        <v>73</v>
      </c>
      <c r="H881" t="s">
        <v>102</v>
      </c>
      <c r="I881">
        <v>2188.98</v>
      </c>
      <c r="J881">
        <v>3</v>
      </c>
      <c r="K881">
        <v>0.3</v>
      </c>
      <c r="L881">
        <v>-543.54</v>
      </c>
      <c r="M881" t="s">
        <v>105</v>
      </c>
      <c r="N881" t="s">
        <v>80</v>
      </c>
      <c r="O881" t="str">
        <f t="shared" si="26"/>
        <v>Bad</v>
      </c>
      <c r="P881">
        <f t="shared" si="27"/>
        <v>729.66</v>
      </c>
      <c r="Q881">
        <v>45431</v>
      </c>
      <c r="R881">
        <f>YEAR(Table1[[#This Row],[Order_Date_New]])</f>
        <v>2024</v>
      </c>
      <c r="S881">
        <f>MONTH(Table1[[#This Row],[Order_Date_New]])</f>
        <v>5</v>
      </c>
      <c r="T881" t="str">
        <f>TEXT(Table1[[#This Row],[Order_Date_New]],"mmmm")</f>
        <v>May</v>
      </c>
      <c r="U881">
        <f>Table1[[#This Row],[Profit]]/Table1[[#This Row],[Sales]]</f>
        <v>-0.24830743085820792</v>
      </c>
      <c r="V881" t="str">
        <f>IF(Table1[[#This Row],[Discount]]=0,"No Discount",IF(Table1[[#This Row],[Discount]]&lt;=0.1,"Low",IF(Table1[[#This Row],[Discount]]&lt;=0.2,"medium","high")))</f>
        <v>high</v>
      </c>
    </row>
    <row r="882" spans="1:22" x14ac:dyDescent="0.3">
      <c r="A882" t="s">
        <v>1179</v>
      </c>
      <c r="B882" s="6">
        <v>45968</v>
      </c>
      <c r="C882" t="s">
        <v>336</v>
      </c>
      <c r="D882" t="s">
        <v>53</v>
      </c>
      <c r="E882" t="s">
        <v>87</v>
      </c>
      <c r="F882" t="s">
        <v>72</v>
      </c>
      <c r="G882" t="s">
        <v>73</v>
      </c>
      <c r="H882" t="s">
        <v>293</v>
      </c>
      <c r="I882">
        <v>7802.96</v>
      </c>
      <c r="J882">
        <v>8</v>
      </c>
      <c r="K882">
        <v>0</v>
      </c>
      <c r="L882">
        <v>2932.53</v>
      </c>
      <c r="M882" t="s">
        <v>43</v>
      </c>
      <c r="N882" t="s">
        <v>38</v>
      </c>
      <c r="O882" t="str">
        <f t="shared" si="26"/>
        <v>Good</v>
      </c>
      <c r="P882">
        <f t="shared" si="27"/>
        <v>975.37</v>
      </c>
      <c r="Q882">
        <v>45968</v>
      </c>
      <c r="R882">
        <f>YEAR(Table1[[#This Row],[Order_Date_New]])</f>
        <v>2025</v>
      </c>
      <c r="S882">
        <f>MONTH(Table1[[#This Row],[Order_Date_New]])</f>
        <v>11</v>
      </c>
      <c r="T882" t="str">
        <f>TEXT(Table1[[#This Row],[Order_Date_New]],"mmmm")</f>
        <v>November</v>
      </c>
      <c r="U882">
        <f>Table1[[#This Row],[Profit]]/Table1[[#This Row],[Sales]]</f>
        <v>0.37582276469442366</v>
      </c>
      <c r="V882" t="str">
        <f>IF(Table1[[#This Row],[Discount]]=0,"No Discount",IF(Table1[[#This Row],[Discount]]&lt;=0.1,"Low",IF(Table1[[#This Row],[Discount]]&lt;=0.2,"medium","high")))</f>
        <v>No Discount</v>
      </c>
    </row>
    <row r="883" spans="1:22" x14ac:dyDescent="0.3">
      <c r="A883" t="s">
        <v>1180</v>
      </c>
      <c r="B883" s="6">
        <v>45940</v>
      </c>
      <c r="C883" t="s">
        <v>188</v>
      </c>
      <c r="D883" t="s">
        <v>33</v>
      </c>
      <c r="E883" t="s">
        <v>34</v>
      </c>
      <c r="F883" t="s">
        <v>26</v>
      </c>
      <c r="G883" t="s">
        <v>27</v>
      </c>
      <c r="H883" t="s">
        <v>271</v>
      </c>
      <c r="I883">
        <v>5300.05</v>
      </c>
      <c r="J883">
        <v>7</v>
      </c>
      <c r="K883">
        <v>0.25</v>
      </c>
      <c r="L883">
        <v>355.71</v>
      </c>
      <c r="M883" t="s">
        <v>68</v>
      </c>
      <c r="N883" t="s">
        <v>44</v>
      </c>
      <c r="O883" t="str">
        <f t="shared" si="26"/>
        <v>Bad</v>
      </c>
      <c r="P883">
        <f t="shared" si="27"/>
        <v>757.15</v>
      </c>
      <c r="Q883">
        <v>45940</v>
      </c>
      <c r="R883">
        <f>YEAR(Table1[[#This Row],[Order_Date_New]])</f>
        <v>2025</v>
      </c>
      <c r="S883">
        <f>MONTH(Table1[[#This Row],[Order_Date_New]])</f>
        <v>10</v>
      </c>
      <c r="T883" t="str">
        <f>TEXT(Table1[[#This Row],[Order_Date_New]],"mmmm")</f>
        <v>October</v>
      </c>
      <c r="U883">
        <f>Table1[[#This Row],[Profit]]/Table1[[#This Row],[Sales]]</f>
        <v>6.7114461184328442E-2</v>
      </c>
      <c r="V883" t="str">
        <f>IF(Table1[[#This Row],[Discount]]=0,"No Discount",IF(Table1[[#This Row],[Discount]]&lt;=0.1,"Low",IF(Table1[[#This Row],[Discount]]&lt;=0.2,"medium","high")))</f>
        <v>high</v>
      </c>
    </row>
    <row r="884" spans="1:22" x14ac:dyDescent="0.3">
      <c r="A884" t="s">
        <v>1181</v>
      </c>
      <c r="B884" s="6">
        <v>45427</v>
      </c>
      <c r="C884" t="s">
        <v>553</v>
      </c>
      <c r="D884" t="s">
        <v>33</v>
      </c>
      <c r="E884" t="s">
        <v>66</v>
      </c>
      <c r="F884" t="s">
        <v>26</v>
      </c>
      <c r="G884" t="s">
        <v>35</v>
      </c>
      <c r="H884" t="s">
        <v>36</v>
      </c>
      <c r="I884">
        <v>205.65</v>
      </c>
      <c r="J884">
        <v>3</v>
      </c>
      <c r="K884">
        <v>0.1</v>
      </c>
      <c r="L884">
        <v>-7.67</v>
      </c>
      <c r="M884" t="s">
        <v>49</v>
      </c>
      <c r="N884" t="s">
        <v>44</v>
      </c>
      <c r="O884" t="str">
        <f t="shared" si="26"/>
        <v>Bad</v>
      </c>
      <c r="P884">
        <f t="shared" si="27"/>
        <v>68.55</v>
      </c>
      <c r="Q884">
        <v>45427</v>
      </c>
      <c r="R884">
        <f>YEAR(Table1[[#This Row],[Order_Date_New]])</f>
        <v>2024</v>
      </c>
      <c r="S884">
        <f>MONTH(Table1[[#This Row],[Order_Date_New]])</f>
        <v>5</v>
      </c>
      <c r="T884" t="str">
        <f>TEXT(Table1[[#This Row],[Order_Date_New]],"mmmm")</f>
        <v>May</v>
      </c>
      <c r="U884">
        <f>Table1[[#This Row],[Profit]]/Table1[[#This Row],[Sales]]</f>
        <v>-3.7296377340141018E-2</v>
      </c>
      <c r="V884" t="str">
        <f>IF(Table1[[#This Row],[Discount]]=0,"No Discount",IF(Table1[[#This Row],[Discount]]&lt;=0.1,"Low",IF(Table1[[#This Row],[Discount]]&lt;=0.2,"medium","high")))</f>
        <v>Low</v>
      </c>
    </row>
    <row r="885" spans="1:22" x14ac:dyDescent="0.3">
      <c r="A885" t="s">
        <v>1182</v>
      </c>
      <c r="B885" s="6">
        <v>45501</v>
      </c>
      <c r="C885" t="s">
        <v>86</v>
      </c>
      <c r="D885" t="s">
        <v>24</v>
      </c>
      <c r="E885" t="s">
        <v>25</v>
      </c>
      <c r="F885" t="s">
        <v>26</v>
      </c>
      <c r="G885" t="s">
        <v>41</v>
      </c>
      <c r="H885" t="s">
        <v>189</v>
      </c>
      <c r="I885">
        <v>5595.39</v>
      </c>
      <c r="J885">
        <v>9</v>
      </c>
      <c r="K885">
        <v>0.3</v>
      </c>
      <c r="L885">
        <v>-755.91</v>
      </c>
      <c r="M885" t="s">
        <v>113</v>
      </c>
      <c r="N885" t="s">
        <v>30</v>
      </c>
      <c r="O885" t="str">
        <f t="shared" si="26"/>
        <v>Good</v>
      </c>
      <c r="P885">
        <f t="shared" si="27"/>
        <v>621.71</v>
      </c>
      <c r="Q885">
        <v>45501</v>
      </c>
      <c r="R885">
        <f>YEAR(Table1[[#This Row],[Order_Date_New]])</f>
        <v>2024</v>
      </c>
      <c r="S885">
        <f>MONTH(Table1[[#This Row],[Order_Date_New]])</f>
        <v>7</v>
      </c>
      <c r="T885" t="str">
        <f>TEXT(Table1[[#This Row],[Order_Date_New]],"mmmm")</f>
        <v>July</v>
      </c>
      <c r="U885">
        <f>Table1[[#This Row],[Profit]]/Table1[[#This Row],[Sales]]</f>
        <v>-0.13509514082128321</v>
      </c>
      <c r="V885" t="str">
        <f>IF(Table1[[#This Row],[Discount]]=0,"No Discount",IF(Table1[[#This Row],[Discount]]&lt;=0.1,"Low",IF(Table1[[#This Row],[Discount]]&lt;=0.2,"medium","high")))</f>
        <v>high</v>
      </c>
    </row>
    <row r="886" spans="1:22" x14ac:dyDescent="0.3">
      <c r="A886" t="s">
        <v>1183</v>
      </c>
      <c r="B886" s="6">
        <v>45523</v>
      </c>
      <c r="C886" t="s">
        <v>117</v>
      </c>
      <c r="D886" t="s">
        <v>128</v>
      </c>
      <c r="E886" t="s">
        <v>146</v>
      </c>
      <c r="F886" t="s">
        <v>60</v>
      </c>
      <c r="G886" t="s">
        <v>61</v>
      </c>
      <c r="H886" t="s">
        <v>122</v>
      </c>
      <c r="I886">
        <v>1745.04</v>
      </c>
      <c r="J886">
        <v>3</v>
      </c>
      <c r="K886">
        <v>0.25</v>
      </c>
      <c r="L886">
        <v>17.13</v>
      </c>
      <c r="M886" t="s">
        <v>68</v>
      </c>
      <c r="N886" t="s">
        <v>80</v>
      </c>
      <c r="O886" t="str">
        <f t="shared" si="26"/>
        <v>Bad</v>
      </c>
      <c r="P886">
        <f t="shared" si="27"/>
        <v>581.67999999999995</v>
      </c>
      <c r="Q886">
        <v>45523</v>
      </c>
      <c r="R886">
        <f>YEAR(Table1[[#This Row],[Order_Date_New]])</f>
        <v>2024</v>
      </c>
      <c r="S886">
        <f>MONTH(Table1[[#This Row],[Order_Date_New]])</f>
        <v>8</v>
      </c>
      <c r="T886" t="str">
        <f>TEXT(Table1[[#This Row],[Order_Date_New]],"mmmm")</f>
        <v>August</v>
      </c>
      <c r="U886">
        <f>Table1[[#This Row],[Profit]]/Table1[[#This Row],[Sales]]</f>
        <v>9.8163938935497182E-3</v>
      </c>
      <c r="V886" t="str">
        <f>IF(Table1[[#This Row],[Discount]]=0,"No Discount",IF(Table1[[#This Row],[Discount]]&lt;=0.1,"Low",IF(Table1[[#This Row],[Discount]]&lt;=0.2,"medium","high")))</f>
        <v>high</v>
      </c>
    </row>
    <row r="887" spans="1:22" x14ac:dyDescent="0.3">
      <c r="A887" t="s">
        <v>1184</v>
      </c>
      <c r="B887" s="6">
        <v>45445</v>
      </c>
      <c r="C887" t="s">
        <v>215</v>
      </c>
      <c r="D887" t="s">
        <v>53</v>
      </c>
      <c r="E887" t="s">
        <v>87</v>
      </c>
      <c r="F887" t="s">
        <v>60</v>
      </c>
      <c r="G887" t="s">
        <v>61</v>
      </c>
      <c r="H887" t="s">
        <v>67</v>
      </c>
      <c r="I887">
        <v>1794.85</v>
      </c>
      <c r="J887">
        <v>5</v>
      </c>
      <c r="K887">
        <v>0.1</v>
      </c>
      <c r="L887">
        <v>491.3</v>
      </c>
      <c r="M887" t="s">
        <v>113</v>
      </c>
      <c r="N887" t="s">
        <v>38</v>
      </c>
      <c r="O887" t="str">
        <f t="shared" si="26"/>
        <v>Bad</v>
      </c>
      <c r="P887">
        <f t="shared" si="27"/>
        <v>358.96999999999997</v>
      </c>
      <c r="Q887">
        <v>45445</v>
      </c>
      <c r="R887">
        <f>YEAR(Table1[[#This Row],[Order_Date_New]])</f>
        <v>2024</v>
      </c>
      <c r="S887">
        <f>MONTH(Table1[[#This Row],[Order_Date_New]])</f>
        <v>6</v>
      </c>
      <c r="T887" t="str">
        <f>TEXT(Table1[[#This Row],[Order_Date_New]],"mmmm")</f>
        <v>June</v>
      </c>
      <c r="U887">
        <f>Table1[[#This Row],[Profit]]/Table1[[#This Row],[Sales]]</f>
        <v>0.27372760954954456</v>
      </c>
      <c r="V887" t="str">
        <f>IF(Table1[[#This Row],[Discount]]=0,"No Discount",IF(Table1[[#This Row],[Discount]]&lt;=0.1,"Low",IF(Table1[[#This Row],[Discount]]&lt;=0.2,"medium","high")))</f>
        <v>Low</v>
      </c>
    </row>
    <row r="888" spans="1:22" x14ac:dyDescent="0.3">
      <c r="A888" t="s">
        <v>1185</v>
      </c>
      <c r="B888" s="6">
        <v>45851</v>
      </c>
      <c r="C888" t="s">
        <v>121</v>
      </c>
      <c r="D888" t="s">
        <v>128</v>
      </c>
      <c r="E888" t="s">
        <v>132</v>
      </c>
      <c r="F888" t="s">
        <v>72</v>
      </c>
      <c r="G888" t="s">
        <v>111</v>
      </c>
      <c r="H888" t="s">
        <v>182</v>
      </c>
      <c r="I888">
        <v>2128.94</v>
      </c>
      <c r="J888">
        <v>2</v>
      </c>
      <c r="K888">
        <v>0.1</v>
      </c>
      <c r="L888">
        <v>596.98</v>
      </c>
      <c r="M888" t="s">
        <v>133</v>
      </c>
      <c r="N888" t="s">
        <v>38</v>
      </c>
      <c r="O888" t="str">
        <f t="shared" si="26"/>
        <v>Bad</v>
      </c>
      <c r="P888">
        <f t="shared" si="27"/>
        <v>1064.47</v>
      </c>
      <c r="Q888">
        <v>45851</v>
      </c>
      <c r="R888">
        <f>YEAR(Table1[[#This Row],[Order_Date_New]])</f>
        <v>2025</v>
      </c>
      <c r="S888">
        <f>MONTH(Table1[[#This Row],[Order_Date_New]])</f>
        <v>7</v>
      </c>
      <c r="T888" t="str">
        <f>TEXT(Table1[[#This Row],[Order_Date_New]],"mmmm")</f>
        <v>July</v>
      </c>
      <c r="U888">
        <f>Table1[[#This Row],[Profit]]/Table1[[#This Row],[Sales]]</f>
        <v>0.28041184814978348</v>
      </c>
      <c r="V888" t="str">
        <f>IF(Table1[[#This Row],[Discount]]=0,"No Discount",IF(Table1[[#This Row],[Discount]]&lt;=0.1,"Low",IF(Table1[[#This Row],[Discount]]&lt;=0.2,"medium","high")))</f>
        <v>Low</v>
      </c>
    </row>
    <row r="889" spans="1:22" x14ac:dyDescent="0.3">
      <c r="A889" t="s">
        <v>1186</v>
      </c>
      <c r="B889" s="6">
        <v>45538</v>
      </c>
      <c r="C889" t="s">
        <v>186</v>
      </c>
      <c r="D889" t="s">
        <v>33</v>
      </c>
      <c r="E889" t="s">
        <v>118</v>
      </c>
      <c r="F889" t="s">
        <v>60</v>
      </c>
      <c r="G889" t="s">
        <v>61</v>
      </c>
      <c r="H889" t="s">
        <v>67</v>
      </c>
      <c r="I889">
        <v>3720</v>
      </c>
      <c r="J889">
        <v>4</v>
      </c>
      <c r="K889">
        <v>0.25</v>
      </c>
      <c r="L889">
        <v>-679.23</v>
      </c>
      <c r="M889" t="s">
        <v>133</v>
      </c>
      <c r="N889" t="s">
        <v>44</v>
      </c>
      <c r="O889" t="str">
        <f t="shared" si="26"/>
        <v>Bad</v>
      </c>
      <c r="P889">
        <f t="shared" si="27"/>
        <v>930</v>
      </c>
      <c r="Q889">
        <v>45538</v>
      </c>
      <c r="R889">
        <f>YEAR(Table1[[#This Row],[Order_Date_New]])</f>
        <v>2024</v>
      </c>
      <c r="S889">
        <f>MONTH(Table1[[#This Row],[Order_Date_New]])</f>
        <v>9</v>
      </c>
      <c r="T889" t="str">
        <f>TEXT(Table1[[#This Row],[Order_Date_New]],"mmmm")</f>
        <v>September</v>
      </c>
      <c r="U889">
        <f>Table1[[#This Row],[Profit]]/Table1[[#This Row],[Sales]]</f>
        <v>-0.18258870967741936</v>
      </c>
      <c r="V889" t="str">
        <f>IF(Table1[[#This Row],[Discount]]=0,"No Discount",IF(Table1[[#This Row],[Discount]]&lt;=0.1,"Low",IF(Table1[[#This Row],[Discount]]&lt;=0.2,"medium","high")))</f>
        <v>high</v>
      </c>
    </row>
    <row r="890" spans="1:22" x14ac:dyDescent="0.3">
      <c r="A890" t="s">
        <v>1187</v>
      </c>
      <c r="B890" s="6">
        <v>45621</v>
      </c>
      <c r="C890" t="s">
        <v>127</v>
      </c>
      <c r="D890" t="s">
        <v>24</v>
      </c>
      <c r="E890" t="s">
        <v>25</v>
      </c>
      <c r="F890" t="s">
        <v>60</v>
      </c>
      <c r="G890" t="s">
        <v>98</v>
      </c>
      <c r="H890" t="s">
        <v>138</v>
      </c>
      <c r="I890">
        <v>344.3</v>
      </c>
      <c r="J890">
        <v>1</v>
      </c>
      <c r="K890">
        <v>0.05</v>
      </c>
      <c r="L890">
        <v>32.299999999999997</v>
      </c>
      <c r="M890" t="s">
        <v>68</v>
      </c>
      <c r="N890" t="s">
        <v>30</v>
      </c>
      <c r="O890" t="str">
        <f t="shared" si="26"/>
        <v>Bad</v>
      </c>
      <c r="P890">
        <f t="shared" si="27"/>
        <v>344.3</v>
      </c>
      <c r="Q890">
        <v>45621</v>
      </c>
      <c r="R890">
        <f>YEAR(Table1[[#This Row],[Order_Date_New]])</f>
        <v>2024</v>
      </c>
      <c r="S890">
        <f>MONTH(Table1[[#This Row],[Order_Date_New]])</f>
        <v>11</v>
      </c>
      <c r="T890" t="str">
        <f>TEXT(Table1[[#This Row],[Order_Date_New]],"mmmm")</f>
        <v>November</v>
      </c>
      <c r="U890">
        <f>Table1[[#This Row],[Profit]]/Table1[[#This Row],[Sales]]</f>
        <v>9.3813534708103385E-2</v>
      </c>
      <c r="V890" t="str">
        <f>IF(Table1[[#This Row],[Discount]]=0,"No Discount",IF(Table1[[#This Row],[Discount]]&lt;=0.1,"Low",IF(Table1[[#This Row],[Discount]]&lt;=0.2,"medium","high")))</f>
        <v>Low</v>
      </c>
    </row>
    <row r="891" spans="1:22" x14ac:dyDescent="0.3">
      <c r="A891" t="s">
        <v>1188</v>
      </c>
      <c r="B891" s="6">
        <v>45763</v>
      </c>
      <c r="C891" t="s">
        <v>197</v>
      </c>
      <c r="D891" t="s">
        <v>33</v>
      </c>
      <c r="E891" t="s">
        <v>48</v>
      </c>
      <c r="F891" t="s">
        <v>72</v>
      </c>
      <c r="G891" t="s">
        <v>88</v>
      </c>
      <c r="H891" t="s">
        <v>209</v>
      </c>
      <c r="I891">
        <v>399.65</v>
      </c>
      <c r="J891">
        <v>1</v>
      </c>
      <c r="K891">
        <v>0.3</v>
      </c>
      <c r="L891">
        <v>-51.74</v>
      </c>
      <c r="M891" t="s">
        <v>37</v>
      </c>
      <c r="N891" t="s">
        <v>30</v>
      </c>
      <c r="O891" t="str">
        <f t="shared" si="26"/>
        <v>Bad</v>
      </c>
      <c r="P891">
        <f t="shared" si="27"/>
        <v>399.65</v>
      </c>
      <c r="Q891">
        <v>45763</v>
      </c>
      <c r="R891">
        <f>YEAR(Table1[[#This Row],[Order_Date_New]])</f>
        <v>2025</v>
      </c>
      <c r="S891">
        <f>MONTH(Table1[[#This Row],[Order_Date_New]])</f>
        <v>4</v>
      </c>
      <c r="T891" t="str">
        <f>TEXT(Table1[[#This Row],[Order_Date_New]],"mmmm")</f>
        <v>April</v>
      </c>
      <c r="U891">
        <f>Table1[[#This Row],[Profit]]/Table1[[#This Row],[Sales]]</f>
        <v>-0.12946328037032404</v>
      </c>
      <c r="V891" t="str">
        <f>IF(Table1[[#This Row],[Discount]]=0,"No Discount",IF(Table1[[#This Row],[Discount]]&lt;=0.1,"Low",IF(Table1[[#This Row],[Discount]]&lt;=0.2,"medium","high")))</f>
        <v>high</v>
      </c>
    </row>
    <row r="892" spans="1:22" x14ac:dyDescent="0.3">
      <c r="A892" t="s">
        <v>1189</v>
      </c>
      <c r="B892" s="6">
        <v>45390</v>
      </c>
      <c r="C892" t="s">
        <v>463</v>
      </c>
      <c r="D892" t="s">
        <v>53</v>
      </c>
      <c r="E892" t="s">
        <v>107</v>
      </c>
      <c r="F892" t="s">
        <v>26</v>
      </c>
      <c r="G892" t="s">
        <v>35</v>
      </c>
      <c r="H892" t="s">
        <v>36</v>
      </c>
      <c r="I892">
        <v>4089.6</v>
      </c>
      <c r="J892">
        <v>5</v>
      </c>
      <c r="K892">
        <v>0.05</v>
      </c>
      <c r="L892">
        <v>921.94</v>
      </c>
      <c r="M892" t="s">
        <v>29</v>
      </c>
      <c r="N892" t="s">
        <v>80</v>
      </c>
      <c r="O892" t="str">
        <f t="shared" si="26"/>
        <v>Bad</v>
      </c>
      <c r="P892">
        <f t="shared" si="27"/>
        <v>817.92</v>
      </c>
      <c r="Q892">
        <v>45390</v>
      </c>
      <c r="R892">
        <f>YEAR(Table1[[#This Row],[Order_Date_New]])</f>
        <v>2024</v>
      </c>
      <c r="S892">
        <f>MONTH(Table1[[#This Row],[Order_Date_New]])</f>
        <v>4</v>
      </c>
      <c r="T892" t="str">
        <f>TEXT(Table1[[#This Row],[Order_Date_New]],"mmmm")</f>
        <v>April</v>
      </c>
      <c r="U892">
        <f>Table1[[#This Row],[Profit]]/Table1[[#This Row],[Sales]]</f>
        <v>0.22543525039123632</v>
      </c>
      <c r="V892" t="str">
        <f>IF(Table1[[#This Row],[Discount]]=0,"No Discount",IF(Table1[[#This Row],[Discount]]&lt;=0.1,"Low",IF(Table1[[#This Row],[Discount]]&lt;=0.2,"medium","high")))</f>
        <v>Low</v>
      </c>
    </row>
    <row r="893" spans="1:22" x14ac:dyDescent="0.3">
      <c r="A893" t="s">
        <v>1190</v>
      </c>
      <c r="B893" s="6">
        <v>45460</v>
      </c>
      <c r="C893" t="s">
        <v>228</v>
      </c>
      <c r="D893" t="s">
        <v>128</v>
      </c>
      <c r="E893" t="s">
        <v>132</v>
      </c>
      <c r="F893" t="s">
        <v>26</v>
      </c>
      <c r="G893" t="s">
        <v>41</v>
      </c>
      <c r="H893" t="s">
        <v>189</v>
      </c>
      <c r="I893">
        <v>1123.58</v>
      </c>
      <c r="J893">
        <v>2</v>
      </c>
      <c r="K893">
        <v>0.05</v>
      </c>
      <c r="L893">
        <v>180.07</v>
      </c>
      <c r="M893" t="s">
        <v>113</v>
      </c>
      <c r="N893" t="s">
        <v>30</v>
      </c>
      <c r="O893" t="str">
        <f t="shared" si="26"/>
        <v>Bad</v>
      </c>
      <c r="P893">
        <f t="shared" si="27"/>
        <v>561.79</v>
      </c>
      <c r="Q893">
        <v>45460</v>
      </c>
      <c r="R893">
        <f>YEAR(Table1[[#This Row],[Order_Date_New]])</f>
        <v>2024</v>
      </c>
      <c r="S893">
        <f>MONTH(Table1[[#This Row],[Order_Date_New]])</f>
        <v>6</v>
      </c>
      <c r="T893" t="str">
        <f>TEXT(Table1[[#This Row],[Order_Date_New]],"mmmm")</f>
        <v>June</v>
      </c>
      <c r="U893">
        <f>Table1[[#This Row],[Profit]]/Table1[[#This Row],[Sales]]</f>
        <v>0.16026451165026079</v>
      </c>
      <c r="V893" t="str">
        <f>IF(Table1[[#This Row],[Discount]]=0,"No Discount",IF(Table1[[#This Row],[Discount]]&lt;=0.1,"Low",IF(Table1[[#This Row],[Discount]]&lt;=0.2,"medium","high")))</f>
        <v>Low</v>
      </c>
    </row>
    <row r="894" spans="1:22" x14ac:dyDescent="0.3">
      <c r="A894" t="s">
        <v>1191</v>
      </c>
      <c r="B894" s="6">
        <v>45305</v>
      </c>
      <c r="C894" t="s">
        <v>334</v>
      </c>
      <c r="D894" t="s">
        <v>53</v>
      </c>
      <c r="E894" t="s">
        <v>54</v>
      </c>
      <c r="F894" t="s">
        <v>26</v>
      </c>
      <c r="G894" t="s">
        <v>27</v>
      </c>
      <c r="H894" t="s">
        <v>271</v>
      </c>
      <c r="I894">
        <v>841.24</v>
      </c>
      <c r="J894">
        <v>1</v>
      </c>
      <c r="K894">
        <v>0.25</v>
      </c>
      <c r="L894">
        <v>107.46</v>
      </c>
      <c r="M894" t="s">
        <v>170</v>
      </c>
      <c r="N894" t="s">
        <v>38</v>
      </c>
      <c r="O894" t="str">
        <f t="shared" si="26"/>
        <v>Bad</v>
      </c>
      <c r="P894">
        <f t="shared" si="27"/>
        <v>841.24</v>
      </c>
      <c r="Q894">
        <v>45305</v>
      </c>
      <c r="R894">
        <f>YEAR(Table1[[#This Row],[Order_Date_New]])</f>
        <v>2024</v>
      </c>
      <c r="S894">
        <f>MONTH(Table1[[#This Row],[Order_Date_New]])</f>
        <v>1</v>
      </c>
      <c r="T894" t="str">
        <f>TEXT(Table1[[#This Row],[Order_Date_New]],"mmmm")</f>
        <v>January</v>
      </c>
      <c r="U894">
        <f>Table1[[#This Row],[Profit]]/Table1[[#This Row],[Sales]]</f>
        <v>0.12774000285293138</v>
      </c>
      <c r="V894" t="str">
        <f>IF(Table1[[#This Row],[Discount]]=0,"No Discount",IF(Table1[[#This Row],[Discount]]&lt;=0.1,"Low",IF(Table1[[#This Row],[Discount]]&lt;=0.2,"medium","high")))</f>
        <v>high</v>
      </c>
    </row>
    <row r="895" spans="1:22" x14ac:dyDescent="0.3">
      <c r="A895" t="s">
        <v>1192</v>
      </c>
      <c r="B895" s="6">
        <v>45488</v>
      </c>
      <c r="C895" t="s">
        <v>135</v>
      </c>
      <c r="D895" t="s">
        <v>53</v>
      </c>
      <c r="E895" t="s">
        <v>54</v>
      </c>
      <c r="F895" t="s">
        <v>26</v>
      </c>
      <c r="G895" t="s">
        <v>41</v>
      </c>
      <c r="H895" t="s">
        <v>42</v>
      </c>
      <c r="I895">
        <v>8588.52</v>
      </c>
      <c r="J895">
        <v>9</v>
      </c>
      <c r="K895">
        <v>0</v>
      </c>
      <c r="L895">
        <v>1035.8399999999999</v>
      </c>
      <c r="M895" t="s">
        <v>90</v>
      </c>
      <c r="N895" t="s">
        <v>44</v>
      </c>
      <c r="O895" t="str">
        <f t="shared" si="26"/>
        <v>Good</v>
      </c>
      <c r="P895">
        <f t="shared" si="27"/>
        <v>954.28000000000009</v>
      </c>
      <c r="Q895">
        <v>45488</v>
      </c>
      <c r="R895">
        <f>YEAR(Table1[[#This Row],[Order_Date_New]])</f>
        <v>2024</v>
      </c>
      <c r="S895">
        <f>MONTH(Table1[[#This Row],[Order_Date_New]])</f>
        <v>7</v>
      </c>
      <c r="T895" t="str">
        <f>TEXT(Table1[[#This Row],[Order_Date_New]],"mmmm")</f>
        <v>July</v>
      </c>
      <c r="U895">
        <f>Table1[[#This Row],[Profit]]/Table1[[#This Row],[Sales]]</f>
        <v>0.12060750862779616</v>
      </c>
      <c r="V895" t="str">
        <f>IF(Table1[[#This Row],[Discount]]=0,"No Discount",IF(Table1[[#This Row],[Discount]]&lt;=0.1,"Low",IF(Table1[[#This Row],[Discount]]&lt;=0.2,"medium","high")))</f>
        <v>No Discount</v>
      </c>
    </row>
    <row r="896" spans="1:22" x14ac:dyDescent="0.3">
      <c r="A896" t="s">
        <v>1193</v>
      </c>
      <c r="B896" s="6">
        <v>45890</v>
      </c>
      <c r="C896" t="s">
        <v>47</v>
      </c>
      <c r="D896" t="s">
        <v>24</v>
      </c>
      <c r="E896" t="s">
        <v>97</v>
      </c>
      <c r="F896" t="s">
        <v>26</v>
      </c>
      <c r="G896" t="s">
        <v>41</v>
      </c>
      <c r="H896" t="s">
        <v>108</v>
      </c>
      <c r="I896">
        <v>1822.56</v>
      </c>
      <c r="J896">
        <v>6</v>
      </c>
      <c r="K896">
        <v>0.3</v>
      </c>
      <c r="L896">
        <v>-191.41</v>
      </c>
      <c r="M896" t="s">
        <v>37</v>
      </c>
      <c r="N896" t="s">
        <v>30</v>
      </c>
      <c r="O896" t="str">
        <f t="shared" si="26"/>
        <v>Bad</v>
      </c>
      <c r="P896">
        <f t="shared" si="27"/>
        <v>303.76</v>
      </c>
      <c r="Q896">
        <v>45890</v>
      </c>
      <c r="R896">
        <f>YEAR(Table1[[#This Row],[Order_Date_New]])</f>
        <v>2025</v>
      </c>
      <c r="S896">
        <f>MONTH(Table1[[#This Row],[Order_Date_New]])</f>
        <v>8</v>
      </c>
      <c r="T896" t="str">
        <f>TEXT(Table1[[#This Row],[Order_Date_New]],"mmmm")</f>
        <v>August</v>
      </c>
      <c r="U896">
        <f>Table1[[#This Row],[Profit]]/Table1[[#This Row],[Sales]]</f>
        <v>-0.10502260556579757</v>
      </c>
      <c r="V896" t="str">
        <f>IF(Table1[[#This Row],[Discount]]=0,"No Discount",IF(Table1[[#This Row],[Discount]]&lt;=0.1,"Low",IF(Table1[[#This Row],[Discount]]&lt;=0.2,"medium","high")))</f>
        <v>high</v>
      </c>
    </row>
    <row r="897" spans="1:22" x14ac:dyDescent="0.3">
      <c r="A897" t="s">
        <v>1194</v>
      </c>
      <c r="B897" s="6">
        <v>45491</v>
      </c>
      <c r="C897" t="s">
        <v>256</v>
      </c>
      <c r="D897" t="s">
        <v>24</v>
      </c>
      <c r="E897" t="s">
        <v>59</v>
      </c>
      <c r="F897" t="s">
        <v>26</v>
      </c>
      <c r="G897" t="s">
        <v>41</v>
      </c>
      <c r="H897" t="s">
        <v>108</v>
      </c>
      <c r="I897">
        <v>3777.34</v>
      </c>
      <c r="J897">
        <v>7</v>
      </c>
      <c r="K897">
        <v>0.15</v>
      </c>
      <c r="L897">
        <v>44.88</v>
      </c>
      <c r="M897" t="s">
        <v>68</v>
      </c>
      <c r="N897" t="s">
        <v>30</v>
      </c>
      <c r="O897" t="str">
        <f t="shared" si="26"/>
        <v>Bad</v>
      </c>
      <c r="P897">
        <f t="shared" si="27"/>
        <v>539.62</v>
      </c>
      <c r="Q897">
        <v>45491</v>
      </c>
      <c r="R897">
        <f>YEAR(Table1[[#This Row],[Order_Date_New]])</f>
        <v>2024</v>
      </c>
      <c r="S897">
        <f>MONTH(Table1[[#This Row],[Order_Date_New]])</f>
        <v>7</v>
      </c>
      <c r="T897" t="str">
        <f>TEXT(Table1[[#This Row],[Order_Date_New]],"mmmm")</f>
        <v>July</v>
      </c>
      <c r="U897">
        <f>Table1[[#This Row],[Profit]]/Table1[[#This Row],[Sales]]</f>
        <v>1.1881376841904621E-2</v>
      </c>
      <c r="V897" t="str">
        <f>IF(Table1[[#This Row],[Discount]]=0,"No Discount",IF(Table1[[#This Row],[Discount]]&lt;=0.1,"Low",IF(Table1[[#This Row],[Discount]]&lt;=0.2,"medium","high")))</f>
        <v>medium</v>
      </c>
    </row>
    <row r="898" spans="1:22" x14ac:dyDescent="0.3">
      <c r="A898" t="s">
        <v>1195</v>
      </c>
      <c r="B898" s="6">
        <v>45721</v>
      </c>
      <c r="C898" t="s">
        <v>386</v>
      </c>
      <c r="D898" t="s">
        <v>128</v>
      </c>
      <c r="E898" t="s">
        <v>146</v>
      </c>
      <c r="F898" t="s">
        <v>72</v>
      </c>
      <c r="G898" t="s">
        <v>88</v>
      </c>
      <c r="H898" t="s">
        <v>89</v>
      </c>
      <c r="I898">
        <v>6902.46</v>
      </c>
      <c r="J898">
        <v>9</v>
      </c>
      <c r="K898">
        <v>0.1</v>
      </c>
      <c r="L898">
        <v>1300.07</v>
      </c>
      <c r="M898" t="s">
        <v>43</v>
      </c>
      <c r="N898" t="s">
        <v>30</v>
      </c>
      <c r="O898" t="str">
        <f t="shared" ref="O898:O961" si="28">IF(AND(I898&gt;5000,J898&gt;7),"Good","Bad")</f>
        <v>Good</v>
      </c>
      <c r="P898">
        <f t="shared" ref="P898:P961" si="29">I898/J898</f>
        <v>766.94</v>
      </c>
      <c r="Q898">
        <v>45721</v>
      </c>
      <c r="R898">
        <f>YEAR(Table1[[#This Row],[Order_Date_New]])</f>
        <v>2025</v>
      </c>
      <c r="S898">
        <f>MONTH(Table1[[#This Row],[Order_Date_New]])</f>
        <v>3</v>
      </c>
      <c r="T898" t="str">
        <f>TEXT(Table1[[#This Row],[Order_Date_New]],"mmmm")</f>
        <v>March</v>
      </c>
      <c r="U898">
        <f>Table1[[#This Row],[Profit]]/Table1[[#This Row],[Sales]]</f>
        <v>0.18834879159024462</v>
      </c>
      <c r="V898" t="str">
        <f>IF(Table1[[#This Row],[Discount]]=0,"No Discount",IF(Table1[[#This Row],[Discount]]&lt;=0.1,"Low",IF(Table1[[#This Row],[Discount]]&lt;=0.2,"medium","high")))</f>
        <v>Low</v>
      </c>
    </row>
    <row r="899" spans="1:22" x14ac:dyDescent="0.3">
      <c r="A899" t="s">
        <v>1196</v>
      </c>
      <c r="B899" s="6">
        <v>45361</v>
      </c>
      <c r="C899" t="s">
        <v>760</v>
      </c>
      <c r="D899" t="s">
        <v>128</v>
      </c>
      <c r="E899" t="s">
        <v>146</v>
      </c>
      <c r="F899" t="s">
        <v>26</v>
      </c>
      <c r="G899" t="s">
        <v>41</v>
      </c>
      <c r="H899" t="s">
        <v>189</v>
      </c>
      <c r="I899">
        <v>10217.5</v>
      </c>
      <c r="J899">
        <v>10</v>
      </c>
      <c r="K899">
        <v>0.3</v>
      </c>
      <c r="L899">
        <v>-75.92</v>
      </c>
      <c r="M899" t="s">
        <v>49</v>
      </c>
      <c r="N899" t="s">
        <v>80</v>
      </c>
      <c r="O899" t="str">
        <f t="shared" si="28"/>
        <v>Good</v>
      </c>
      <c r="P899">
        <f t="shared" si="29"/>
        <v>1021.75</v>
      </c>
      <c r="Q899">
        <v>45361</v>
      </c>
      <c r="R899">
        <f>YEAR(Table1[[#This Row],[Order_Date_New]])</f>
        <v>2024</v>
      </c>
      <c r="S899">
        <f>MONTH(Table1[[#This Row],[Order_Date_New]])</f>
        <v>3</v>
      </c>
      <c r="T899" t="str">
        <f>TEXT(Table1[[#This Row],[Order_Date_New]],"mmmm")</f>
        <v>March</v>
      </c>
      <c r="U899">
        <f>Table1[[#This Row],[Profit]]/Table1[[#This Row],[Sales]]</f>
        <v>-7.4303890384144851E-3</v>
      </c>
      <c r="V899" t="str">
        <f>IF(Table1[[#This Row],[Discount]]=0,"No Discount",IF(Table1[[#This Row],[Discount]]&lt;=0.1,"Low",IF(Table1[[#This Row],[Discount]]&lt;=0.2,"medium","high")))</f>
        <v>high</v>
      </c>
    </row>
    <row r="900" spans="1:22" x14ac:dyDescent="0.3">
      <c r="A900" t="s">
        <v>1197</v>
      </c>
      <c r="B900" s="6">
        <v>45786</v>
      </c>
      <c r="C900" t="s">
        <v>145</v>
      </c>
      <c r="D900" t="s">
        <v>128</v>
      </c>
      <c r="E900" t="s">
        <v>132</v>
      </c>
      <c r="F900" t="s">
        <v>60</v>
      </c>
      <c r="G900" t="s">
        <v>78</v>
      </c>
      <c r="H900" t="s">
        <v>222</v>
      </c>
      <c r="I900">
        <v>1391.95</v>
      </c>
      <c r="J900">
        <v>7</v>
      </c>
      <c r="K900">
        <v>0.15</v>
      </c>
      <c r="L900">
        <v>-54.01</v>
      </c>
      <c r="M900" t="s">
        <v>170</v>
      </c>
      <c r="N900" t="s">
        <v>44</v>
      </c>
      <c r="O900" t="str">
        <f t="shared" si="28"/>
        <v>Bad</v>
      </c>
      <c r="P900">
        <f t="shared" si="29"/>
        <v>198.85</v>
      </c>
      <c r="Q900">
        <v>45786</v>
      </c>
      <c r="R900">
        <f>YEAR(Table1[[#This Row],[Order_Date_New]])</f>
        <v>2025</v>
      </c>
      <c r="S900">
        <f>MONTH(Table1[[#This Row],[Order_Date_New]])</f>
        <v>5</v>
      </c>
      <c r="T900" t="str">
        <f>TEXT(Table1[[#This Row],[Order_Date_New]],"mmmm")</f>
        <v>May</v>
      </c>
      <c r="U900">
        <f>Table1[[#This Row],[Profit]]/Table1[[#This Row],[Sales]]</f>
        <v>-3.8801681094866911E-2</v>
      </c>
      <c r="V900" t="str">
        <f>IF(Table1[[#This Row],[Discount]]=0,"No Discount",IF(Table1[[#This Row],[Discount]]&lt;=0.1,"Low",IF(Table1[[#This Row],[Discount]]&lt;=0.2,"medium","high")))</f>
        <v>medium</v>
      </c>
    </row>
    <row r="901" spans="1:22" x14ac:dyDescent="0.3">
      <c r="A901" t="s">
        <v>1198</v>
      </c>
      <c r="B901" s="6">
        <v>45522</v>
      </c>
      <c r="C901" t="s">
        <v>327</v>
      </c>
      <c r="D901" t="s">
        <v>24</v>
      </c>
      <c r="E901" t="s">
        <v>59</v>
      </c>
      <c r="F901" t="s">
        <v>60</v>
      </c>
      <c r="G901" t="s">
        <v>61</v>
      </c>
      <c r="H901" t="s">
        <v>62</v>
      </c>
      <c r="I901">
        <v>758.08</v>
      </c>
      <c r="J901">
        <v>8</v>
      </c>
      <c r="K901">
        <v>0</v>
      </c>
      <c r="L901">
        <v>282.02999999999997</v>
      </c>
      <c r="M901" t="s">
        <v>170</v>
      </c>
      <c r="N901" t="s">
        <v>44</v>
      </c>
      <c r="O901" t="str">
        <f t="shared" si="28"/>
        <v>Bad</v>
      </c>
      <c r="P901">
        <f t="shared" si="29"/>
        <v>94.76</v>
      </c>
      <c r="Q901">
        <v>45522</v>
      </c>
      <c r="R901">
        <f>YEAR(Table1[[#This Row],[Order_Date_New]])</f>
        <v>2024</v>
      </c>
      <c r="S901">
        <f>MONTH(Table1[[#This Row],[Order_Date_New]])</f>
        <v>8</v>
      </c>
      <c r="T901" t="str">
        <f>TEXT(Table1[[#This Row],[Order_Date_New]],"mmmm")</f>
        <v>August</v>
      </c>
      <c r="U901">
        <f>Table1[[#This Row],[Profit]]/Table1[[#This Row],[Sales]]</f>
        <v>0.37203197551709577</v>
      </c>
      <c r="V901" t="str">
        <f>IF(Table1[[#This Row],[Discount]]=0,"No Discount",IF(Table1[[#This Row],[Discount]]&lt;=0.1,"Low",IF(Table1[[#This Row],[Discount]]&lt;=0.2,"medium","high")))</f>
        <v>No Discount</v>
      </c>
    </row>
    <row r="902" spans="1:22" x14ac:dyDescent="0.3">
      <c r="A902" t="s">
        <v>1199</v>
      </c>
      <c r="B902" s="6">
        <v>45815</v>
      </c>
      <c r="C902" t="s">
        <v>206</v>
      </c>
      <c r="D902" t="s">
        <v>53</v>
      </c>
      <c r="E902" t="s">
        <v>107</v>
      </c>
      <c r="F902" t="s">
        <v>60</v>
      </c>
      <c r="G902" t="s">
        <v>61</v>
      </c>
      <c r="H902" t="s">
        <v>67</v>
      </c>
      <c r="I902">
        <v>2687.2</v>
      </c>
      <c r="J902">
        <v>10</v>
      </c>
      <c r="K902">
        <v>0.25</v>
      </c>
      <c r="L902">
        <v>-455.95</v>
      </c>
      <c r="M902" t="s">
        <v>37</v>
      </c>
      <c r="N902" t="s">
        <v>80</v>
      </c>
      <c r="O902" t="str">
        <f t="shared" si="28"/>
        <v>Bad</v>
      </c>
      <c r="P902">
        <f t="shared" si="29"/>
        <v>268.71999999999997</v>
      </c>
      <c r="Q902">
        <v>45815</v>
      </c>
      <c r="R902">
        <f>YEAR(Table1[[#This Row],[Order_Date_New]])</f>
        <v>2025</v>
      </c>
      <c r="S902">
        <f>MONTH(Table1[[#This Row],[Order_Date_New]])</f>
        <v>6</v>
      </c>
      <c r="T902" t="str">
        <f>TEXT(Table1[[#This Row],[Order_Date_New]],"mmmm")</f>
        <v>June</v>
      </c>
      <c r="U902">
        <f>Table1[[#This Row],[Profit]]/Table1[[#This Row],[Sales]]</f>
        <v>-0.16967475439118787</v>
      </c>
      <c r="V902" t="str">
        <f>IF(Table1[[#This Row],[Discount]]=0,"No Discount",IF(Table1[[#This Row],[Discount]]&lt;=0.1,"Low",IF(Table1[[#This Row],[Discount]]&lt;=0.2,"medium","high")))</f>
        <v>high</v>
      </c>
    </row>
    <row r="903" spans="1:22" x14ac:dyDescent="0.3">
      <c r="A903" t="s">
        <v>1200</v>
      </c>
      <c r="B903" s="6">
        <v>45310</v>
      </c>
      <c r="C903" t="s">
        <v>538</v>
      </c>
      <c r="D903" t="s">
        <v>53</v>
      </c>
      <c r="E903" t="s">
        <v>107</v>
      </c>
      <c r="F903" t="s">
        <v>26</v>
      </c>
      <c r="G903" t="s">
        <v>41</v>
      </c>
      <c r="H903" t="s">
        <v>108</v>
      </c>
      <c r="I903">
        <v>3398.48</v>
      </c>
      <c r="J903">
        <v>8</v>
      </c>
      <c r="K903">
        <v>0.05</v>
      </c>
      <c r="L903">
        <v>814.32</v>
      </c>
      <c r="M903" t="s">
        <v>68</v>
      </c>
      <c r="N903" t="s">
        <v>38</v>
      </c>
      <c r="O903" t="str">
        <f t="shared" si="28"/>
        <v>Bad</v>
      </c>
      <c r="P903">
        <f t="shared" si="29"/>
        <v>424.81</v>
      </c>
      <c r="Q903">
        <v>45310</v>
      </c>
      <c r="R903">
        <f>YEAR(Table1[[#This Row],[Order_Date_New]])</f>
        <v>2024</v>
      </c>
      <c r="S903">
        <f>MONTH(Table1[[#This Row],[Order_Date_New]])</f>
        <v>1</v>
      </c>
      <c r="T903" t="str">
        <f>TEXT(Table1[[#This Row],[Order_Date_New]],"mmmm")</f>
        <v>January</v>
      </c>
      <c r="U903">
        <f>Table1[[#This Row],[Profit]]/Table1[[#This Row],[Sales]]</f>
        <v>0.23961300346037054</v>
      </c>
      <c r="V903" t="str">
        <f>IF(Table1[[#This Row],[Discount]]=0,"No Discount",IF(Table1[[#This Row],[Discount]]&lt;=0.1,"Low",IF(Table1[[#This Row],[Discount]]&lt;=0.2,"medium","high")))</f>
        <v>Low</v>
      </c>
    </row>
    <row r="904" spans="1:22" x14ac:dyDescent="0.3">
      <c r="A904" t="s">
        <v>1201</v>
      </c>
      <c r="B904" s="6">
        <v>45957</v>
      </c>
      <c r="C904" t="s">
        <v>145</v>
      </c>
      <c r="D904" t="s">
        <v>33</v>
      </c>
      <c r="E904" t="s">
        <v>34</v>
      </c>
      <c r="F904" t="s">
        <v>72</v>
      </c>
      <c r="G904" t="s">
        <v>88</v>
      </c>
      <c r="H904" t="s">
        <v>119</v>
      </c>
      <c r="I904">
        <v>7301</v>
      </c>
      <c r="J904">
        <v>7</v>
      </c>
      <c r="K904">
        <v>0.1</v>
      </c>
      <c r="L904">
        <v>1530.11</v>
      </c>
      <c r="M904" t="s">
        <v>43</v>
      </c>
      <c r="N904" t="s">
        <v>30</v>
      </c>
      <c r="O904" t="str">
        <f t="shared" si="28"/>
        <v>Bad</v>
      </c>
      <c r="P904">
        <f t="shared" si="29"/>
        <v>1043</v>
      </c>
      <c r="Q904">
        <v>45957</v>
      </c>
      <c r="R904">
        <f>YEAR(Table1[[#This Row],[Order_Date_New]])</f>
        <v>2025</v>
      </c>
      <c r="S904">
        <f>MONTH(Table1[[#This Row],[Order_Date_New]])</f>
        <v>10</v>
      </c>
      <c r="T904" t="str">
        <f>TEXT(Table1[[#This Row],[Order_Date_New]],"mmmm")</f>
        <v>October</v>
      </c>
      <c r="U904">
        <f>Table1[[#This Row],[Profit]]/Table1[[#This Row],[Sales]]</f>
        <v>0.20957540063005067</v>
      </c>
      <c r="V904" t="str">
        <f>IF(Table1[[#This Row],[Discount]]=0,"No Discount",IF(Table1[[#This Row],[Discount]]&lt;=0.1,"Low",IF(Table1[[#This Row],[Discount]]&lt;=0.2,"medium","high")))</f>
        <v>Low</v>
      </c>
    </row>
    <row r="905" spans="1:22" x14ac:dyDescent="0.3">
      <c r="A905" t="s">
        <v>1202</v>
      </c>
      <c r="B905" s="6">
        <v>46006</v>
      </c>
      <c r="C905" t="s">
        <v>140</v>
      </c>
      <c r="D905" t="s">
        <v>53</v>
      </c>
      <c r="E905" t="s">
        <v>77</v>
      </c>
      <c r="F905" t="s">
        <v>60</v>
      </c>
      <c r="G905" t="s">
        <v>78</v>
      </c>
      <c r="H905" t="s">
        <v>222</v>
      </c>
      <c r="I905">
        <v>3380.31</v>
      </c>
      <c r="J905">
        <v>9</v>
      </c>
      <c r="K905">
        <v>0.05</v>
      </c>
      <c r="L905">
        <v>126.61</v>
      </c>
      <c r="M905" t="s">
        <v>29</v>
      </c>
      <c r="N905" t="s">
        <v>80</v>
      </c>
      <c r="O905" t="str">
        <f t="shared" si="28"/>
        <v>Bad</v>
      </c>
      <c r="P905">
        <f t="shared" si="29"/>
        <v>375.59</v>
      </c>
      <c r="Q905">
        <v>46006</v>
      </c>
      <c r="R905">
        <f>YEAR(Table1[[#This Row],[Order_Date_New]])</f>
        <v>2025</v>
      </c>
      <c r="S905">
        <f>MONTH(Table1[[#This Row],[Order_Date_New]])</f>
        <v>12</v>
      </c>
      <c r="T905" t="str">
        <f>TEXT(Table1[[#This Row],[Order_Date_New]],"mmmm")</f>
        <v>December</v>
      </c>
      <c r="U905">
        <f>Table1[[#This Row],[Profit]]/Table1[[#This Row],[Sales]]</f>
        <v>3.7455144646496921E-2</v>
      </c>
      <c r="V905" t="str">
        <f>IF(Table1[[#This Row],[Discount]]=0,"No Discount",IF(Table1[[#This Row],[Discount]]&lt;=0.1,"Low",IF(Table1[[#This Row],[Discount]]&lt;=0.2,"medium","high")))</f>
        <v>Low</v>
      </c>
    </row>
    <row r="906" spans="1:22" x14ac:dyDescent="0.3">
      <c r="A906" t="s">
        <v>1203</v>
      </c>
      <c r="B906" s="6">
        <v>45659</v>
      </c>
      <c r="C906" t="s">
        <v>152</v>
      </c>
      <c r="D906" t="s">
        <v>24</v>
      </c>
      <c r="E906" t="s">
        <v>97</v>
      </c>
      <c r="F906" t="s">
        <v>60</v>
      </c>
      <c r="G906" t="s">
        <v>61</v>
      </c>
      <c r="H906" t="s">
        <v>62</v>
      </c>
      <c r="I906">
        <v>148.59</v>
      </c>
      <c r="J906">
        <v>1</v>
      </c>
      <c r="K906">
        <v>0.3</v>
      </c>
      <c r="L906">
        <v>-1.57</v>
      </c>
      <c r="M906" t="s">
        <v>105</v>
      </c>
      <c r="N906" t="s">
        <v>44</v>
      </c>
      <c r="O906" t="str">
        <f t="shared" si="28"/>
        <v>Bad</v>
      </c>
      <c r="P906">
        <f t="shared" si="29"/>
        <v>148.59</v>
      </c>
      <c r="Q906">
        <v>45659</v>
      </c>
      <c r="R906">
        <f>YEAR(Table1[[#This Row],[Order_Date_New]])</f>
        <v>2025</v>
      </c>
      <c r="S906">
        <f>MONTH(Table1[[#This Row],[Order_Date_New]])</f>
        <v>1</v>
      </c>
      <c r="T906" t="str">
        <f>TEXT(Table1[[#This Row],[Order_Date_New]],"mmmm")</f>
        <v>January</v>
      </c>
      <c r="U906">
        <f>Table1[[#This Row],[Profit]]/Table1[[#This Row],[Sales]]</f>
        <v>-1.05659869439397E-2</v>
      </c>
      <c r="V906" t="str">
        <f>IF(Table1[[#This Row],[Discount]]=0,"No Discount",IF(Table1[[#This Row],[Discount]]&lt;=0.1,"Low",IF(Table1[[#This Row],[Discount]]&lt;=0.2,"medium","high")))</f>
        <v>high</v>
      </c>
    </row>
    <row r="907" spans="1:22" x14ac:dyDescent="0.3">
      <c r="A907" t="s">
        <v>1204</v>
      </c>
      <c r="B907" s="6">
        <v>45352</v>
      </c>
      <c r="C907" t="s">
        <v>224</v>
      </c>
      <c r="D907" t="s">
        <v>128</v>
      </c>
      <c r="E907" t="s">
        <v>132</v>
      </c>
      <c r="F907" t="s">
        <v>60</v>
      </c>
      <c r="G907" t="s">
        <v>98</v>
      </c>
      <c r="H907" t="s">
        <v>99</v>
      </c>
      <c r="I907">
        <v>6047.02</v>
      </c>
      <c r="J907">
        <v>7</v>
      </c>
      <c r="K907">
        <v>0.3</v>
      </c>
      <c r="L907">
        <v>119.04</v>
      </c>
      <c r="M907" t="s">
        <v>43</v>
      </c>
      <c r="N907" t="s">
        <v>38</v>
      </c>
      <c r="O907" t="str">
        <f t="shared" si="28"/>
        <v>Bad</v>
      </c>
      <c r="P907">
        <f t="shared" si="29"/>
        <v>863.86</v>
      </c>
      <c r="Q907">
        <v>45352</v>
      </c>
      <c r="R907">
        <f>YEAR(Table1[[#This Row],[Order_Date_New]])</f>
        <v>2024</v>
      </c>
      <c r="S907">
        <f>MONTH(Table1[[#This Row],[Order_Date_New]])</f>
        <v>3</v>
      </c>
      <c r="T907" t="str">
        <f>TEXT(Table1[[#This Row],[Order_Date_New]],"mmmm")</f>
        <v>March</v>
      </c>
      <c r="U907">
        <f>Table1[[#This Row],[Profit]]/Table1[[#This Row],[Sales]]</f>
        <v>1.9685729499819747E-2</v>
      </c>
      <c r="V907" t="str">
        <f>IF(Table1[[#This Row],[Discount]]=0,"No Discount",IF(Table1[[#This Row],[Discount]]&lt;=0.1,"Low",IF(Table1[[#This Row],[Discount]]&lt;=0.2,"medium","high")))</f>
        <v>high</v>
      </c>
    </row>
    <row r="908" spans="1:22" x14ac:dyDescent="0.3">
      <c r="A908" t="s">
        <v>1205</v>
      </c>
      <c r="B908" s="6">
        <v>45453</v>
      </c>
      <c r="C908" t="s">
        <v>895</v>
      </c>
      <c r="D908" t="s">
        <v>128</v>
      </c>
      <c r="E908" t="s">
        <v>202</v>
      </c>
      <c r="F908" t="s">
        <v>72</v>
      </c>
      <c r="G908" t="s">
        <v>73</v>
      </c>
      <c r="H908" t="s">
        <v>102</v>
      </c>
      <c r="I908">
        <v>288.44</v>
      </c>
      <c r="J908">
        <v>1</v>
      </c>
      <c r="K908">
        <v>0</v>
      </c>
      <c r="L908">
        <v>110.8</v>
      </c>
      <c r="M908" t="s">
        <v>49</v>
      </c>
      <c r="N908" t="s">
        <v>80</v>
      </c>
      <c r="O908" t="str">
        <f t="shared" si="28"/>
        <v>Bad</v>
      </c>
      <c r="P908">
        <f t="shared" si="29"/>
        <v>288.44</v>
      </c>
      <c r="Q908">
        <v>45453</v>
      </c>
      <c r="R908">
        <f>YEAR(Table1[[#This Row],[Order_Date_New]])</f>
        <v>2024</v>
      </c>
      <c r="S908">
        <f>MONTH(Table1[[#This Row],[Order_Date_New]])</f>
        <v>6</v>
      </c>
      <c r="T908" t="str">
        <f>TEXT(Table1[[#This Row],[Order_Date_New]],"mmmm")</f>
        <v>June</v>
      </c>
      <c r="U908">
        <f>Table1[[#This Row],[Profit]]/Table1[[#This Row],[Sales]]</f>
        <v>0.38413534877270833</v>
      </c>
      <c r="V908" t="str">
        <f>IF(Table1[[#This Row],[Discount]]=0,"No Discount",IF(Table1[[#This Row],[Discount]]&lt;=0.1,"Low",IF(Table1[[#This Row],[Discount]]&lt;=0.2,"medium","high")))</f>
        <v>No Discount</v>
      </c>
    </row>
    <row r="909" spans="1:22" x14ac:dyDescent="0.3">
      <c r="A909" t="s">
        <v>1206</v>
      </c>
      <c r="B909" s="6">
        <v>45743</v>
      </c>
      <c r="C909" t="s">
        <v>263</v>
      </c>
      <c r="D909" t="s">
        <v>128</v>
      </c>
      <c r="E909" t="s">
        <v>146</v>
      </c>
      <c r="F909" t="s">
        <v>72</v>
      </c>
      <c r="G909" t="s">
        <v>111</v>
      </c>
      <c r="H909" t="s">
        <v>112</v>
      </c>
      <c r="I909">
        <v>651.67999999999995</v>
      </c>
      <c r="J909">
        <v>2</v>
      </c>
      <c r="K909">
        <v>0.1</v>
      </c>
      <c r="L909">
        <v>81.260000000000005</v>
      </c>
      <c r="M909" t="s">
        <v>113</v>
      </c>
      <c r="N909" t="s">
        <v>30</v>
      </c>
      <c r="O909" t="str">
        <f t="shared" si="28"/>
        <v>Bad</v>
      </c>
      <c r="P909">
        <f t="shared" si="29"/>
        <v>325.83999999999997</v>
      </c>
      <c r="Q909">
        <v>45743</v>
      </c>
      <c r="R909">
        <f>YEAR(Table1[[#This Row],[Order_Date_New]])</f>
        <v>2025</v>
      </c>
      <c r="S909">
        <f>MONTH(Table1[[#This Row],[Order_Date_New]])</f>
        <v>3</v>
      </c>
      <c r="T909" t="str">
        <f>TEXT(Table1[[#This Row],[Order_Date_New]],"mmmm")</f>
        <v>March</v>
      </c>
      <c r="U909">
        <f>Table1[[#This Row],[Profit]]/Table1[[#This Row],[Sales]]</f>
        <v>0.12469310090842133</v>
      </c>
      <c r="V909" t="str">
        <f>IF(Table1[[#This Row],[Discount]]=0,"No Discount",IF(Table1[[#This Row],[Discount]]&lt;=0.1,"Low",IF(Table1[[#This Row],[Discount]]&lt;=0.2,"medium","high")))</f>
        <v>Low</v>
      </c>
    </row>
    <row r="910" spans="1:22" x14ac:dyDescent="0.3">
      <c r="A910" t="s">
        <v>1207</v>
      </c>
      <c r="B910" s="6">
        <v>45520</v>
      </c>
      <c r="C910" t="s">
        <v>270</v>
      </c>
      <c r="D910" t="s">
        <v>33</v>
      </c>
      <c r="E910" t="s">
        <v>34</v>
      </c>
      <c r="F910" t="s">
        <v>60</v>
      </c>
      <c r="G910" t="s">
        <v>78</v>
      </c>
      <c r="H910" t="s">
        <v>79</v>
      </c>
      <c r="I910">
        <v>2612.94</v>
      </c>
      <c r="J910">
        <v>6</v>
      </c>
      <c r="K910">
        <v>0.15</v>
      </c>
      <c r="L910">
        <v>589.05999999999995</v>
      </c>
      <c r="M910" t="s">
        <v>68</v>
      </c>
      <c r="N910" t="s">
        <v>44</v>
      </c>
      <c r="O910" t="str">
        <f t="shared" si="28"/>
        <v>Bad</v>
      </c>
      <c r="P910">
        <f t="shared" si="29"/>
        <v>435.49</v>
      </c>
      <c r="Q910">
        <v>45520</v>
      </c>
      <c r="R910">
        <f>YEAR(Table1[[#This Row],[Order_Date_New]])</f>
        <v>2024</v>
      </c>
      <c r="S910">
        <f>MONTH(Table1[[#This Row],[Order_Date_New]])</f>
        <v>8</v>
      </c>
      <c r="T910" t="str">
        <f>TEXT(Table1[[#This Row],[Order_Date_New]],"mmmm")</f>
        <v>August</v>
      </c>
      <c r="U910">
        <f>Table1[[#This Row],[Profit]]/Table1[[#This Row],[Sales]]</f>
        <v>0.22543954319655252</v>
      </c>
      <c r="V910" t="str">
        <f>IF(Table1[[#This Row],[Discount]]=0,"No Discount",IF(Table1[[#This Row],[Discount]]&lt;=0.1,"Low",IF(Table1[[#This Row],[Discount]]&lt;=0.2,"medium","high")))</f>
        <v>medium</v>
      </c>
    </row>
    <row r="911" spans="1:22" x14ac:dyDescent="0.3">
      <c r="A911" t="s">
        <v>1208</v>
      </c>
      <c r="B911" s="6">
        <v>46008</v>
      </c>
      <c r="C911" t="s">
        <v>217</v>
      </c>
      <c r="D911" t="s">
        <v>53</v>
      </c>
      <c r="E911" t="s">
        <v>77</v>
      </c>
      <c r="F911" t="s">
        <v>26</v>
      </c>
      <c r="G911" t="s">
        <v>27</v>
      </c>
      <c r="H911" t="s">
        <v>28</v>
      </c>
      <c r="I911">
        <v>1774.28</v>
      </c>
      <c r="J911">
        <v>2</v>
      </c>
      <c r="K911">
        <v>0.05</v>
      </c>
      <c r="L911">
        <v>260.43</v>
      </c>
      <c r="M911" t="s">
        <v>43</v>
      </c>
      <c r="N911" t="s">
        <v>30</v>
      </c>
      <c r="O911" t="str">
        <f t="shared" si="28"/>
        <v>Bad</v>
      </c>
      <c r="P911">
        <f t="shared" si="29"/>
        <v>887.14</v>
      </c>
      <c r="Q911">
        <v>46008</v>
      </c>
      <c r="R911">
        <f>YEAR(Table1[[#This Row],[Order_Date_New]])</f>
        <v>2025</v>
      </c>
      <c r="S911">
        <f>MONTH(Table1[[#This Row],[Order_Date_New]])</f>
        <v>12</v>
      </c>
      <c r="T911" t="str">
        <f>TEXT(Table1[[#This Row],[Order_Date_New]],"mmmm")</f>
        <v>December</v>
      </c>
      <c r="U911">
        <f>Table1[[#This Row],[Profit]]/Table1[[#This Row],[Sales]]</f>
        <v>0.14678066596027686</v>
      </c>
      <c r="V911" t="str">
        <f>IF(Table1[[#This Row],[Discount]]=0,"No Discount",IF(Table1[[#This Row],[Discount]]&lt;=0.1,"Low",IF(Table1[[#This Row],[Discount]]&lt;=0.2,"medium","high")))</f>
        <v>Low</v>
      </c>
    </row>
    <row r="912" spans="1:22" x14ac:dyDescent="0.3">
      <c r="A912" t="s">
        <v>1209</v>
      </c>
      <c r="B912" s="6">
        <v>45622</v>
      </c>
      <c r="C912" t="s">
        <v>437</v>
      </c>
      <c r="D912" t="s">
        <v>33</v>
      </c>
      <c r="E912" t="s">
        <v>118</v>
      </c>
      <c r="F912" t="s">
        <v>26</v>
      </c>
      <c r="G912" t="s">
        <v>27</v>
      </c>
      <c r="H912" t="s">
        <v>271</v>
      </c>
      <c r="I912">
        <v>4639.95</v>
      </c>
      <c r="J912">
        <v>9</v>
      </c>
      <c r="K912">
        <v>0.25</v>
      </c>
      <c r="L912">
        <v>-505.14</v>
      </c>
      <c r="M912" t="s">
        <v>105</v>
      </c>
      <c r="N912" t="s">
        <v>80</v>
      </c>
      <c r="O912" t="str">
        <f t="shared" si="28"/>
        <v>Bad</v>
      </c>
      <c r="P912">
        <f t="shared" si="29"/>
        <v>515.54999999999995</v>
      </c>
      <c r="Q912">
        <v>45622</v>
      </c>
      <c r="R912">
        <f>YEAR(Table1[[#This Row],[Order_Date_New]])</f>
        <v>2024</v>
      </c>
      <c r="S912">
        <f>MONTH(Table1[[#This Row],[Order_Date_New]])</f>
        <v>11</v>
      </c>
      <c r="T912" t="str">
        <f>TEXT(Table1[[#This Row],[Order_Date_New]],"mmmm")</f>
        <v>November</v>
      </c>
      <c r="U912">
        <f>Table1[[#This Row],[Profit]]/Table1[[#This Row],[Sales]]</f>
        <v>-0.10886755245207384</v>
      </c>
      <c r="V912" t="str">
        <f>IF(Table1[[#This Row],[Discount]]=0,"No Discount",IF(Table1[[#This Row],[Discount]]&lt;=0.1,"Low",IF(Table1[[#This Row],[Discount]]&lt;=0.2,"medium","high")))</f>
        <v>high</v>
      </c>
    </row>
    <row r="913" spans="1:22" x14ac:dyDescent="0.3">
      <c r="A913" t="s">
        <v>1210</v>
      </c>
      <c r="B913" s="6">
        <v>45711</v>
      </c>
      <c r="C913" t="s">
        <v>450</v>
      </c>
      <c r="D913" t="s">
        <v>128</v>
      </c>
      <c r="E913" t="s">
        <v>146</v>
      </c>
      <c r="F913" t="s">
        <v>72</v>
      </c>
      <c r="G913" t="s">
        <v>73</v>
      </c>
      <c r="H913" t="s">
        <v>293</v>
      </c>
      <c r="I913">
        <v>1648.02</v>
      </c>
      <c r="J913">
        <v>2</v>
      </c>
      <c r="K913">
        <v>0.15</v>
      </c>
      <c r="L913">
        <v>68.25</v>
      </c>
      <c r="M913" t="s">
        <v>29</v>
      </c>
      <c r="N913" t="s">
        <v>30</v>
      </c>
      <c r="O913" t="str">
        <f t="shared" si="28"/>
        <v>Bad</v>
      </c>
      <c r="P913">
        <f t="shared" si="29"/>
        <v>824.01</v>
      </c>
      <c r="Q913">
        <v>45711</v>
      </c>
      <c r="R913">
        <f>YEAR(Table1[[#This Row],[Order_Date_New]])</f>
        <v>2025</v>
      </c>
      <c r="S913">
        <f>MONTH(Table1[[#This Row],[Order_Date_New]])</f>
        <v>2</v>
      </c>
      <c r="T913" t="str">
        <f>TEXT(Table1[[#This Row],[Order_Date_New]],"mmmm")</f>
        <v>February</v>
      </c>
      <c r="U913">
        <f>Table1[[#This Row],[Profit]]/Table1[[#This Row],[Sales]]</f>
        <v>4.1413332362471328E-2</v>
      </c>
      <c r="V913" t="str">
        <f>IF(Table1[[#This Row],[Discount]]=0,"No Discount",IF(Table1[[#This Row],[Discount]]&lt;=0.1,"Low",IF(Table1[[#This Row],[Discount]]&lt;=0.2,"medium","high")))</f>
        <v>medium</v>
      </c>
    </row>
    <row r="914" spans="1:22" x14ac:dyDescent="0.3">
      <c r="A914" t="s">
        <v>1211</v>
      </c>
      <c r="B914" s="6">
        <v>45483</v>
      </c>
      <c r="C914" t="s">
        <v>485</v>
      </c>
      <c r="D914" t="s">
        <v>24</v>
      </c>
      <c r="E914" t="s">
        <v>59</v>
      </c>
      <c r="F914" t="s">
        <v>60</v>
      </c>
      <c r="G914" t="s">
        <v>61</v>
      </c>
      <c r="H914" t="s">
        <v>67</v>
      </c>
      <c r="I914">
        <v>571.32000000000005</v>
      </c>
      <c r="J914">
        <v>9</v>
      </c>
      <c r="K914">
        <v>0.05</v>
      </c>
      <c r="L914">
        <v>15.96</v>
      </c>
      <c r="M914" t="s">
        <v>43</v>
      </c>
      <c r="N914" t="s">
        <v>44</v>
      </c>
      <c r="O914" t="str">
        <f t="shared" si="28"/>
        <v>Bad</v>
      </c>
      <c r="P914">
        <f t="shared" si="29"/>
        <v>63.480000000000004</v>
      </c>
      <c r="Q914">
        <v>45483</v>
      </c>
      <c r="R914">
        <f>YEAR(Table1[[#This Row],[Order_Date_New]])</f>
        <v>2024</v>
      </c>
      <c r="S914">
        <f>MONTH(Table1[[#This Row],[Order_Date_New]])</f>
        <v>7</v>
      </c>
      <c r="T914" t="str">
        <f>TEXT(Table1[[#This Row],[Order_Date_New]],"mmmm")</f>
        <v>July</v>
      </c>
      <c r="U914">
        <f>Table1[[#This Row],[Profit]]/Table1[[#This Row],[Sales]]</f>
        <v>2.7935307708464606E-2</v>
      </c>
      <c r="V914" t="str">
        <f>IF(Table1[[#This Row],[Discount]]=0,"No Discount",IF(Table1[[#This Row],[Discount]]&lt;=0.1,"Low",IF(Table1[[#This Row],[Discount]]&lt;=0.2,"medium","high")))</f>
        <v>Low</v>
      </c>
    </row>
    <row r="915" spans="1:22" x14ac:dyDescent="0.3">
      <c r="A915" t="s">
        <v>1212</v>
      </c>
      <c r="B915" s="6">
        <v>45594</v>
      </c>
      <c r="C915" t="s">
        <v>253</v>
      </c>
      <c r="D915" t="s">
        <v>128</v>
      </c>
      <c r="E915" t="s">
        <v>202</v>
      </c>
      <c r="F915" t="s">
        <v>60</v>
      </c>
      <c r="G915" t="s">
        <v>78</v>
      </c>
      <c r="H915" t="s">
        <v>125</v>
      </c>
      <c r="I915">
        <v>5467.49</v>
      </c>
      <c r="J915">
        <v>7</v>
      </c>
      <c r="K915">
        <v>0.2</v>
      </c>
      <c r="L915">
        <v>1046.26</v>
      </c>
      <c r="M915" t="s">
        <v>29</v>
      </c>
      <c r="N915" t="s">
        <v>38</v>
      </c>
      <c r="O915" t="str">
        <f t="shared" si="28"/>
        <v>Bad</v>
      </c>
      <c r="P915">
        <f t="shared" si="29"/>
        <v>781.06999999999994</v>
      </c>
      <c r="Q915">
        <v>45594</v>
      </c>
      <c r="R915">
        <f>YEAR(Table1[[#This Row],[Order_Date_New]])</f>
        <v>2024</v>
      </c>
      <c r="S915">
        <f>MONTH(Table1[[#This Row],[Order_Date_New]])</f>
        <v>10</v>
      </c>
      <c r="T915" t="str">
        <f>TEXT(Table1[[#This Row],[Order_Date_New]],"mmmm")</f>
        <v>October</v>
      </c>
      <c r="U915">
        <f>Table1[[#This Row],[Profit]]/Table1[[#This Row],[Sales]]</f>
        <v>0.19136020367664139</v>
      </c>
      <c r="V915" t="str">
        <f>IF(Table1[[#This Row],[Discount]]=0,"No Discount",IF(Table1[[#This Row],[Discount]]&lt;=0.1,"Low",IF(Table1[[#This Row],[Discount]]&lt;=0.2,"medium","high")))</f>
        <v>medium</v>
      </c>
    </row>
    <row r="916" spans="1:22" x14ac:dyDescent="0.3">
      <c r="A916" t="s">
        <v>1213</v>
      </c>
      <c r="B916" s="6">
        <v>45972</v>
      </c>
      <c r="C916" t="s">
        <v>664</v>
      </c>
      <c r="D916" t="s">
        <v>24</v>
      </c>
      <c r="E916" t="s">
        <v>84</v>
      </c>
      <c r="F916" t="s">
        <v>60</v>
      </c>
      <c r="G916" t="s">
        <v>78</v>
      </c>
      <c r="H916" t="s">
        <v>79</v>
      </c>
      <c r="I916">
        <v>701.82</v>
      </c>
      <c r="J916">
        <v>1</v>
      </c>
      <c r="K916">
        <v>0.05</v>
      </c>
      <c r="L916">
        <v>279.10000000000002</v>
      </c>
      <c r="M916" t="s">
        <v>113</v>
      </c>
      <c r="N916" t="s">
        <v>38</v>
      </c>
      <c r="O916" t="str">
        <f t="shared" si="28"/>
        <v>Bad</v>
      </c>
      <c r="P916">
        <f t="shared" si="29"/>
        <v>701.82</v>
      </c>
      <c r="Q916">
        <v>45972</v>
      </c>
      <c r="R916">
        <f>YEAR(Table1[[#This Row],[Order_Date_New]])</f>
        <v>2025</v>
      </c>
      <c r="S916">
        <f>MONTH(Table1[[#This Row],[Order_Date_New]])</f>
        <v>11</v>
      </c>
      <c r="T916" t="str">
        <f>TEXT(Table1[[#This Row],[Order_Date_New]],"mmmm")</f>
        <v>November</v>
      </c>
      <c r="U916">
        <f>Table1[[#This Row],[Profit]]/Table1[[#This Row],[Sales]]</f>
        <v>0.39768031689037076</v>
      </c>
      <c r="V916" t="str">
        <f>IF(Table1[[#This Row],[Discount]]=0,"No Discount",IF(Table1[[#This Row],[Discount]]&lt;=0.1,"Low",IF(Table1[[#This Row],[Discount]]&lt;=0.2,"medium","high")))</f>
        <v>Low</v>
      </c>
    </row>
    <row r="917" spans="1:22" x14ac:dyDescent="0.3">
      <c r="A917" t="s">
        <v>1214</v>
      </c>
      <c r="B917" s="6">
        <v>45411</v>
      </c>
      <c r="C917" t="s">
        <v>590</v>
      </c>
      <c r="D917" t="s">
        <v>33</v>
      </c>
      <c r="E917" t="s">
        <v>48</v>
      </c>
      <c r="F917" t="s">
        <v>60</v>
      </c>
      <c r="G917" t="s">
        <v>98</v>
      </c>
      <c r="H917" t="s">
        <v>138</v>
      </c>
      <c r="I917">
        <v>1064.96</v>
      </c>
      <c r="J917">
        <v>1</v>
      </c>
      <c r="K917">
        <v>0</v>
      </c>
      <c r="L917">
        <v>476.95</v>
      </c>
      <c r="M917" t="s">
        <v>68</v>
      </c>
      <c r="N917" t="s">
        <v>44</v>
      </c>
      <c r="O917" t="str">
        <f t="shared" si="28"/>
        <v>Bad</v>
      </c>
      <c r="P917">
        <f t="shared" si="29"/>
        <v>1064.96</v>
      </c>
      <c r="Q917">
        <v>45411</v>
      </c>
      <c r="R917">
        <f>YEAR(Table1[[#This Row],[Order_Date_New]])</f>
        <v>2024</v>
      </c>
      <c r="S917">
        <f>MONTH(Table1[[#This Row],[Order_Date_New]])</f>
        <v>4</v>
      </c>
      <c r="T917" t="str">
        <f>TEXT(Table1[[#This Row],[Order_Date_New]],"mmmm")</f>
        <v>April</v>
      </c>
      <c r="U917">
        <f>Table1[[#This Row],[Profit]]/Table1[[#This Row],[Sales]]</f>
        <v>0.44785719651442307</v>
      </c>
      <c r="V917" t="str">
        <f>IF(Table1[[#This Row],[Discount]]=0,"No Discount",IF(Table1[[#This Row],[Discount]]&lt;=0.1,"Low",IF(Table1[[#This Row],[Discount]]&lt;=0.2,"medium","high")))</f>
        <v>No Discount</v>
      </c>
    </row>
    <row r="918" spans="1:22" x14ac:dyDescent="0.3">
      <c r="A918" t="s">
        <v>1215</v>
      </c>
      <c r="B918" s="6">
        <v>45765</v>
      </c>
      <c r="C918" t="s">
        <v>474</v>
      </c>
      <c r="D918" t="s">
        <v>33</v>
      </c>
      <c r="E918" t="s">
        <v>34</v>
      </c>
      <c r="F918" t="s">
        <v>26</v>
      </c>
      <c r="G918" t="s">
        <v>35</v>
      </c>
      <c r="H918" t="s">
        <v>173</v>
      </c>
      <c r="I918">
        <v>2673.86</v>
      </c>
      <c r="J918">
        <v>7</v>
      </c>
      <c r="K918">
        <v>0.1</v>
      </c>
      <c r="L918">
        <v>-7.05</v>
      </c>
      <c r="M918" t="s">
        <v>43</v>
      </c>
      <c r="N918" t="s">
        <v>30</v>
      </c>
      <c r="O918" t="str">
        <f t="shared" si="28"/>
        <v>Bad</v>
      </c>
      <c r="P918">
        <f t="shared" si="29"/>
        <v>381.98</v>
      </c>
      <c r="Q918">
        <v>45765</v>
      </c>
      <c r="R918">
        <f>YEAR(Table1[[#This Row],[Order_Date_New]])</f>
        <v>2025</v>
      </c>
      <c r="S918">
        <f>MONTH(Table1[[#This Row],[Order_Date_New]])</f>
        <v>4</v>
      </c>
      <c r="T918" t="str">
        <f>TEXT(Table1[[#This Row],[Order_Date_New]],"mmmm")</f>
        <v>April</v>
      </c>
      <c r="U918">
        <f>Table1[[#This Row],[Profit]]/Table1[[#This Row],[Sales]]</f>
        <v>-2.6366376698854837E-3</v>
      </c>
      <c r="V918" t="str">
        <f>IF(Table1[[#This Row],[Discount]]=0,"No Discount",IF(Table1[[#This Row],[Discount]]&lt;=0.1,"Low",IF(Table1[[#This Row],[Discount]]&lt;=0.2,"medium","high")))</f>
        <v>Low</v>
      </c>
    </row>
    <row r="919" spans="1:22" x14ac:dyDescent="0.3">
      <c r="A919" t="s">
        <v>1216</v>
      </c>
      <c r="B919" s="6">
        <v>45789</v>
      </c>
      <c r="C919" t="s">
        <v>278</v>
      </c>
      <c r="D919" t="s">
        <v>128</v>
      </c>
      <c r="E919" t="s">
        <v>202</v>
      </c>
      <c r="F919" t="s">
        <v>72</v>
      </c>
      <c r="G919" t="s">
        <v>88</v>
      </c>
      <c r="H919" t="s">
        <v>89</v>
      </c>
      <c r="I919">
        <v>2818.3</v>
      </c>
      <c r="J919">
        <v>5</v>
      </c>
      <c r="K919">
        <v>0.05</v>
      </c>
      <c r="L919">
        <v>1123.68</v>
      </c>
      <c r="M919" t="s">
        <v>170</v>
      </c>
      <c r="N919" t="s">
        <v>44</v>
      </c>
      <c r="O919" t="str">
        <f t="shared" si="28"/>
        <v>Bad</v>
      </c>
      <c r="P919">
        <f t="shared" si="29"/>
        <v>563.66000000000008</v>
      </c>
      <c r="Q919">
        <v>45789</v>
      </c>
      <c r="R919">
        <f>YEAR(Table1[[#This Row],[Order_Date_New]])</f>
        <v>2025</v>
      </c>
      <c r="S919">
        <f>MONTH(Table1[[#This Row],[Order_Date_New]])</f>
        <v>5</v>
      </c>
      <c r="T919" t="str">
        <f>TEXT(Table1[[#This Row],[Order_Date_New]],"mmmm")</f>
        <v>May</v>
      </c>
      <c r="U919">
        <f>Table1[[#This Row],[Profit]]/Table1[[#This Row],[Sales]]</f>
        <v>0.39870844125891497</v>
      </c>
      <c r="V919" t="str">
        <f>IF(Table1[[#This Row],[Discount]]=0,"No Discount",IF(Table1[[#This Row],[Discount]]&lt;=0.1,"Low",IF(Table1[[#This Row],[Discount]]&lt;=0.2,"medium","high")))</f>
        <v>Low</v>
      </c>
    </row>
    <row r="920" spans="1:22" x14ac:dyDescent="0.3">
      <c r="A920" t="s">
        <v>1217</v>
      </c>
      <c r="B920" s="6">
        <v>45422</v>
      </c>
      <c r="C920" t="s">
        <v>741</v>
      </c>
      <c r="D920" t="s">
        <v>24</v>
      </c>
      <c r="E920" t="s">
        <v>59</v>
      </c>
      <c r="F920" t="s">
        <v>60</v>
      </c>
      <c r="G920" t="s">
        <v>98</v>
      </c>
      <c r="H920" t="s">
        <v>99</v>
      </c>
      <c r="I920">
        <v>349.05</v>
      </c>
      <c r="J920">
        <v>3</v>
      </c>
      <c r="K920">
        <v>0.2</v>
      </c>
      <c r="L920">
        <v>73.260000000000005</v>
      </c>
      <c r="M920" t="s">
        <v>68</v>
      </c>
      <c r="N920" t="s">
        <v>80</v>
      </c>
      <c r="O920" t="str">
        <f t="shared" si="28"/>
        <v>Bad</v>
      </c>
      <c r="P920">
        <f t="shared" si="29"/>
        <v>116.35000000000001</v>
      </c>
      <c r="Q920">
        <v>45422</v>
      </c>
      <c r="R920">
        <f>YEAR(Table1[[#This Row],[Order_Date_New]])</f>
        <v>2024</v>
      </c>
      <c r="S920">
        <f>MONTH(Table1[[#This Row],[Order_Date_New]])</f>
        <v>5</v>
      </c>
      <c r="T920" t="str">
        <f>TEXT(Table1[[#This Row],[Order_Date_New]],"mmmm")</f>
        <v>May</v>
      </c>
      <c r="U920">
        <f>Table1[[#This Row],[Profit]]/Table1[[#This Row],[Sales]]</f>
        <v>0.20988397077782553</v>
      </c>
      <c r="V920" t="str">
        <f>IF(Table1[[#This Row],[Discount]]=0,"No Discount",IF(Table1[[#This Row],[Discount]]&lt;=0.1,"Low",IF(Table1[[#This Row],[Discount]]&lt;=0.2,"medium","high")))</f>
        <v>medium</v>
      </c>
    </row>
    <row r="921" spans="1:22" x14ac:dyDescent="0.3">
      <c r="A921" t="s">
        <v>1218</v>
      </c>
      <c r="B921" s="6">
        <v>45491</v>
      </c>
      <c r="C921" t="s">
        <v>850</v>
      </c>
      <c r="D921" t="s">
        <v>53</v>
      </c>
      <c r="E921" t="s">
        <v>107</v>
      </c>
      <c r="F921" t="s">
        <v>26</v>
      </c>
      <c r="G921" t="s">
        <v>41</v>
      </c>
      <c r="H921" t="s">
        <v>42</v>
      </c>
      <c r="I921">
        <v>1951.96</v>
      </c>
      <c r="J921">
        <v>4</v>
      </c>
      <c r="K921">
        <v>0.05</v>
      </c>
      <c r="L921">
        <v>502.24</v>
      </c>
      <c r="M921" t="s">
        <v>170</v>
      </c>
      <c r="N921" t="s">
        <v>30</v>
      </c>
      <c r="O921" t="str">
        <f t="shared" si="28"/>
        <v>Bad</v>
      </c>
      <c r="P921">
        <f t="shared" si="29"/>
        <v>487.99</v>
      </c>
      <c r="Q921">
        <v>45491</v>
      </c>
      <c r="R921">
        <f>YEAR(Table1[[#This Row],[Order_Date_New]])</f>
        <v>2024</v>
      </c>
      <c r="S921">
        <f>MONTH(Table1[[#This Row],[Order_Date_New]])</f>
        <v>7</v>
      </c>
      <c r="T921" t="str">
        <f>TEXT(Table1[[#This Row],[Order_Date_New]],"mmmm")</f>
        <v>July</v>
      </c>
      <c r="U921">
        <f>Table1[[#This Row],[Profit]]/Table1[[#This Row],[Sales]]</f>
        <v>0.2573003545154614</v>
      </c>
      <c r="V921" t="str">
        <f>IF(Table1[[#This Row],[Discount]]=0,"No Discount",IF(Table1[[#This Row],[Discount]]&lt;=0.1,"Low",IF(Table1[[#This Row],[Discount]]&lt;=0.2,"medium","high")))</f>
        <v>Low</v>
      </c>
    </row>
    <row r="922" spans="1:22" x14ac:dyDescent="0.3">
      <c r="A922" t="s">
        <v>1219</v>
      </c>
      <c r="B922" s="6">
        <v>45535</v>
      </c>
      <c r="C922" t="s">
        <v>1019</v>
      </c>
      <c r="D922" t="s">
        <v>33</v>
      </c>
      <c r="E922" t="s">
        <v>34</v>
      </c>
      <c r="F922" t="s">
        <v>60</v>
      </c>
      <c r="G922" t="s">
        <v>98</v>
      </c>
      <c r="H922" t="s">
        <v>99</v>
      </c>
      <c r="I922">
        <v>2087.5</v>
      </c>
      <c r="J922">
        <v>10</v>
      </c>
      <c r="K922">
        <v>0.25</v>
      </c>
      <c r="L922">
        <v>73.41</v>
      </c>
      <c r="M922" t="s">
        <v>29</v>
      </c>
      <c r="N922" t="s">
        <v>38</v>
      </c>
      <c r="O922" t="str">
        <f t="shared" si="28"/>
        <v>Bad</v>
      </c>
      <c r="P922">
        <f t="shared" si="29"/>
        <v>208.75</v>
      </c>
      <c r="Q922">
        <v>45535</v>
      </c>
      <c r="R922">
        <f>YEAR(Table1[[#This Row],[Order_Date_New]])</f>
        <v>2024</v>
      </c>
      <c r="S922">
        <f>MONTH(Table1[[#This Row],[Order_Date_New]])</f>
        <v>8</v>
      </c>
      <c r="T922" t="str">
        <f>TEXT(Table1[[#This Row],[Order_Date_New]],"mmmm")</f>
        <v>August</v>
      </c>
      <c r="U922">
        <f>Table1[[#This Row],[Profit]]/Table1[[#This Row],[Sales]]</f>
        <v>3.5166467065868262E-2</v>
      </c>
      <c r="V922" t="str">
        <f>IF(Table1[[#This Row],[Discount]]=0,"No Discount",IF(Table1[[#This Row],[Discount]]&lt;=0.1,"Low",IF(Table1[[#This Row],[Discount]]&lt;=0.2,"medium","high")))</f>
        <v>high</v>
      </c>
    </row>
    <row r="923" spans="1:22" x14ac:dyDescent="0.3">
      <c r="A923" t="s">
        <v>1220</v>
      </c>
      <c r="B923" s="6">
        <v>45895</v>
      </c>
      <c r="C923" t="s">
        <v>65</v>
      </c>
      <c r="D923" t="s">
        <v>128</v>
      </c>
      <c r="E923" t="s">
        <v>129</v>
      </c>
      <c r="F923" t="s">
        <v>26</v>
      </c>
      <c r="G923" t="s">
        <v>27</v>
      </c>
      <c r="H923" t="s">
        <v>200</v>
      </c>
      <c r="I923">
        <v>8507.7999999999993</v>
      </c>
      <c r="J923">
        <v>10</v>
      </c>
      <c r="K923">
        <v>0.2</v>
      </c>
      <c r="L923">
        <v>1162.6500000000001</v>
      </c>
      <c r="M923" t="s">
        <v>37</v>
      </c>
      <c r="N923" t="s">
        <v>30</v>
      </c>
      <c r="O923" t="str">
        <f t="shared" si="28"/>
        <v>Good</v>
      </c>
      <c r="P923">
        <f t="shared" si="29"/>
        <v>850.78</v>
      </c>
      <c r="Q923">
        <v>45895</v>
      </c>
      <c r="R923">
        <f>YEAR(Table1[[#This Row],[Order_Date_New]])</f>
        <v>2025</v>
      </c>
      <c r="S923">
        <f>MONTH(Table1[[#This Row],[Order_Date_New]])</f>
        <v>8</v>
      </c>
      <c r="T923" t="str">
        <f>TEXT(Table1[[#This Row],[Order_Date_New]],"mmmm")</f>
        <v>August</v>
      </c>
      <c r="U923">
        <f>Table1[[#This Row],[Profit]]/Table1[[#This Row],[Sales]]</f>
        <v>0.136656950092856</v>
      </c>
      <c r="V923" t="str">
        <f>IF(Table1[[#This Row],[Discount]]=0,"No Discount",IF(Table1[[#This Row],[Discount]]&lt;=0.1,"Low",IF(Table1[[#This Row],[Discount]]&lt;=0.2,"medium","high")))</f>
        <v>medium</v>
      </c>
    </row>
    <row r="924" spans="1:22" x14ac:dyDescent="0.3">
      <c r="A924" t="s">
        <v>1221</v>
      </c>
      <c r="B924" s="6">
        <v>46013</v>
      </c>
      <c r="C924" t="s">
        <v>538</v>
      </c>
      <c r="D924" t="s">
        <v>53</v>
      </c>
      <c r="E924" t="s">
        <v>107</v>
      </c>
      <c r="F924" t="s">
        <v>60</v>
      </c>
      <c r="G924" t="s">
        <v>61</v>
      </c>
      <c r="H924" t="s">
        <v>67</v>
      </c>
      <c r="I924">
        <v>4218.3</v>
      </c>
      <c r="J924">
        <v>10</v>
      </c>
      <c r="K924">
        <v>0.3</v>
      </c>
      <c r="L924">
        <v>-617.20000000000005</v>
      </c>
      <c r="M924" t="s">
        <v>90</v>
      </c>
      <c r="N924" t="s">
        <v>30</v>
      </c>
      <c r="O924" t="str">
        <f t="shared" si="28"/>
        <v>Bad</v>
      </c>
      <c r="P924">
        <f t="shared" si="29"/>
        <v>421.83000000000004</v>
      </c>
      <c r="Q924">
        <v>46013</v>
      </c>
      <c r="R924">
        <f>YEAR(Table1[[#This Row],[Order_Date_New]])</f>
        <v>2025</v>
      </c>
      <c r="S924">
        <f>MONTH(Table1[[#This Row],[Order_Date_New]])</f>
        <v>12</v>
      </c>
      <c r="T924" t="str">
        <f>TEXT(Table1[[#This Row],[Order_Date_New]],"mmmm")</f>
        <v>December</v>
      </c>
      <c r="U924">
        <f>Table1[[#This Row],[Profit]]/Table1[[#This Row],[Sales]]</f>
        <v>-0.14631486617831829</v>
      </c>
      <c r="V924" t="str">
        <f>IF(Table1[[#This Row],[Discount]]=0,"No Discount",IF(Table1[[#This Row],[Discount]]&lt;=0.1,"Low",IF(Table1[[#This Row],[Discount]]&lt;=0.2,"medium","high")))</f>
        <v>high</v>
      </c>
    </row>
    <row r="925" spans="1:22" x14ac:dyDescent="0.3">
      <c r="A925" t="s">
        <v>1222</v>
      </c>
      <c r="B925" s="6">
        <v>45381</v>
      </c>
      <c r="C925" t="s">
        <v>572</v>
      </c>
      <c r="D925" t="s">
        <v>33</v>
      </c>
      <c r="E925" t="s">
        <v>48</v>
      </c>
      <c r="F925" t="s">
        <v>60</v>
      </c>
      <c r="G925" t="s">
        <v>61</v>
      </c>
      <c r="H925" t="s">
        <v>67</v>
      </c>
      <c r="I925">
        <v>1554.24</v>
      </c>
      <c r="J925">
        <v>3</v>
      </c>
      <c r="K925">
        <v>0.3</v>
      </c>
      <c r="L925">
        <v>-364.1</v>
      </c>
      <c r="M925" t="s">
        <v>133</v>
      </c>
      <c r="N925" t="s">
        <v>30</v>
      </c>
      <c r="O925" t="str">
        <f t="shared" si="28"/>
        <v>Bad</v>
      </c>
      <c r="P925">
        <f t="shared" si="29"/>
        <v>518.08000000000004</v>
      </c>
      <c r="Q925">
        <v>45381</v>
      </c>
      <c r="R925">
        <f>YEAR(Table1[[#This Row],[Order_Date_New]])</f>
        <v>2024</v>
      </c>
      <c r="S925">
        <f>MONTH(Table1[[#This Row],[Order_Date_New]])</f>
        <v>3</v>
      </c>
      <c r="T925" t="str">
        <f>TEXT(Table1[[#This Row],[Order_Date_New]],"mmmm")</f>
        <v>March</v>
      </c>
      <c r="U925">
        <f>Table1[[#This Row],[Profit]]/Table1[[#This Row],[Sales]]</f>
        <v>-0.23426240477661109</v>
      </c>
      <c r="V925" t="str">
        <f>IF(Table1[[#This Row],[Discount]]=0,"No Discount",IF(Table1[[#This Row],[Discount]]&lt;=0.1,"Low",IF(Table1[[#This Row],[Discount]]&lt;=0.2,"medium","high")))</f>
        <v>high</v>
      </c>
    </row>
    <row r="926" spans="1:22" x14ac:dyDescent="0.3">
      <c r="A926" t="s">
        <v>1223</v>
      </c>
      <c r="B926" s="6">
        <v>45653</v>
      </c>
      <c r="C926" t="s">
        <v>217</v>
      </c>
      <c r="D926" t="s">
        <v>128</v>
      </c>
      <c r="E926" t="s">
        <v>129</v>
      </c>
      <c r="F926" t="s">
        <v>26</v>
      </c>
      <c r="G926" t="s">
        <v>41</v>
      </c>
      <c r="H926" t="s">
        <v>42</v>
      </c>
      <c r="I926">
        <v>719.61</v>
      </c>
      <c r="J926">
        <v>3</v>
      </c>
      <c r="K926">
        <v>0.3</v>
      </c>
      <c r="L926">
        <v>12.75</v>
      </c>
      <c r="M926" t="s">
        <v>49</v>
      </c>
      <c r="N926" t="s">
        <v>30</v>
      </c>
      <c r="O926" t="str">
        <f t="shared" si="28"/>
        <v>Bad</v>
      </c>
      <c r="P926">
        <f t="shared" si="29"/>
        <v>239.87</v>
      </c>
      <c r="Q926">
        <v>45653</v>
      </c>
      <c r="R926">
        <f>YEAR(Table1[[#This Row],[Order_Date_New]])</f>
        <v>2024</v>
      </c>
      <c r="S926">
        <f>MONTH(Table1[[#This Row],[Order_Date_New]])</f>
        <v>12</v>
      </c>
      <c r="T926" t="str">
        <f>TEXT(Table1[[#This Row],[Order_Date_New]],"mmmm")</f>
        <v>December</v>
      </c>
      <c r="U926">
        <f>Table1[[#This Row],[Profit]]/Table1[[#This Row],[Sales]]</f>
        <v>1.771793054571226E-2</v>
      </c>
      <c r="V926" t="str">
        <f>IF(Table1[[#This Row],[Discount]]=0,"No Discount",IF(Table1[[#This Row],[Discount]]&lt;=0.1,"Low",IF(Table1[[#This Row],[Discount]]&lt;=0.2,"medium","high")))</f>
        <v>high</v>
      </c>
    </row>
    <row r="927" spans="1:22" x14ac:dyDescent="0.3">
      <c r="A927" t="s">
        <v>1224</v>
      </c>
      <c r="B927" s="6">
        <v>45369</v>
      </c>
      <c r="C927" t="s">
        <v>143</v>
      </c>
      <c r="D927" t="s">
        <v>128</v>
      </c>
      <c r="E927" t="s">
        <v>132</v>
      </c>
      <c r="F927" t="s">
        <v>60</v>
      </c>
      <c r="G927" t="s">
        <v>61</v>
      </c>
      <c r="H927" t="s">
        <v>122</v>
      </c>
      <c r="I927">
        <v>491.46</v>
      </c>
      <c r="J927">
        <v>1</v>
      </c>
      <c r="K927">
        <v>0.3</v>
      </c>
      <c r="L927">
        <v>-36.65</v>
      </c>
      <c r="M927" t="s">
        <v>170</v>
      </c>
      <c r="N927" t="s">
        <v>38</v>
      </c>
      <c r="O927" t="str">
        <f t="shared" si="28"/>
        <v>Bad</v>
      </c>
      <c r="P927">
        <f t="shared" si="29"/>
        <v>491.46</v>
      </c>
      <c r="Q927">
        <v>45369</v>
      </c>
      <c r="R927">
        <f>YEAR(Table1[[#This Row],[Order_Date_New]])</f>
        <v>2024</v>
      </c>
      <c r="S927">
        <f>MONTH(Table1[[#This Row],[Order_Date_New]])</f>
        <v>3</v>
      </c>
      <c r="T927" t="str">
        <f>TEXT(Table1[[#This Row],[Order_Date_New]],"mmmm")</f>
        <v>March</v>
      </c>
      <c r="U927">
        <f>Table1[[#This Row],[Profit]]/Table1[[#This Row],[Sales]]</f>
        <v>-7.4573719122614249E-2</v>
      </c>
      <c r="V927" t="str">
        <f>IF(Table1[[#This Row],[Discount]]=0,"No Discount",IF(Table1[[#This Row],[Discount]]&lt;=0.1,"Low",IF(Table1[[#This Row],[Discount]]&lt;=0.2,"medium","high")))</f>
        <v>high</v>
      </c>
    </row>
    <row r="928" spans="1:22" x14ac:dyDescent="0.3">
      <c r="A928" t="s">
        <v>1225</v>
      </c>
      <c r="B928" s="6">
        <v>45957</v>
      </c>
      <c r="C928" t="s">
        <v>601</v>
      </c>
      <c r="D928" t="s">
        <v>53</v>
      </c>
      <c r="E928" t="s">
        <v>54</v>
      </c>
      <c r="F928" t="s">
        <v>26</v>
      </c>
      <c r="G928" t="s">
        <v>35</v>
      </c>
      <c r="H928" t="s">
        <v>173</v>
      </c>
      <c r="I928">
        <v>497.46</v>
      </c>
      <c r="J928">
        <v>6</v>
      </c>
      <c r="K928">
        <v>0.05</v>
      </c>
      <c r="L928">
        <v>132.93</v>
      </c>
      <c r="M928" t="s">
        <v>49</v>
      </c>
      <c r="N928" t="s">
        <v>38</v>
      </c>
      <c r="O928" t="str">
        <f t="shared" si="28"/>
        <v>Bad</v>
      </c>
      <c r="P928">
        <f t="shared" si="29"/>
        <v>82.91</v>
      </c>
      <c r="Q928">
        <v>45957</v>
      </c>
      <c r="R928">
        <f>YEAR(Table1[[#This Row],[Order_Date_New]])</f>
        <v>2025</v>
      </c>
      <c r="S928">
        <f>MONTH(Table1[[#This Row],[Order_Date_New]])</f>
        <v>10</v>
      </c>
      <c r="T928" t="str">
        <f>TEXT(Table1[[#This Row],[Order_Date_New]],"mmmm")</f>
        <v>October</v>
      </c>
      <c r="U928">
        <f>Table1[[#This Row],[Profit]]/Table1[[#This Row],[Sales]]</f>
        <v>0.26721746472078162</v>
      </c>
      <c r="V928" t="str">
        <f>IF(Table1[[#This Row],[Discount]]=0,"No Discount",IF(Table1[[#This Row],[Discount]]&lt;=0.1,"Low",IF(Table1[[#This Row],[Discount]]&lt;=0.2,"medium","high")))</f>
        <v>Low</v>
      </c>
    </row>
    <row r="929" spans="1:22" x14ac:dyDescent="0.3">
      <c r="A929" t="s">
        <v>1226</v>
      </c>
      <c r="B929" s="6">
        <v>45612</v>
      </c>
      <c r="C929" t="s">
        <v>193</v>
      </c>
      <c r="D929" t="s">
        <v>33</v>
      </c>
      <c r="E929" t="s">
        <v>48</v>
      </c>
      <c r="F929" t="s">
        <v>72</v>
      </c>
      <c r="G929" t="s">
        <v>73</v>
      </c>
      <c r="H929" t="s">
        <v>102</v>
      </c>
      <c r="I929">
        <v>793.62</v>
      </c>
      <c r="J929">
        <v>2</v>
      </c>
      <c r="K929">
        <v>0.15</v>
      </c>
      <c r="L929">
        <v>14.12</v>
      </c>
      <c r="M929" t="s">
        <v>105</v>
      </c>
      <c r="N929" t="s">
        <v>38</v>
      </c>
      <c r="O929" t="str">
        <f t="shared" si="28"/>
        <v>Bad</v>
      </c>
      <c r="P929">
        <f t="shared" si="29"/>
        <v>396.81</v>
      </c>
      <c r="Q929">
        <v>45612</v>
      </c>
      <c r="R929">
        <f>YEAR(Table1[[#This Row],[Order_Date_New]])</f>
        <v>2024</v>
      </c>
      <c r="S929">
        <f>MONTH(Table1[[#This Row],[Order_Date_New]])</f>
        <v>11</v>
      </c>
      <c r="T929" t="str">
        <f>TEXT(Table1[[#This Row],[Order_Date_New]],"mmmm")</f>
        <v>November</v>
      </c>
      <c r="U929">
        <f>Table1[[#This Row],[Profit]]/Table1[[#This Row],[Sales]]</f>
        <v>1.7791890325344624E-2</v>
      </c>
      <c r="V929" t="str">
        <f>IF(Table1[[#This Row],[Discount]]=0,"No Discount",IF(Table1[[#This Row],[Discount]]&lt;=0.1,"Low",IF(Table1[[#This Row],[Discount]]&lt;=0.2,"medium","high")))</f>
        <v>medium</v>
      </c>
    </row>
    <row r="930" spans="1:22" x14ac:dyDescent="0.3">
      <c r="A930" t="s">
        <v>1227</v>
      </c>
      <c r="B930" s="6">
        <v>45372</v>
      </c>
      <c r="C930" t="s">
        <v>215</v>
      </c>
      <c r="D930" t="s">
        <v>24</v>
      </c>
      <c r="E930" t="s">
        <v>84</v>
      </c>
      <c r="F930" t="s">
        <v>26</v>
      </c>
      <c r="G930" t="s">
        <v>35</v>
      </c>
      <c r="H930" t="s">
        <v>36</v>
      </c>
      <c r="I930">
        <v>2120.12</v>
      </c>
      <c r="J930">
        <v>2</v>
      </c>
      <c r="K930">
        <v>0.15</v>
      </c>
      <c r="L930">
        <v>540.85</v>
      </c>
      <c r="M930" t="s">
        <v>90</v>
      </c>
      <c r="N930" t="s">
        <v>44</v>
      </c>
      <c r="O930" t="str">
        <f t="shared" si="28"/>
        <v>Bad</v>
      </c>
      <c r="P930">
        <f t="shared" si="29"/>
        <v>1060.06</v>
      </c>
      <c r="Q930">
        <v>45372</v>
      </c>
      <c r="R930">
        <f>YEAR(Table1[[#This Row],[Order_Date_New]])</f>
        <v>2024</v>
      </c>
      <c r="S930">
        <f>MONTH(Table1[[#This Row],[Order_Date_New]])</f>
        <v>3</v>
      </c>
      <c r="T930" t="str">
        <f>TEXT(Table1[[#This Row],[Order_Date_New]],"mmmm")</f>
        <v>March</v>
      </c>
      <c r="U930">
        <f>Table1[[#This Row],[Profit]]/Table1[[#This Row],[Sales]]</f>
        <v>0.25510348470841276</v>
      </c>
      <c r="V930" t="str">
        <f>IF(Table1[[#This Row],[Discount]]=0,"No Discount",IF(Table1[[#This Row],[Discount]]&lt;=0.1,"Low",IF(Table1[[#This Row],[Discount]]&lt;=0.2,"medium","high")))</f>
        <v>medium</v>
      </c>
    </row>
    <row r="931" spans="1:22" x14ac:dyDescent="0.3">
      <c r="A931" t="s">
        <v>1228</v>
      </c>
      <c r="B931" s="6">
        <v>45375</v>
      </c>
      <c r="C931" t="s">
        <v>221</v>
      </c>
      <c r="D931" t="s">
        <v>53</v>
      </c>
      <c r="E931" t="s">
        <v>54</v>
      </c>
      <c r="F931" t="s">
        <v>60</v>
      </c>
      <c r="G931" t="s">
        <v>98</v>
      </c>
      <c r="H931" t="s">
        <v>141</v>
      </c>
      <c r="I931">
        <v>3359.31</v>
      </c>
      <c r="J931">
        <v>3</v>
      </c>
      <c r="K931">
        <v>0.15</v>
      </c>
      <c r="L931">
        <v>782.62</v>
      </c>
      <c r="M931" t="s">
        <v>68</v>
      </c>
      <c r="N931" t="s">
        <v>80</v>
      </c>
      <c r="O931" t="str">
        <f t="shared" si="28"/>
        <v>Bad</v>
      </c>
      <c r="P931">
        <f t="shared" si="29"/>
        <v>1119.77</v>
      </c>
      <c r="Q931">
        <v>45375</v>
      </c>
      <c r="R931">
        <f>YEAR(Table1[[#This Row],[Order_Date_New]])</f>
        <v>2024</v>
      </c>
      <c r="S931">
        <f>MONTH(Table1[[#This Row],[Order_Date_New]])</f>
        <v>3</v>
      </c>
      <c r="T931" t="str">
        <f>TEXT(Table1[[#This Row],[Order_Date_New]],"mmmm")</f>
        <v>March</v>
      </c>
      <c r="U931">
        <f>Table1[[#This Row],[Profit]]/Table1[[#This Row],[Sales]]</f>
        <v>0.23297046119590034</v>
      </c>
      <c r="V931" t="str">
        <f>IF(Table1[[#This Row],[Discount]]=0,"No Discount",IF(Table1[[#This Row],[Discount]]&lt;=0.1,"Low",IF(Table1[[#This Row],[Discount]]&lt;=0.2,"medium","high")))</f>
        <v>medium</v>
      </c>
    </row>
    <row r="932" spans="1:22" x14ac:dyDescent="0.3">
      <c r="A932" t="s">
        <v>1229</v>
      </c>
      <c r="B932" s="6">
        <v>45918</v>
      </c>
      <c r="C932" t="s">
        <v>830</v>
      </c>
      <c r="D932" t="s">
        <v>33</v>
      </c>
      <c r="E932" t="s">
        <v>48</v>
      </c>
      <c r="F932" t="s">
        <v>60</v>
      </c>
      <c r="G932" t="s">
        <v>61</v>
      </c>
      <c r="H932" t="s">
        <v>62</v>
      </c>
      <c r="I932">
        <v>309.42</v>
      </c>
      <c r="J932">
        <v>6</v>
      </c>
      <c r="K932">
        <v>0.25</v>
      </c>
      <c r="L932">
        <v>-12.68</v>
      </c>
      <c r="M932" t="s">
        <v>90</v>
      </c>
      <c r="N932" t="s">
        <v>44</v>
      </c>
      <c r="O932" t="str">
        <f t="shared" si="28"/>
        <v>Bad</v>
      </c>
      <c r="P932">
        <f t="shared" si="29"/>
        <v>51.57</v>
      </c>
      <c r="Q932">
        <v>45918</v>
      </c>
      <c r="R932">
        <f>YEAR(Table1[[#This Row],[Order_Date_New]])</f>
        <v>2025</v>
      </c>
      <c r="S932">
        <f>MONTH(Table1[[#This Row],[Order_Date_New]])</f>
        <v>9</v>
      </c>
      <c r="T932" t="str">
        <f>TEXT(Table1[[#This Row],[Order_Date_New]],"mmmm")</f>
        <v>September</v>
      </c>
      <c r="U932">
        <f>Table1[[#This Row],[Profit]]/Table1[[#This Row],[Sales]]</f>
        <v>-4.0979897873440627E-2</v>
      </c>
      <c r="V932" t="str">
        <f>IF(Table1[[#This Row],[Discount]]=0,"No Discount",IF(Table1[[#This Row],[Discount]]&lt;=0.1,"Low",IF(Table1[[#This Row],[Discount]]&lt;=0.2,"medium","high")))</f>
        <v>high</v>
      </c>
    </row>
    <row r="933" spans="1:22" x14ac:dyDescent="0.3">
      <c r="A933" t="s">
        <v>1230</v>
      </c>
      <c r="B933" s="6">
        <v>45866</v>
      </c>
      <c r="C933" t="s">
        <v>94</v>
      </c>
      <c r="D933" t="s">
        <v>24</v>
      </c>
      <c r="E933" t="s">
        <v>25</v>
      </c>
      <c r="F933" t="s">
        <v>26</v>
      </c>
      <c r="G933" t="s">
        <v>35</v>
      </c>
      <c r="H933" t="s">
        <v>36</v>
      </c>
      <c r="I933">
        <v>3733</v>
      </c>
      <c r="J933">
        <v>5</v>
      </c>
      <c r="K933">
        <v>0.2</v>
      </c>
      <c r="L933">
        <v>397.78</v>
      </c>
      <c r="M933" t="s">
        <v>90</v>
      </c>
      <c r="N933" t="s">
        <v>80</v>
      </c>
      <c r="O933" t="str">
        <f t="shared" si="28"/>
        <v>Bad</v>
      </c>
      <c r="P933">
        <f t="shared" si="29"/>
        <v>746.6</v>
      </c>
      <c r="Q933">
        <v>45866</v>
      </c>
      <c r="R933">
        <f>YEAR(Table1[[#This Row],[Order_Date_New]])</f>
        <v>2025</v>
      </c>
      <c r="S933">
        <f>MONTH(Table1[[#This Row],[Order_Date_New]])</f>
        <v>7</v>
      </c>
      <c r="T933" t="str">
        <f>TEXT(Table1[[#This Row],[Order_Date_New]],"mmmm")</f>
        <v>July</v>
      </c>
      <c r="U933">
        <f>Table1[[#This Row],[Profit]]/Table1[[#This Row],[Sales]]</f>
        <v>0.10655772836860433</v>
      </c>
      <c r="V933" t="str">
        <f>IF(Table1[[#This Row],[Discount]]=0,"No Discount",IF(Table1[[#This Row],[Discount]]&lt;=0.1,"Low",IF(Table1[[#This Row],[Discount]]&lt;=0.2,"medium","high")))</f>
        <v>medium</v>
      </c>
    </row>
    <row r="934" spans="1:22" x14ac:dyDescent="0.3">
      <c r="A934" t="s">
        <v>1231</v>
      </c>
      <c r="B934" s="6">
        <v>45495</v>
      </c>
      <c r="C934" t="s">
        <v>152</v>
      </c>
      <c r="D934" t="s">
        <v>53</v>
      </c>
      <c r="E934" t="s">
        <v>54</v>
      </c>
      <c r="F934" t="s">
        <v>72</v>
      </c>
      <c r="G934" t="s">
        <v>111</v>
      </c>
      <c r="H934" t="s">
        <v>158</v>
      </c>
      <c r="I934">
        <v>3694.4</v>
      </c>
      <c r="J934">
        <v>8</v>
      </c>
      <c r="K934">
        <v>0</v>
      </c>
      <c r="L934">
        <v>1105.31</v>
      </c>
      <c r="M934" t="s">
        <v>105</v>
      </c>
      <c r="N934" t="s">
        <v>44</v>
      </c>
      <c r="O934" t="str">
        <f t="shared" si="28"/>
        <v>Bad</v>
      </c>
      <c r="P934">
        <f t="shared" si="29"/>
        <v>461.8</v>
      </c>
      <c r="Q934">
        <v>45495</v>
      </c>
      <c r="R934">
        <f>YEAR(Table1[[#This Row],[Order_Date_New]])</f>
        <v>2024</v>
      </c>
      <c r="S934">
        <f>MONTH(Table1[[#This Row],[Order_Date_New]])</f>
        <v>7</v>
      </c>
      <c r="T934" t="str">
        <f>TEXT(Table1[[#This Row],[Order_Date_New]],"mmmm")</f>
        <v>July</v>
      </c>
      <c r="U934">
        <f>Table1[[#This Row],[Profit]]/Table1[[#This Row],[Sales]]</f>
        <v>0.29918525335643131</v>
      </c>
      <c r="V934" t="str">
        <f>IF(Table1[[#This Row],[Discount]]=0,"No Discount",IF(Table1[[#This Row],[Discount]]&lt;=0.1,"Low",IF(Table1[[#This Row],[Discount]]&lt;=0.2,"medium","high")))</f>
        <v>No Discount</v>
      </c>
    </row>
    <row r="935" spans="1:22" x14ac:dyDescent="0.3">
      <c r="A935" t="s">
        <v>1232</v>
      </c>
      <c r="B935" s="6">
        <v>45528</v>
      </c>
      <c r="C935" t="s">
        <v>213</v>
      </c>
      <c r="D935" t="s">
        <v>33</v>
      </c>
      <c r="E935" t="s">
        <v>66</v>
      </c>
      <c r="F935" t="s">
        <v>26</v>
      </c>
      <c r="G935" t="s">
        <v>35</v>
      </c>
      <c r="H935" t="s">
        <v>173</v>
      </c>
      <c r="I935">
        <v>2061.9</v>
      </c>
      <c r="J935">
        <v>5</v>
      </c>
      <c r="K935">
        <v>0.1</v>
      </c>
      <c r="L935">
        <v>576.29</v>
      </c>
      <c r="M935" t="s">
        <v>68</v>
      </c>
      <c r="N935" t="s">
        <v>38</v>
      </c>
      <c r="O935" t="str">
        <f t="shared" si="28"/>
        <v>Bad</v>
      </c>
      <c r="P935">
        <f t="shared" si="29"/>
        <v>412.38</v>
      </c>
      <c r="Q935">
        <v>45528</v>
      </c>
      <c r="R935">
        <f>YEAR(Table1[[#This Row],[Order_Date_New]])</f>
        <v>2024</v>
      </c>
      <c r="S935">
        <f>MONTH(Table1[[#This Row],[Order_Date_New]])</f>
        <v>8</v>
      </c>
      <c r="T935" t="str">
        <f>TEXT(Table1[[#This Row],[Order_Date_New]],"mmmm")</f>
        <v>August</v>
      </c>
      <c r="U935">
        <f>Table1[[#This Row],[Profit]]/Table1[[#This Row],[Sales]]</f>
        <v>0.27949464086522136</v>
      </c>
      <c r="V935" t="str">
        <f>IF(Table1[[#This Row],[Discount]]=0,"No Discount",IF(Table1[[#This Row],[Discount]]&lt;=0.1,"Low",IF(Table1[[#This Row],[Discount]]&lt;=0.2,"medium","high")))</f>
        <v>Low</v>
      </c>
    </row>
    <row r="936" spans="1:22" x14ac:dyDescent="0.3">
      <c r="A936" t="s">
        <v>1233</v>
      </c>
      <c r="B936" s="6">
        <v>45791</v>
      </c>
      <c r="C936" t="s">
        <v>384</v>
      </c>
      <c r="D936" t="s">
        <v>33</v>
      </c>
      <c r="E936" t="s">
        <v>118</v>
      </c>
      <c r="F936" t="s">
        <v>26</v>
      </c>
      <c r="G936" t="s">
        <v>27</v>
      </c>
      <c r="H936" t="s">
        <v>200</v>
      </c>
      <c r="I936">
        <v>2628.09</v>
      </c>
      <c r="J936">
        <v>3</v>
      </c>
      <c r="K936">
        <v>0.15</v>
      </c>
      <c r="L936">
        <v>-148.6</v>
      </c>
      <c r="M936" t="s">
        <v>170</v>
      </c>
      <c r="N936" t="s">
        <v>80</v>
      </c>
      <c r="O936" t="str">
        <f t="shared" si="28"/>
        <v>Bad</v>
      </c>
      <c r="P936">
        <f t="shared" si="29"/>
        <v>876.03000000000009</v>
      </c>
      <c r="Q936">
        <v>45791</v>
      </c>
      <c r="R936">
        <f>YEAR(Table1[[#This Row],[Order_Date_New]])</f>
        <v>2025</v>
      </c>
      <c r="S936">
        <f>MONTH(Table1[[#This Row],[Order_Date_New]])</f>
        <v>5</v>
      </c>
      <c r="T936" t="str">
        <f>TEXT(Table1[[#This Row],[Order_Date_New]],"mmmm")</f>
        <v>May</v>
      </c>
      <c r="U936">
        <f>Table1[[#This Row],[Profit]]/Table1[[#This Row],[Sales]]</f>
        <v>-5.65429646625496E-2</v>
      </c>
      <c r="V936" t="str">
        <f>IF(Table1[[#This Row],[Discount]]=0,"No Discount",IF(Table1[[#This Row],[Discount]]&lt;=0.1,"Low",IF(Table1[[#This Row],[Discount]]&lt;=0.2,"medium","high")))</f>
        <v>medium</v>
      </c>
    </row>
    <row r="937" spans="1:22" x14ac:dyDescent="0.3">
      <c r="A937" t="s">
        <v>1234</v>
      </c>
      <c r="B937" s="6">
        <v>45528</v>
      </c>
      <c r="C937" t="s">
        <v>590</v>
      </c>
      <c r="D937" t="s">
        <v>128</v>
      </c>
      <c r="E937" t="s">
        <v>129</v>
      </c>
      <c r="F937" t="s">
        <v>60</v>
      </c>
      <c r="G937" t="s">
        <v>61</v>
      </c>
      <c r="H937" t="s">
        <v>62</v>
      </c>
      <c r="I937">
        <v>953.74</v>
      </c>
      <c r="J937">
        <v>1</v>
      </c>
      <c r="K937">
        <v>0.3</v>
      </c>
      <c r="L937">
        <v>65.680000000000007</v>
      </c>
      <c r="M937" t="s">
        <v>105</v>
      </c>
      <c r="N937" t="s">
        <v>38</v>
      </c>
      <c r="O937" t="str">
        <f t="shared" si="28"/>
        <v>Bad</v>
      </c>
      <c r="P937">
        <f t="shared" si="29"/>
        <v>953.74</v>
      </c>
      <c r="Q937">
        <v>45528</v>
      </c>
      <c r="R937">
        <f>YEAR(Table1[[#This Row],[Order_Date_New]])</f>
        <v>2024</v>
      </c>
      <c r="S937">
        <f>MONTH(Table1[[#This Row],[Order_Date_New]])</f>
        <v>8</v>
      </c>
      <c r="T937" t="str">
        <f>TEXT(Table1[[#This Row],[Order_Date_New]],"mmmm")</f>
        <v>August</v>
      </c>
      <c r="U937">
        <f>Table1[[#This Row],[Profit]]/Table1[[#This Row],[Sales]]</f>
        <v>6.8865728605280271E-2</v>
      </c>
      <c r="V937" t="str">
        <f>IF(Table1[[#This Row],[Discount]]=0,"No Discount",IF(Table1[[#This Row],[Discount]]&lt;=0.1,"Low",IF(Table1[[#This Row],[Discount]]&lt;=0.2,"medium","high")))</f>
        <v>high</v>
      </c>
    </row>
    <row r="938" spans="1:22" x14ac:dyDescent="0.3">
      <c r="A938" t="s">
        <v>1235</v>
      </c>
      <c r="B938" s="6">
        <v>45402</v>
      </c>
      <c r="C938" t="s">
        <v>58</v>
      </c>
      <c r="D938" t="s">
        <v>33</v>
      </c>
      <c r="E938" t="s">
        <v>66</v>
      </c>
      <c r="F938" t="s">
        <v>26</v>
      </c>
      <c r="G938" t="s">
        <v>41</v>
      </c>
      <c r="H938" t="s">
        <v>189</v>
      </c>
      <c r="I938">
        <v>189.62</v>
      </c>
      <c r="J938">
        <v>1</v>
      </c>
      <c r="K938">
        <v>0.15</v>
      </c>
      <c r="L938">
        <v>-1.1299999999999999</v>
      </c>
      <c r="M938" t="s">
        <v>68</v>
      </c>
      <c r="N938" t="s">
        <v>38</v>
      </c>
      <c r="O938" t="str">
        <f t="shared" si="28"/>
        <v>Bad</v>
      </c>
      <c r="P938">
        <f t="shared" si="29"/>
        <v>189.62</v>
      </c>
      <c r="Q938">
        <v>45402</v>
      </c>
      <c r="R938">
        <f>YEAR(Table1[[#This Row],[Order_Date_New]])</f>
        <v>2024</v>
      </c>
      <c r="S938">
        <f>MONTH(Table1[[#This Row],[Order_Date_New]])</f>
        <v>4</v>
      </c>
      <c r="T938" t="str">
        <f>TEXT(Table1[[#This Row],[Order_Date_New]],"mmmm")</f>
        <v>April</v>
      </c>
      <c r="U938">
        <f>Table1[[#This Row],[Profit]]/Table1[[#This Row],[Sales]]</f>
        <v>-5.959286995042716E-3</v>
      </c>
      <c r="V938" t="str">
        <f>IF(Table1[[#This Row],[Discount]]=0,"No Discount",IF(Table1[[#This Row],[Discount]]&lt;=0.1,"Low",IF(Table1[[#This Row],[Discount]]&lt;=0.2,"medium","high")))</f>
        <v>medium</v>
      </c>
    </row>
    <row r="939" spans="1:22" x14ac:dyDescent="0.3">
      <c r="A939" t="s">
        <v>1236</v>
      </c>
      <c r="B939" s="6">
        <v>45772</v>
      </c>
      <c r="C939" t="s">
        <v>117</v>
      </c>
      <c r="D939" t="s">
        <v>128</v>
      </c>
      <c r="E939" t="s">
        <v>202</v>
      </c>
      <c r="F939" t="s">
        <v>26</v>
      </c>
      <c r="G939" t="s">
        <v>27</v>
      </c>
      <c r="H939" t="s">
        <v>271</v>
      </c>
      <c r="I939">
        <v>945.48</v>
      </c>
      <c r="J939">
        <v>1</v>
      </c>
      <c r="K939">
        <v>0</v>
      </c>
      <c r="L939">
        <v>352.03</v>
      </c>
      <c r="M939" t="s">
        <v>49</v>
      </c>
      <c r="N939" t="s">
        <v>38</v>
      </c>
      <c r="O939" t="str">
        <f t="shared" si="28"/>
        <v>Bad</v>
      </c>
      <c r="P939">
        <f t="shared" si="29"/>
        <v>945.48</v>
      </c>
      <c r="Q939">
        <v>45772</v>
      </c>
      <c r="R939">
        <f>YEAR(Table1[[#This Row],[Order_Date_New]])</f>
        <v>2025</v>
      </c>
      <c r="S939">
        <f>MONTH(Table1[[#This Row],[Order_Date_New]])</f>
        <v>4</v>
      </c>
      <c r="T939" t="str">
        <f>TEXT(Table1[[#This Row],[Order_Date_New]],"mmmm")</f>
        <v>April</v>
      </c>
      <c r="U939">
        <f>Table1[[#This Row],[Profit]]/Table1[[#This Row],[Sales]]</f>
        <v>0.37232939882387778</v>
      </c>
      <c r="V939" t="str">
        <f>IF(Table1[[#This Row],[Discount]]=0,"No Discount",IF(Table1[[#This Row],[Discount]]&lt;=0.1,"Low",IF(Table1[[#This Row],[Discount]]&lt;=0.2,"medium","high")))</f>
        <v>No Discount</v>
      </c>
    </row>
    <row r="940" spans="1:22" x14ac:dyDescent="0.3">
      <c r="A940" t="s">
        <v>1237</v>
      </c>
      <c r="B940" s="6">
        <v>45844</v>
      </c>
      <c r="C940" t="s">
        <v>698</v>
      </c>
      <c r="D940" t="s">
        <v>128</v>
      </c>
      <c r="E940" t="s">
        <v>132</v>
      </c>
      <c r="F940" t="s">
        <v>60</v>
      </c>
      <c r="G940" t="s">
        <v>78</v>
      </c>
      <c r="H940" t="s">
        <v>125</v>
      </c>
      <c r="I940">
        <v>312.27999999999997</v>
      </c>
      <c r="J940">
        <v>1</v>
      </c>
      <c r="K940">
        <v>0.05</v>
      </c>
      <c r="L940">
        <v>29.35</v>
      </c>
      <c r="M940" t="s">
        <v>49</v>
      </c>
      <c r="N940" t="s">
        <v>38</v>
      </c>
      <c r="O940" t="str">
        <f t="shared" si="28"/>
        <v>Bad</v>
      </c>
      <c r="P940">
        <f t="shared" si="29"/>
        <v>312.27999999999997</v>
      </c>
      <c r="Q940">
        <v>45844</v>
      </c>
      <c r="R940">
        <f>YEAR(Table1[[#This Row],[Order_Date_New]])</f>
        <v>2025</v>
      </c>
      <c r="S940">
        <f>MONTH(Table1[[#This Row],[Order_Date_New]])</f>
        <v>7</v>
      </c>
      <c r="T940" t="str">
        <f>TEXT(Table1[[#This Row],[Order_Date_New]],"mmmm")</f>
        <v>July</v>
      </c>
      <c r="U940">
        <f>Table1[[#This Row],[Profit]]/Table1[[#This Row],[Sales]]</f>
        <v>9.398616626104779E-2</v>
      </c>
      <c r="V940" t="str">
        <f>IF(Table1[[#This Row],[Discount]]=0,"No Discount",IF(Table1[[#This Row],[Discount]]&lt;=0.1,"Low",IF(Table1[[#This Row],[Discount]]&lt;=0.2,"medium","high")))</f>
        <v>Low</v>
      </c>
    </row>
    <row r="941" spans="1:22" x14ac:dyDescent="0.3">
      <c r="A941" t="s">
        <v>1238</v>
      </c>
      <c r="B941" s="6">
        <v>45467</v>
      </c>
      <c r="C941" t="s">
        <v>86</v>
      </c>
      <c r="D941" t="s">
        <v>128</v>
      </c>
      <c r="E941" t="s">
        <v>202</v>
      </c>
      <c r="F941" t="s">
        <v>72</v>
      </c>
      <c r="G941" t="s">
        <v>111</v>
      </c>
      <c r="H941" t="s">
        <v>112</v>
      </c>
      <c r="I941">
        <v>3043.89</v>
      </c>
      <c r="J941">
        <v>3</v>
      </c>
      <c r="K941">
        <v>0.3</v>
      </c>
      <c r="L941">
        <v>-219.03</v>
      </c>
      <c r="M941" t="s">
        <v>37</v>
      </c>
      <c r="N941" t="s">
        <v>38</v>
      </c>
      <c r="O941" t="str">
        <f t="shared" si="28"/>
        <v>Bad</v>
      </c>
      <c r="P941">
        <f t="shared" si="29"/>
        <v>1014.63</v>
      </c>
      <c r="Q941">
        <v>45467</v>
      </c>
      <c r="R941">
        <f>YEAR(Table1[[#This Row],[Order_Date_New]])</f>
        <v>2024</v>
      </c>
      <c r="S941">
        <f>MONTH(Table1[[#This Row],[Order_Date_New]])</f>
        <v>6</v>
      </c>
      <c r="T941" t="str">
        <f>TEXT(Table1[[#This Row],[Order_Date_New]],"mmmm")</f>
        <v>June</v>
      </c>
      <c r="U941">
        <f>Table1[[#This Row],[Profit]]/Table1[[#This Row],[Sales]]</f>
        <v>-7.1957265209978027E-2</v>
      </c>
      <c r="V941" t="str">
        <f>IF(Table1[[#This Row],[Discount]]=0,"No Discount",IF(Table1[[#This Row],[Discount]]&lt;=0.1,"Low",IF(Table1[[#This Row],[Discount]]&lt;=0.2,"medium","high")))</f>
        <v>high</v>
      </c>
    </row>
    <row r="942" spans="1:22" x14ac:dyDescent="0.3">
      <c r="A942" t="s">
        <v>1239</v>
      </c>
      <c r="B942" s="6">
        <v>45415</v>
      </c>
      <c r="C942" t="s">
        <v>244</v>
      </c>
      <c r="D942" t="s">
        <v>53</v>
      </c>
      <c r="E942" t="s">
        <v>87</v>
      </c>
      <c r="F942" t="s">
        <v>72</v>
      </c>
      <c r="G942" t="s">
        <v>88</v>
      </c>
      <c r="H942" t="s">
        <v>209</v>
      </c>
      <c r="I942">
        <v>289.92</v>
      </c>
      <c r="J942">
        <v>3</v>
      </c>
      <c r="K942">
        <v>0.2</v>
      </c>
      <c r="L942">
        <v>29.27</v>
      </c>
      <c r="M942" t="s">
        <v>105</v>
      </c>
      <c r="N942" t="s">
        <v>44</v>
      </c>
      <c r="O942" t="str">
        <f t="shared" si="28"/>
        <v>Bad</v>
      </c>
      <c r="P942">
        <f t="shared" si="29"/>
        <v>96.64</v>
      </c>
      <c r="Q942">
        <v>45415</v>
      </c>
      <c r="R942">
        <f>YEAR(Table1[[#This Row],[Order_Date_New]])</f>
        <v>2024</v>
      </c>
      <c r="S942">
        <f>MONTH(Table1[[#This Row],[Order_Date_New]])</f>
        <v>5</v>
      </c>
      <c r="T942" t="str">
        <f>TEXT(Table1[[#This Row],[Order_Date_New]],"mmmm")</f>
        <v>May</v>
      </c>
      <c r="U942">
        <f>Table1[[#This Row],[Profit]]/Table1[[#This Row],[Sales]]</f>
        <v>0.10095888520971302</v>
      </c>
      <c r="V942" t="str">
        <f>IF(Table1[[#This Row],[Discount]]=0,"No Discount",IF(Table1[[#This Row],[Discount]]&lt;=0.1,"Low",IF(Table1[[#This Row],[Discount]]&lt;=0.2,"medium","high")))</f>
        <v>medium</v>
      </c>
    </row>
    <row r="943" spans="1:22" x14ac:dyDescent="0.3">
      <c r="A943" t="s">
        <v>1240</v>
      </c>
      <c r="B943" s="6">
        <v>46013</v>
      </c>
      <c r="C943" t="s">
        <v>327</v>
      </c>
      <c r="D943" t="s">
        <v>53</v>
      </c>
      <c r="E943" t="s">
        <v>87</v>
      </c>
      <c r="F943" t="s">
        <v>26</v>
      </c>
      <c r="G943" t="s">
        <v>35</v>
      </c>
      <c r="H943" t="s">
        <v>173</v>
      </c>
      <c r="I943">
        <v>937.66</v>
      </c>
      <c r="J943">
        <v>2</v>
      </c>
      <c r="K943">
        <v>0.2</v>
      </c>
      <c r="L943">
        <v>194.24</v>
      </c>
      <c r="M943" t="s">
        <v>49</v>
      </c>
      <c r="N943" t="s">
        <v>44</v>
      </c>
      <c r="O943" t="str">
        <f t="shared" si="28"/>
        <v>Bad</v>
      </c>
      <c r="P943">
        <f t="shared" si="29"/>
        <v>468.83</v>
      </c>
      <c r="Q943">
        <v>46013</v>
      </c>
      <c r="R943">
        <f>YEAR(Table1[[#This Row],[Order_Date_New]])</f>
        <v>2025</v>
      </c>
      <c r="S943">
        <f>MONTH(Table1[[#This Row],[Order_Date_New]])</f>
        <v>12</v>
      </c>
      <c r="T943" t="str">
        <f>TEXT(Table1[[#This Row],[Order_Date_New]],"mmmm")</f>
        <v>December</v>
      </c>
      <c r="U943">
        <f>Table1[[#This Row],[Profit]]/Table1[[#This Row],[Sales]]</f>
        <v>0.20715397905424143</v>
      </c>
      <c r="V943" t="str">
        <f>IF(Table1[[#This Row],[Discount]]=0,"No Discount",IF(Table1[[#This Row],[Discount]]&lt;=0.1,"Low",IF(Table1[[#This Row],[Discount]]&lt;=0.2,"medium","high")))</f>
        <v>medium</v>
      </c>
    </row>
    <row r="944" spans="1:22" x14ac:dyDescent="0.3">
      <c r="A944" t="s">
        <v>1241</v>
      </c>
      <c r="B944" s="6">
        <v>45539</v>
      </c>
      <c r="C944" t="s">
        <v>417</v>
      </c>
      <c r="D944" t="s">
        <v>24</v>
      </c>
      <c r="E944" t="s">
        <v>84</v>
      </c>
      <c r="F944" t="s">
        <v>60</v>
      </c>
      <c r="G944" t="s">
        <v>61</v>
      </c>
      <c r="H944" t="s">
        <v>122</v>
      </c>
      <c r="I944">
        <v>2311.5500000000002</v>
      </c>
      <c r="J944">
        <v>5</v>
      </c>
      <c r="K944">
        <v>0.2</v>
      </c>
      <c r="L944">
        <v>-189.01</v>
      </c>
      <c r="M944" t="s">
        <v>90</v>
      </c>
      <c r="N944" t="s">
        <v>38</v>
      </c>
      <c r="O944" t="str">
        <f t="shared" si="28"/>
        <v>Bad</v>
      </c>
      <c r="P944">
        <f t="shared" si="29"/>
        <v>462.31000000000006</v>
      </c>
      <c r="Q944">
        <v>45539</v>
      </c>
      <c r="R944">
        <f>YEAR(Table1[[#This Row],[Order_Date_New]])</f>
        <v>2024</v>
      </c>
      <c r="S944">
        <f>MONTH(Table1[[#This Row],[Order_Date_New]])</f>
        <v>9</v>
      </c>
      <c r="T944" t="str">
        <f>TEXT(Table1[[#This Row],[Order_Date_New]],"mmmm")</f>
        <v>September</v>
      </c>
      <c r="U944">
        <f>Table1[[#This Row],[Profit]]/Table1[[#This Row],[Sales]]</f>
        <v>-8.1767645086630175E-2</v>
      </c>
      <c r="V944" t="str">
        <f>IF(Table1[[#This Row],[Discount]]=0,"No Discount",IF(Table1[[#This Row],[Discount]]&lt;=0.1,"Low",IF(Table1[[#This Row],[Discount]]&lt;=0.2,"medium","high")))</f>
        <v>medium</v>
      </c>
    </row>
    <row r="945" spans="1:22" x14ac:dyDescent="0.3">
      <c r="A945" t="s">
        <v>1242</v>
      </c>
      <c r="B945" s="6">
        <v>45804</v>
      </c>
      <c r="C945" t="s">
        <v>350</v>
      </c>
      <c r="D945" t="s">
        <v>53</v>
      </c>
      <c r="E945" t="s">
        <v>77</v>
      </c>
      <c r="F945" t="s">
        <v>26</v>
      </c>
      <c r="G945" t="s">
        <v>35</v>
      </c>
      <c r="H945" t="s">
        <v>36</v>
      </c>
      <c r="I945">
        <v>1437.6</v>
      </c>
      <c r="J945">
        <v>6</v>
      </c>
      <c r="K945">
        <v>0.2</v>
      </c>
      <c r="L945">
        <v>24.03</v>
      </c>
      <c r="M945" t="s">
        <v>29</v>
      </c>
      <c r="N945" t="s">
        <v>38</v>
      </c>
      <c r="O945" t="str">
        <f t="shared" si="28"/>
        <v>Bad</v>
      </c>
      <c r="P945">
        <f t="shared" si="29"/>
        <v>239.6</v>
      </c>
      <c r="Q945">
        <v>45804</v>
      </c>
      <c r="R945">
        <f>YEAR(Table1[[#This Row],[Order_Date_New]])</f>
        <v>2025</v>
      </c>
      <c r="S945">
        <f>MONTH(Table1[[#This Row],[Order_Date_New]])</f>
        <v>5</v>
      </c>
      <c r="T945" t="str">
        <f>TEXT(Table1[[#This Row],[Order_Date_New]],"mmmm")</f>
        <v>May</v>
      </c>
      <c r="U945">
        <f>Table1[[#This Row],[Profit]]/Table1[[#This Row],[Sales]]</f>
        <v>1.6715358931552588E-2</v>
      </c>
      <c r="V945" t="str">
        <f>IF(Table1[[#This Row],[Discount]]=0,"No Discount",IF(Table1[[#This Row],[Discount]]&lt;=0.1,"Low",IF(Table1[[#This Row],[Discount]]&lt;=0.2,"medium","high")))</f>
        <v>medium</v>
      </c>
    </row>
    <row r="946" spans="1:22" x14ac:dyDescent="0.3">
      <c r="A946" t="s">
        <v>1243</v>
      </c>
      <c r="B946" s="6">
        <v>45415</v>
      </c>
      <c r="C946" t="s">
        <v>572</v>
      </c>
      <c r="D946" t="s">
        <v>53</v>
      </c>
      <c r="E946" t="s">
        <v>87</v>
      </c>
      <c r="F946" t="s">
        <v>72</v>
      </c>
      <c r="G946" t="s">
        <v>88</v>
      </c>
      <c r="H946" t="s">
        <v>209</v>
      </c>
      <c r="I946">
        <v>4037.1</v>
      </c>
      <c r="J946">
        <v>5</v>
      </c>
      <c r="K946">
        <v>0.15</v>
      </c>
      <c r="L946">
        <v>247.63</v>
      </c>
      <c r="M946" t="s">
        <v>133</v>
      </c>
      <c r="N946" t="s">
        <v>30</v>
      </c>
      <c r="O946" t="str">
        <f t="shared" si="28"/>
        <v>Bad</v>
      </c>
      <c r="P946">
        <f t="shared" si="29"/>
        <v>807.42</v>
      </c>
      <c r="Q946">
        <v>45415</v>
      </c>
      <c r="R946">
        <f>YEAR(Table1[[#This Row],[Order_Date_New]])</f>
        <v>2024</v>
      </c>
      <c r="S946">
        <f>MONTH(Table1[[#This Row],[Order_Date_New]])</f>
        <v>5</v>
      </c>
      <c r="T946" t="str">
        <f>TEXT(Table1[[#This Row],[Order_Date_New]],"mmmm")</f>
        <v>May</v>
      </c>
      <c r="U946">
        <f>Table1[[#This Row],[Profit]]/Table1[[#This Row],[Sales]]</f>
        <v>6.1338584627579205E-2</v>
      </c>
      <c r="V946" t="str">
        <f>IF(Table1[[#This Row],[Discount]]=0,"No Discount",IF(Table1[[#This Row],[Discount]]&lt;=0.1,"Low",IF(Table1[[#This Row],[Discount]]&lt;=0.2,"medium","high")))</f>
        <v>medium</v>
      </c>
    </row>
    <row r="947" spans="1:22" x14ac:dyDescent="0.3">
      <c r="A947" t="s">
        <v>1244</v>
      </c>
      <c r="B947" s="6">
        <v>45394</v>
      </c>
      <c r="C947" t="s">
        <v>458</v>
      </c>
      <c r="D947" t="s">
        <v>33</v>
      </c>
      <c r="E947" t="s">
        <v>118</v>
      </c>
      <c r="F947" t="s">
        <v>60</v>
      </c>
      <c r="G947" t="s">
        <v>78</v>
      </c>
      <c r="H947" t="s">
        <v>125</v>
      </c>
      <c r="I947">
        <v>6641.37</v>
      </c>
      <c r="J947">
        <v>9</v>
      </c>
      <c r="K947">
        <v>0.3</v>
      </c>
      <c r="L947">
        <v>-791.36</v>
      </c>
      <c r="M947" t="s">
        <v>49</v>
      </c>
      <c r="N947" t="s">
        <v>30</v>
      </c>
      <c r="O947" t="str">
        <f t="shared" si="28"/>
        <v>Good</v>
      </c>
      <c r="P947">
        <f t="shared" si="29"/>
        <v>737.93</v>
      </c>
      <c r="Q947">
        <v>45394</v>
      </c>
      <c r="R947">
        <f>YEAR(Table1[[#This Row],[Order_Date_New]])</f>
        <v>2024</v>
      </c>
      <c r="S947">
        <f>MONTH(Table1[[#This Row],[Order_Date_New]])</f>
        <v>4</v>
      </c>
      <c r="T947" t="str">
        <f>TEXT(Table1[[#This Row],[Order_Date_New]],"mmmm")</f>
        <v>April</v>
      </c>
      <c r="U947">
        <f>Table1[[#This Row],[Profit]]/Table1[[#This Row],[Sales]]</f>
        <v>-0.11915613796551013</v>
      </c>
      <c r="V947" t="str">
        <f>IF(Table1[[#This Row],[Discount]]=0,"No Discount",IF(Table1[[#This Row],[Discount]]&lt;=0.1,"Low",IF(Table1[[#This Row],[Discount]]&lt;=0.2,"medium","high")))</f>
        <v>high</v>
      </c>
    </row>
    <row r="948" spans="1:22" x14ac:dyDescent="0.3">
      <c r="A948" t="s">
        <v>1245</v>
      </c>
      <c r="B948" s="6">
        <v>45766</v>
      </c>
      <c r="C948" t="s">
        <v>1246</v>
      </c>
      <c r="D948" t="s">
        <v>24</v>
      </c>
      <c r="E948" t="s">
        <v>59</v>
      </c>
      <c r="F948" t="s">
        <v>72</v>
      </c>
      <c r="G948" t="s">
        <v>111</v>
      </c>
      <c r="H948" t="s">
        <v>182</v>
      </c>
      <c r="I948">
        <v>3878</v>
      </c>
      <c r="J948">
        <v>10</v>
      </c>
      <c r="K948">
        <v>0.05</v>
      </c>
      <c r="L948">
        <v>601.28</v>
      </c>
      <c r="M948" t="s">
        <v>68</v>
      </c>
      <c r="N948" t="s">
        <v>44</v>
      </c>
      <c r="O948" t="str">
        <f t="shared" si="28"/>
        <v>Bad</v>
      </c>
      <c r="P948">
        <f t="shared" si="29"/>
        <v>387.8</v>
      </c>
      <c r="Q948">
        <v>45766</v>
      </c>
      <c r="R948">
        <f>YEAR(Table1[[#This Row],[Order_Date_New]])</f>
        <v>2025</v>
      </c>
      <c r="S948">
        <f>MONTH(Table1[[#This Row],[Order_Date_New]])</f>
        <v>4</v>
      </c>
      <c r="T948" t="str">
        <f>TEXT(Table1[[#This Row],[Order_Date_New]],"mmmm")</f>
        <v>April</v>
      </c>
      <c r="U948">
        <f>Table1[[#This Row],[Profit]]/Table1[[#This Row],[Sales]]</f>
        <v>0.15504899432697267</v>
      </c>
      <c r="V948" t="str">
        <f>IF(Table1[[#This Row],[Discount]]=0,"No Discount",IF(Table1[[#This Row],[Discount]]&lt;=0.1,"Low",IF(Table1[[#This Row],[Discount]]&lt;=0.2,"medium","high")))</f>
        <v>Low</v>
      </c>
    </row>
    <row r="949" spans="1:22" x14ac:dyDescent="0.3">
      <c r="A949" t="s">
        <v>1247</v>
      </c>
      <c r="B949" s="6">
        <v>45855</v>
      </c>
      <c r="C949" t="s">
        <v>470</v>
      </c>
      <c r="D949" t="s">
        <v>24</v>
      </c>
      <c r="E949" t="s">
        <v>59</v>
      </c>
      <c r="F949" t="s">
        <v>26</v>
      </c>
      <c r="G949" t="s">
        <v>27</v>
      </c>
      <c r="H949" t="s">
        <v>271</v>
      </c>
      <c r="I949">
        <v>10009.9</v>
      </c>
      <c r="J949">
        <v>10</v>
      </c>
      <c r="K949">
        <v>0.05</v>
      </c>
      <c r="L949">
        <v>1722.02</v>
      </c>
      <c r="M949" t="s">
        <v>49</v>
      </c>
      <c r="N949" t="s">
        <v>44</v>
      </c>
      <c r="O949" t="str">
        <f t="shared" si="28"/>
        <v>Good</v>
      </c>
      <c r="P949">
        <f t="shared" si="29"/>
        <v>1000.99</v>
      </c>
      <c r="Q949">
        <v>45855</v>
      </c>
      <c r="R949">
        <f>YEAR(Table1[[#This Row],[Order_Date_New]])</f>
        <v>2025</v>
      </c>
      <c r="S949">
        <f>MONTH(Table1[[#This Row],[Order_Date_New]])</f>
        <v>7</v>
      </c>
      <c r="T949" t="str">
        <f>TEXT(Table1[[#This Row],[Order_Date_New]],"mmmm")</f>
        <v>July</v>
      </c>
      <c r="U949">
        <f>Table1[[#This Row],[Profit]]/Table1[[#This Row],[Sales]]</f>
        <v>0.17203168862825802</v>
      </c>
      <c r="V949" t="str">
        <f>IF(Table1[[#This Row],[Discount]]=0,"No Discount",IF(Table1[[#This Row],[Discount]]&lt;=0.1,"Low",IF(Table1[[#This Row],[Discount]]&lt;=0.2,"medium","high")))</f>
        <v>Low</v>
      </c>
    </row>
    <row r="950" spans="1:22" x14ac:dyDescent="0.3">
      <c r="A950" t="s">
        <v>1248</v>
      </c>
      <c r="B950" s="6">
        <v>45738</v>
      </c>
      <c r="C950" t="s">
        <v>301</v>
      </c>
      <c r="D950" t="s">
        <v>33</v>
      </c>
      <c r="E950" t="s">
        <v>48</v>
      </c>
      <c r="F950" t="s">
        <v>26</v>
      </c>
      <c r="G950" t="s">
        <v>41</v>
      </c>
      <c r="H950" t="s">
        <v>108</v>
      </c>
      <c r="I950">
        <v>680.58</v>
      </c>
      <c r="J950">
        <v>6</v>
      </c>
      <c r="K950">
        <v>0</v>
      </c>
      <c r="L950">
        <v>170.33</v>
      </c>
      <c r="M950" t="s">
        <v>113</v>
      </c>
      <c r="N950" t="s">
        <v>38</v>
      </c>
      <c r="O950" t="str">
        <f t="shared" si="28"/>
        <v>Bad</v>
      </c>
      <c r="P950">
        <f t="shared" si="29"/>
        <v>113.43</v>
      </c>
      <c r="Q950">
        <v>45738</v>
      </c>
      <c r="R950">
        <f>YEAR(Table1[[#This Row],[Order_Date_New]])</f>
        <v>2025</v>
      </c>
      <c r="S950">
        <f>MONTH(Table1[[#This Row],[Order_Date_New]])</f>
        <v>3</v>
      </c>
      <c r="T950" t="str">
        <f>TEXT(Table1[[#This Row],[Order_Date_New]],"mmmm")</f>
        <v>March</v>
      </c>
      <c r="U950">
        <f>Table1[[#This Row],[Profit]]/Table1[[#This Row],[Sales]]</f>
        <v>0.25027182697111289</v>
      </c>
      <c r="V950" t="str">
        <f>IF(Table1[[#This Row],[Discount]]=0,"No Discount",IF(Table1[[#This Row],[Discount]]&lt;=0.1,"Low",IF(Table1[[#This Row],[Discount]]&lt;=0.2,"medium","high")))</f>
        <v>No Discount</v>
      </c>
    </row>
    <row r="951" spans="1:22" x14ac:dyDescent="0.3">
      <c r="A951" t="s">
        <v>1249</v>
      </c>
      <c r="B951" s="6">
        <v>45596</v>
      </c>
      <c r="C951" t="s">
        <v>163</v>
      </c>
      <c r="D951" t="s">
        <v>24</v>
      </c>
      <c r="E951" t="s">
        <v>25</v>
      </c>
      <c r="F951" t="s">
        <v>72</v>
      </c>
      <c r="G951" t="s">
        <v>88</v>
      </c>
      <c r="H951" t="s">
        <v>119</v>
      </c>
      <c r="I951">
        <v>2151.58</v>
      </c>
      <c r="J951">
        <v>2</v>
      </c>
      <c r="K951">
        <v>0.1</v>
      </c>
      <c r="L951">
        <v>717.01</v>
      </c>
      <c r="M951" t="s">
        <v>37</v>
      </c>
      <c r="N951" t="s">
        <v>80</v>
      </c>
      <c r="O951" t="str">
        <f t="shared" si="28"/>
        <v>Bad</v>
      </c>
      <c r="P951">
        <f t="shared" si="29"/>
        <v>1075.79</v>
      </c>
      <c r="Q951">
        <v>45596</v>
      </c>
      <c r="R951">
        <f>YEAR(Table1[[#This Row],[Order_Date_New]])</f>
        <v>2024</v>
      </c>
      <c r="S951">
        <f>MONTH(Table1[[#This Row],[Order_Date_New]])</f>
        <v>10</v>
      </c>
      <c r="T951" t="str">
        <f>TEXT(Table1[[#This Row],[Order_Date_New]],"mmmm")</f>
        <v>October</v>
      </c>
      <c r="U951">
        <f>Table1[[#This Row],[Profit]]/Table1[[#This Row],[Sales]]</f>
        <v>0.3332481246339899</v>
      </c>
      <c r="V951" t="str">
        <f>IF(Table1[[#This Row],[Discount]]=0,"No Discount",IF(Table1[[#This Row],[Discount]]&lt;=0.1,"Low",IF(Table1[[#This Row],[Discount]]&lt;=0.2,"medium","high")))</f>
        <v>Low</v>
      </c>
    </row>
    <row r="952" spans="1:22" x14ac:dyDescent="0.3">
      <c r="A952" t="s">
        <v>1250</v>
      </c>
      <c r="B952" s="6">
        <v>45917</v>
      </c>
      <c r="C952" t="s">
        <v>233</v>
      </c>
      <c r="D952" t="s">
        <v>24</v>
      </c>
      <c r="E952" t="s">
        <v>25</v>
      </c>
      <c r="F952" t="s">
        <v>26</v>
      </c>
      <c r="G952" t="s">
        <v>35</v>
      </c>
      <c r="H952" t="s">
        <v>55</v>
      </c>
      <c r="I952">
        <v>3975.75</v>
      </c>
      <c r="J952">
        <v>9</v>
      </c>
      <c r="K952">
        <v>0.2</v>
      </c>
      <c r="L952">
        <v>155.88999999999999</v>
      </c>
      <c r="M952" t="s">
        <v>133</v>
      </c>
      <c r="N952" t="s">
        <v>80</v>
      </c>
      <c r="O952" t="str">
        <f t="shared" si="28"/>
        <v>Bad</v>
      </c>
      <c r="P952">
        <f t="shared" si="29"/>
        <v>441.75</v>
      </c>
      <c r="Q952">
        <v>45917</v>
      </c>
      <c r="R952">
        <f>YEAR(Table1[[#This Row],[Order_Date_New]])</f>
        <v>2025</v>
      </c>
      <c r="S952">
        <f>MONTH(Table1[[#This Row],[Order_Date_New]])</f>
        <v>9</v>
      </c>
      <c r="T952" t="str">
        <f>TEXT(Table1[[#This Row],[Order_Date_New]],"mmmm")</f>
        <v>September</v>
      </c>
      <c r="U952">
        <f>Table1[[#This Row],[Profit]]/Table1[[#This Row],[Sales]]</f>
        <v>3.9210211909702565E-2</v>
      </c>
      <c r="V952" t="str">
        <f>IF(Table1[[#This Row],[Discount]]=0,"No Discount",IF(Table1[[#This Row],[Discount]]&lt;=0.1,"Low",IF(Table1[[#This Row],[Discount]]&lt;=0.2,"medium","high")))</f>
        <v>medium</v>
      </c>
    </row>
    <row r="953" spans="1:22" x14ac:dyDescent="0.3">
      <c r="A953" t="s">
        <v>1251</v>
      </c>
      <c r="B953" s="6">
        <v>45719</v>
      </c>
      <c r="C953" t="s">
        <v>538</v>
      </c>
      <c r="D953" t="s">
        <v>53</v>
      </c>
      <c r="E953" t="s">
        <v>77</v>
      </c>
      <c r="F953" t="s">
        <v>26</v>
      </c>
      <c r="G953" t="s">
        <v>35</v>
      </c>
      <c r="H953" t="s">
        <v>55</v>
      </c>
      <c r="I953">
        <v>892.93</v>
      </c>
      <c r="J953">
        <v>1</v>
      </c>
      <c r="K953">
        <v>0.2</v>
      </c>
      <c r="L953">
        <v>-127.16</v>
      </c>
      <c r="M953" t="s">
        <v>68</v>
      </c>
      <c r="N953" t="s">
        <v>80</v>
      </c>
      <c r="O953" t="str">
        <f t="shared" si="28"/>
        <v>Bad</v>
      </c>
      <c r="P953">
        <f t="shared" si="29"/>
        <v>892.93</v>
      </c>
      <c r="Q953">
        <v>45719</v>
      </c>
      <c r="R953">
        <f>YEAR(Table1[[#This Row],[Order_Date_New]])</f>
        <v>2025</v>
      </c>
      <c r="S953">
        <f>MONTH(Table1[[#This Row],[Order_Date_New]])</f>
        <v>3</v>
      </c>
      <c r="T953" t="str">
        <f>TEXT(Table1[[#This Row],[Order_Date_New]],"mmmm")</f>
        <v>March</v>
      </c>
      <c r="U953">
        <f>Table1[[#This Row],[Profit]]/Table1[[#This Row],[Sales]]</f>
        <v>-0.14240757954150943</v>
      </c>
      <c r="V953" t="str">
        <f>IF(Table1[[#This Row],[Discount]]=0,"No Discount",IF(Table1[[#This Row],[Discount]]&lt;=0.1,"Low",IF(Table1[[#This Row],[Discount]]&lt;=0.2,"medium","high")))</f>
        <v>medium</v>
      </c>
    </row>
    <row r="954" spans="1:22" x14ac:dyDescent="0.3">
      <c r="A954" t="s">
        <v>1252</v>
      </c>
      <c r="B954" s="6">
        <v>45785</v>
      </c>
      <c r="C954" t="s">
        <v>338</v>
      </c>
      <c r="D954" t="s">
        <v>128</v>
      </c>
      <c r="E954" t="s">
        <v>202</v>
      </c>
      <c r="F954" t="s">
        <v>72</v>
      </c>
      <c r="G954" t="s">
        <v>88</v>
      </c>
      <c r="H954" t="s">
        <v>89</v>
      </c>
      <c r="I954">
        <v>8385.4</v>
      </c>
      <c r="J954">
        <v>10</v>
      </c>
      <c r="K954">
        <v>0</v>
      </c>
      <c r="L954">
        <v>729.15</v>
      </c>
      <c r="M954" t="s">
        <v>113</v>
      </c>
      <c r="N954" t="s">
        <v>44</v>
      </c>
      <c r="O954" t="str">
        <f t="shared" si="28"/>
        <v>Good</v>
      </c>
      <c r="P954">
        <f t="shared" si="29"/>
        <v>838.54</v>
      </c>
      <c r="Q954">
        <v>45785</v>
      </c>
      <c r="R954">
        <f>YEAR(Table1[[#This Row],[Order_Date_New]])</f>
        <v>2025</v>
      </c>
      <c r="S954">
        <f>MONTH(Table1[[#This Row],[Order_Date_New]])</f>
        <v>5</v>
      </c>
      <c r="T954" t="str">
        <f>TEXT(Table1[[#This Row],[Order_Date_New]],"mmmm")</f>
        <v>May</v>
      </c>
      <c r="U954">
        <f>Table1[[#This Row],[Profit]]/Table1[[#This Row],[Sales]]</f>
        <v>8.6954706990721969E-2</v>
      </c>
      <c r="V954" t="str">
        <f>IF(Table1[[#This Row],[Discount]]=0,"No Discount",IF(Table1[[#This Row],[Discount]]&lt;=0.1,"Low",IF(Table1[[#This Row],[Discount]]&lt;=0.2,"medium","high")))</f>
        <v>No Discount</v>
      </c>
    </row>
    <row r="955" spans="1:22" x14ac:dyDescent="0.3">
      <c r="A955" t="s">
        <v>1253</v>
      </c>
      <c r="B955" s="6">
        <v>45473</v>
      </c>
      <c r="C955" t="s">
        <v>124</v>
      </c>
      <c r="D955" t="s">
        <v>128</v>
      </c>
      <c r="E955" t="s">
        <v>146</v>
      </c>
      <c r="F955" t="s">
        <v>26</v>
      </c>
      <c r="G955" t="s">
        <v>35</v>
      </c>
      <c r="H955" t="s">
        <v>55</v>
      </c>
      <c r="I955">
        <v>38.56</v>
      </c>
      <c r="J955">
        <v>1</v>
      </c>
      <c r="K955">
        <v>0</v>
      </c>
      <c r="L955">
        <v>8.7799999999999994</v>
      </c>
      <c r="M955" t="s">
        <v>49</v>
      </c>
      <c r="N955" t="s">
        <v>44</v>
      </c>
      <c r="O955" t="str">
        <f t="shared" si="28"/>
        <v>Bad</v>
      </c>
      <c r="P955">
        <f t="shared" si="29"/>
        <v>38.56</v>
      </c>
      <c r="Q955">
        <v>45473</v>
      </c>
      <c r="R955">
        <f>YEAR(Table1[[#This Row],[Order_Date_New]])</f>
        <v>2024</v>
      </c>
      <c r="S955">
        <f>MONTH(Table1[[#This Row],[Order_Date_New]])</f>
        <v>6</v>
      </c>
      <c r="T955" t="str">
        <f>TEXT(Table1[[#This Row],[Order_Date_New]],"mmmm")</f>
        <v>June</v>
      </c>
      <c r="U955">
        <f>Table1[[#This Row],[Profit]]/Table1[[#This Row],[Sales]]</f>
        <v>0.22769709543568462</v>
      </c>
      <c r="V955" t="str">
        <f>IF(Table1[[#This Row],[Discount]]=0,"No Discount",IF(Table1[[#This Row],[Discount]]&lt;=0.1,"Low",IF(Table1[[#This Row],[Discount]]&lt;=0.2,"medium","high")))</f>
        <v>No Discount</v>
      </c>
    </row>
    <row r="956" spans="1:22" x14ac:dyDescent="0.3">
      <c r="A956" t="s">
        <v>1254</v>
      </c>
      <c r="B956" s="6">
        <v>45898</v>
      </c>
      <c r="C956" t="s">
        <v>86</v>
      </c>
      <c r="D956" t="s">
        <v>53</v>
      </c>
      <c r="E956" t="s">
        <v>54</v>
      </c>
      <c r="F956" t="s">
        <v>72</v>
      </c>
      <c r="G956" t="s">
        <v>88</v>
      </c>
      <c r="H956" t="s">
        <v>209</v>
      </c>
      <c r="I956">
        <v>1980.54</v>
      </c>
      <c r="J956">
        <v>6</v>
      </c>
      <c r="K956">
        <v>0.05</v>
      </c>
      <c r="L956">
        <v>73.11</v>
      </c>
      <c r="M956" t="s">
        <v>113</v>
      </c>
      <c r="N956" t="s">
        <v>44</v>
      </c>
      <c r="O956" t="str">
        <f t="shared" si="28"/>
        <v>Bad</v>
      </c>
      <c r="P956">
        <f t="shared" si="29"/>
        <v>330.09</v>
      </c>
      <c r="Q956">
        <v>45898</v>
      </c>
      <c r="R956">
        <f>YEAR(Table1[[#This Row],[Order_Date_New]])</f>
        <v>2025</v>
      </c>
      <c r="S956">
        <f>MONTH(Table1[[#This Row],[Order_Date_New]])</f>
        <v>8</v>
      </c>
      <c r="T956" t="str">
        <f>TEXT(Table1[[#This Row],[Order_Date_New]],"mmmm")</f>
        <v>August</v>
      </c>
      <c r="U956">
        <f>Table1[[#This Row],[Profit]]/Table1[[#This Row],[Sales]]</f>
        <v>3.6914174921990971E-2</v>
      </c>
      <c r="V956" t="str">
        <f>IF(Table1[[#This Row],[Discount]]=0,"No Discount",IF(Table1[[#This Row],[Discount]]&lt;=0.1,"Low",IF(Table1[[#This Row],[Discount]]&lt;=0.2,"medium","high")))</f>
        <v>Low</v>
      </c>
    </row>
    <row r="957" spans="1:22" x14ac:dyDescent="0.3">
      <c r="A957" t="s">
        <v>1255</v>
      </c>
      <c r="B957" s="6">
        <v>45722</v>
      </c>
      <c r="C957" t="s">
        <v>431</v>
      </c>
      <c r="D957" t="s">
        <v>24</v>
      </c>
      <c r="E957" t="s">
        <v>97</v>
      </c>
      <c r="F957" t="s">
        <v>60</v>
      </c>
      <c r="G957" t="s">
        <v>98</v>
      </c>
      <c r="H957" t="s">
        <v>99</v>
      </c>
      <c r="I957">
        <v>7100.6</v>
      </c>
      <c r="J957">
        <v>10</v>
      </c>
      <c r="K957">
        <v>0.15</v>
      </c>
      <c r="L957">
        <v>43.14</v>
      </c>
      <c r="M957" t="s">
        <v>133</v>
      </c>
      <c r="N957" t="s">
        <v>44</v>
      </c>
      <c r="O957" t="str">
        <f t="shared" si="28"/>
        <v>Good</v>
      </c>
      <c r="P957">
        <f t="shared" si="29"/>
        <v>710.06000000000006</v>
      </c>
      <c r="Q957">
        <v>45722</v>
      </c>
      <c r="R957">
        <f>YEAR(Table1[[#This Row],[Order_Date_New]])</f>
        <v>2025</v>
      </c>
      <c r="S957">
        <f>MONTH(Table1[[#This Row],[Order_Date_New]])</f>
        <v>3</v>
      </c>
      <c r="T957" t="str">
        <f>TEXT(Table1[[#This Row],[Order_Date_New]],"mmmm")</f>
        <v>March</v>
      </c>
      <c r="U957">
        <f>Table1[[#This Row],[Profit]]/Table1[[#This Row],[Sales]]</f>
        <v>6.0755429118666028E-3</v>
      </c>
      <c r="V957" t="str">
        <f>IF(Table1[[#This Row],[Discount]]=0,"No Discount",IF(Table1[[#This Row],[Discount]]&lt;=0.1,"Low",IF(Table1[[#This Row],[Discount]]&lt;=0.2,"medium","high")))</f>
        <v>medium</v>
      </c>
    </row>
    <row r="958" spans="1:22" x14ac:dyDescent="0.3">
      <c r="A958" t="s">
        <v>1256</v>
      </c>
      <c r="B958" s="6">
        <v>45551</v>
      </c>
      <c r="C958" t="s">
        <v>233</v>
      </c>
      <c r="D958" t="s">
        <v>53</v>
      </c>
      <c r="E958" t="s">
        <v>107</v>
      </c>
      <c r="F958" t="s">
        <v>72</v>
      </c>
      <c r="G958" t="s">
        <v>73</v>
      </c>
      <c r="H958" t="s">
        <v>74</v>
      </c>
      <c r="I958">
        <v>2096.9499999999998</v>
      </c>
      <c r="J958">
        <v>5</v>
      </c>
      <c r="K958">
        <v>0.2</v>
      </c>
      <c r="L958">
        <v>342.93</v>
      </c>
      <c r="M958" t="s">
        <v>113</v>
      </c>
      <c r="N958" t="s">
        <v>30</v>
      </c>
      <c r="O958" t="str">
        <f t="shared" si="28"/>
        <v>Bad</v>
      </c>
      <c r="P958">
        <f t="shared" si="29"/>
        <v>419.39</v>
      </c>
      <c r="Q958">
        <v>45551</v>
      </c>
      <c r="R958">
        <f>YEAR(Table1[[#This Row],[Order_Date_New]])</f>
        <v>2024</v>
      </c>
      <c r="S958">
        <f>MONTH(Table1[[#This Row],[Order_Date_New]])</f>
        <v>9</v>
      </c>
      <c r="T958" t="str">
        <f>TEXT(Table1[[#This Row],[Order_Date_New]],"mmmm")</f>
        <v>September</v>
      </c>
      <c r="U958">
        <f>Table1[[#This Row],[Profit]]/Table1[[#This Row],[Sales]]</f>
        <v>0.16353751877727177</v>
      </c>
      <c r="V958" t="str">
        <f>IF(Table1[[#This Row],[Discount]]=0,"No Discount",IF(Table1[[#This Row],[Discount]]&lt;=0.1,"Low",IF(Table1[[#This Row],[Discount]]&lt;=0.2,"medium","high")))</f>
        <v>medium</v>
      </c>
    </row>
    <row r="959" spans="1:22" x14ac:dyDescent="0.3">
      <c r="A959" t="s">
        <v>1257</v>
      </c>
      <c r="B959" s="6">
        <v>45423</v>
      </c>
      <c r="C959" t="s">
        <v>256</v>
      </c>
      <c r="D959" t="s">
        <v>33</v>
      </c>
      <c r="E959" t="s">
        <v>34</v>
      </c>
      <c r="F959" t="s">
        <v>26</v>
      </c>
      <c r="G959" t="s">
        <v>35</v>
      </c>
      <c r="H959" t="s">
        <v>55</v>
      </c>
      <c r="I959">
        <v>4721.04</v>
      </c>
      <c r="J959">
        <v>8</v>
      </c>
      <c r="K959">
        <v>0.05</v>
      </c>
      <c r="L959">
        <v>1382.34</v>
      </c>
      <c r="M959" t="s">
        <v>37</v>
      </c>
      <c r="N959" t="s">
        <v>30</v>
      </c>
      <c r="O959" t="str">
        <f t="shared" si="28"/>
        <v>Bad</v>
      </c>
      <c r="P959">
        <f t="shared" si="29"/>
        <v>590.13</v>
      </c>
      <c r="Q959">
        <v>45423</v>
      </c>
      <c r="R959">
        <f>YEAR(Table1[[#This Row],[Order_Date_New]])</f>
        <v>2024</v>
      </c>
      <c r="S959">
        <f>MONTH(Table1[[#This Row],[Order_Date_New]])</f>
        <v>5</v>
      </c>
      <c r="T959" t="str">
        <f>TEXT(Table1[[#This Row],[Order_Date_New]],"mmmm")</f>
        <v>May</v>
      </c>
      <c r="U959">
        <f>Table1[[#This Row],[Profit]]/Table1[[#This Row],[Sales]]</f>
        <v>0.29280412790402111</v>
      </c>
      <c r="V959" t="str">
        <f>IF(Table1[[#This Row],[Discount]]=0,"No Discount",IF(Table1[[#This Row],[Discount]]&lt;=0.1,"Low",IF(Table1[[#This Row],[Discount]]&lt;=0.2,"medium","high")))</f>
        <v>Low</v>
      </c>
    </row>
    <row r="960" spans="1:22" x14ac:dyDescent="0.3">
      <c r="A960" t="s">
        <v>1258</v>
      </c>
      <c r="B960" s="6">
        <v>45428</v>
      </c>
      <c r="C960" t="s">
        <v>228</v>
      </c>
      <c r="D960" t="s">
        <v>33</v>
      </c>
      <c r="E960" t="s">
        <v>48</v>
      </c>
      <c r="F960" t="s">
        <v>72</v>
      </c>
      <c r="G960" t="s">
        <v>111</v>
      </c>
      <c r="H960" t="s">
        <v>112</v>
      </c>
      <c r="I960">
        <v>8636.94</v>
      </c>
      <c r="J960">
        <v>9</v>
      </c>
      <c r="K960">
        <v>0.2</v>
      </c>
      <c r="L960">
        <v>597.38</v>
      </c>
      <c r="M960" t="s">
        <v>37</v>
      </c>
      <c r="N960" t="s">
        <v>38</v>
      </c>
      <c r="O960" t="str">
        <f t="shared" si="28"/>
        <v>Good</v>
      </c>
      <c r="P960">
        <f t="shared" si="29"/>
        <v>959.66000000000008</v>
      </c>
      <c r="Q960">
        <v>45428</v>
      </c>
      <c r="R960">
        <f>YEAR(Table1[[#This Row],[Order_Date_New]])</f>
        <v>2024</v>
      </c>
      <c r="S960">
        <f>MONTH(Table1[[#This Row],[Order_Date_New]])</f>
        <v>5</v>
      </c>
      <c r="T960" t="str">
        <f>TEXT(Table1[[#This Row],[Order_Date_New]],"mmmm")</f>
        <v>May</v>
      </c>
      <c r="U960">
        <f>Table1[[#This Row],[Profit]]/Table1[[#This Row],[Sales]]</f>
        <v>6.9165699889081084E-2</v>
      </c>
      <c r="V960" t="str">
        <f>IF(Table1[[#This Row],[Discount]]=0,"No Discount",IF(Table1[[#This Row],[Discount]]&lt;=0.1,"Low",IF(Table1[[#This Row],[Discount]]&lt;=0.2,"medium","high")))</f>
        <v>medium</v>
      </c>
    </row>
    <row r="961" spans="1:22" x14ac:dyDescent="0.3">
      <c r="A961" t="s">
        <v>1259</v>
      </c>
      <c r="B961" s="6">
        <v>45688</v>
      </c>
      <c r="C961" t="s">
        <v>695</v>
      </c>
      <c r="D961" t="s">
        <v>128</v>
      </c>
      <c r="E961" t="s">
        <v>146</v>
      </c>
      <c r="F961" t="s">
        <v>60</v>
      </c>
      <c r="G961" t="s">
        <v>61</v>
      </c>
      <c r="H961" t="s">
        <v>122</v>
      </c>
      <c r="I961">
        <v>2921.52</v>
      </c>
      <c r="J961">
        <v>4</v>
      </c>
      <c r="K961">
        <v>0.25</v>
      </c>
      <c r="L961">
        <v>209.28</v>
      </c>
      <c r="M961" t="s">
        <v>49</v>
      </c>
      <c r="N961" t="s">
        <v>80</v>
      </c>
      <c r="O961" t="str">
        <f t="shared" si="28"/>
        <v>Bad</v>
      </c>
      <c r="P961">
        <f t="shared" si="29"/>
        <v>730.38</v>
      </c>
      <c r="Q961">
        <v>45688</v>
      </c>
      <c r="R961">
        <f>YEAR(Table1[[#This Row],[Order_Date_New]])</f>
        <v>2025</v>
      </c>
      <c r="S961">
        <f>MONTH(Table1[[#This Row],[Order_Date_New]])</f>
        <v>1</v>
      </c>
      <c r="T961" t="str">
        <f>TEXT(Table1[[#This Row],[Order_Date_New]],"mmmm")</f>
        <v>January</v>
      </c>
      <c r="U961">
        <f>Table1[[#This Row],[Profit]]/Table1[[#This Row],[Sales]]</f>
        <v>7.1633943974369507E-2</v>
      </c>
      <c r="V961" t="str">
        <f>IF(Table1[[#This Row],[Discount]]=0,"No Discount",IF(Table1[[#This Row],[Discount]]&lt;=0.1,"Low",IF(Table1[[#This Row],[Discount]]&lt;=0.2,"medium","high")))</f>
        <v>high</v>
      </c>
    </row>
    <row r="962" spans="1:22" x14ac:dyDescent="0.3">
      <c r="A962" t="s">
        <v>1260</v>
      </c>
      <c r="B962" s="6">
        <v>45489</v>
      </c>
      <c r="C962" t="s">
        <v>181</v>
      </c>
      <c r="D962" t="s">
        <v>128</v>
      </c>
      <c r="E962" t="s">
        <v>146</v>
      </c>
      <c r="F962" t="s">
        <v>26</v>
      </c>
      <c r="G962" t="s">
        <v>35</v>
      </c>
      <c r="H962" t="s">
        <v>173</v>
      </c>
      <c r="I962">
        <v>1065.1400000000001</v>
      </c>
      <c r="J962">
        <v>1</v>
      </c>
      <c r="K962">
        <v>0.15</v>
      </c>
      <c r="L962">
        <v>216.92</v>
      </c>
      <c r="M962" t="s">
        <v>113</v>
      </c>
      <c r="N962" t="s">
        <v>44</v>
      </c>
      <c r="O962" t="str">
        <f t="shared" ref="O962:O1001" si="30">IF(AND(I962&gt;5000,J962&gt;7),"Good","Bad")</f>
        <v>Bad</v>
      </c>
      <c r="P962">
        <f t="shared" ref="P962:P1001" si="31">I962/J962</f>
        <v>1065.1400000000001</v>
      </c>
      <c r="Q962">
        <v>45489</v>
      </c>
      <c r="R962">
        <f>YEAR(Table1[[#This Row],[Order_Date_New]])</f>
        <v>2024</v>
      </c>
      <c r="S962">
        <f>MONTH(Table1[[#This Row],[Order_Date_New]])</f>
        <v>7</v>
      </c>
      <c r="T962" t="str">
        <f>TEXT(Table1[[#This Row],[Order_Date_New]],"mmmm")</f>
        <v>July</v>
      </c>
      <c r="U962">
        <f>Table1[[#This Row],[Profit]]/Table1[[#This Row],[Sales]]</f>
        <v>0.20365397975852936</v>
      </c>
      <c r="V962" t="str">
        <f>IF(Table1[[#This Row],[Discount]]=0,"No Discount",IF(Table1[[#This Row],[Discount]]&lt;=0.1,"Low",IF(Table1[[#This Row],[Discount]]&lt;=0.2,"medium","high")))</f>
        <v>medium</v>
      </c>
    </row>
    <row r="963" spans="1:22" x14ac:dyDescent="0.3">
      <c r="A963" t="s">
        <v>1261</v>
      </c>
      <c r="B963" s="6">
        <v>45426</v>
      </c>
      <c r="C963" t="s">
        <v>152</v>
      </c>
      <c r="D963" t="s">
        <v>33</v>
      </c>
      <c r="E963" t="s">
        <v>118</v>
      </c>
      <c r="F963" t="s">
        <v>60</v>
      </c>
      <c r="G963" t="s">
        <v>78</v>
      </c>
      <c r="H963" t="s">
        <v>125</v>
      </c>
      <c r="I963">
        <v>3447</v>
      </c>
      <c r="J963">
        <v>3</v>
      </c>
      <c r="K963">
        <v>0.2</v>
      </c>
      <c r="L963">
        <v>686.58</v>
      </c>
      <c r="M963" t="s">
        <v>90</v>
      </c>
      <c r="N963" t="s">
        <v>38</v>
      </c>
      <c r="O963" t="str">
        <f t="shared" si="30"/>
        <v>Bad</v>
      </c>
      <c r="P963">
        <f t="shared" si="31"/>
        <v>1149</v>
      </c>
      <c r="Q963">
        <v>45426</v>
      </c>
      <c r="R963">
        <f>YEAR(Table1[[#This Row],[Order_Date_New]])</f>
        <v>2024</v>
      </c>
      <c r="S963">
        <f>MONTH(Table1[[#This Row],[Order_Date_New]])</f>
        <v>5</v>
      </c>
      <c r="T963" t="str">
        <f>TEXT(Table1[[#This Row],[Order_Date_New]],"mmmm")</f>
        <v>May</v>
      </c>
      <c r="U963">
        <f>Table1[[#This Row],[Profit]]/Table1[[#This Row],[Sales]]</f>
        <v>0.19918189730200175</v>
      </c>
      <c r="V963" t="str">
        <f>IF(Table1[[#This Row],[Discount]]=0,"No Discount",IF(Table1[[#This Row],[Discount]]&lt;=0.1,"Low",IF(Table1[[#This Row],[Discount]]&lt;=0.2,"medium","high")))</f>
        <v>medium</v>
      </c>
    </row>
    <row r="964" spans="1:22" x14ac:dyDescent="0.3">
      <c r="A964" t="s">
        <v>1262</v>
      </c>
      <c r="B964" s="6">
        <v>45495</v>
      </c>
      <c r="C964" t="s">
        <v>231</v>
      </c>
      <c r="D964" t="s">
        <v>33</v>
      </c>
      <c r="E964" t="s">
        <v>118</v>
      </c>
      <c r="F964" t="s">
        <v>72</v>
      </c>
      <c r="G964" t="s">
        <v>88</v>
      </c>
      <c r="H964" t="s">
        <v>119</v>
      </c>
      <c r="I964">
        <v>5534.05</v>
      </c>
      <c r="J964">
        <v>5</v>
      </c>
      <c r="K964">
        <v>0.15</v>
      </c>
      <c r="L964">
        <v>977.7</v>
      </c>
      <c r="M964" t="s">
        <v>90</v>
      </c>
      <c r="N964" t="s">
        <v>44</v>
      </c>
      <c r="O964" t="str">
        <f t="shared" si="30"/>
        <v>Bad</v>
      </c>
      <c r="P964">
        <f t="shared" si="31"/>
        <v>1106.81</v>
      </c>
      <c r="Q964">
        <v>45495</v>
      </c>
      <c r="R964">
        <f>YEAR(Table1[[#This Row],[Order_Date_New]])</f>
        <v>2024</v>
      </c>
      <c r="S964">
        <f>MONTH(Table1[[#This Row],[Order_Date_New]])</f>
        <v>7</v>
      </c>
      <c r="T964" t="str">
        <f>TEXT(Table1[[#This Row],[Order_Date_New]],"mmmm")</f>
        <v>July</v>
      </c>
      <c r="U964">
        <f>Table1[[#This Row],[Profit]]/Table1[[#This Row],[Sales]]</f>
        <v>0.17666988914086429</v>
      </c>
      <c r="V964" t="str">
        <f>IF(Table1[[#This Row],[Discount]]=0,"No Discount",IF(Table1[[#This Row],[Discount]]&lt;=0.1,"Low",IF(Table1[[#This Row],[Discount]]&lt;=0.2,"medium","high")))</f>
        <v>medium</v>
      </c>
    </row>
    <row r="965" spans="1:22" x14ac:dyDescent="0.3">
      <c r="A965" t="s">
        <v>1263</v>
      </c>
      <c r="B965" s="6">
        <v>45406</v>
      </c>
      <c r="C965" t="s">
        <v>175</v>
      </c>
      <c r="D965" t="s">
        <v>128</v>
      </c>
      <c r="E965" t="s">
        <v>132</v>
      </c>
      <c r="F965" t="s">
        <v>60</v>
      </c>
      <c r="G965" t="s">
        <v>61</v>
      </c>
      <c r="H965" t="s">
        <v>122</v>
      </c>
      <c r="I965">
        <v>2598.7199999999998</v>
      </c>
      <c r="J965">
        <v>4</v>
      </c>
      <c r="K965">
        <v>0.1</v>
      </c>
      <c r="L965">
        <v>679.71</v>
      </c>
      <c r="M965" t="s">
        <v>113</v>
      </c>
      <c r="N965" t="s">
        <v>38</v>
      </c>
      <c r="O965" t="str">
        <f t="shared" si="30"/>
        <v>Bad</v>
      </c>
      <c r="P965">
        <f t="shared" si="31"/>
        <v>649.67999999999995</v>
      </c>
      <c r="Q965">
        <v>45406</v>
      </c>
      <c r="R965">
        <f>YEAR(Table1[[#This Row],[Order_Date_New]])</f>
        <v>2024</v>
      </c>
      <c r="S965">
        <f>MONTH(Table1[[#This Row],[Order_Date_New]])</f>
        <v>4</v>
      </c>
      <c r="T965" t="str">
        <f>TEXT(Table1[[#This Row],[Order_Date_New]],"mmmm")</f>
        <v>April</v>
      </c>
      <c r="U965">
        <f>Table1[[#This Row],[Profit]]/Table1[[#This Row],[Sales]]</f>
        <v>0.26155568895456227</v>
      </c>
      <c r="V965" t="str">
        <f>IF(Table1[[#This Row],[Discount]]=0,"No Discount",IF(Table1[[#This Row],[Discount]]&lt;=0.1,"Low",IF(Table1[[#This Row],[Discount]]&lt;=0.2,"medium","high")))</f>
        <v>Low</v>
      </c>
    </row>
    <row r="966" spans="1:22" x14ac:dyDescent="0.3">
      <c r="A966" t="s">
        <v>1264</v>
      </c>
      <c r="B966" s="6">
        <v>45431</v>
      </c>
      <c r="C966" t="s">
        <v>378</v>
      </c>
      <c r="D966" t="s">
        <v>53</v>
      </c>
      <c r="E966" t="s">
        <v>87</v>
      </c>
      <c r="F966" t="s">
        <v>60</v>
      </c>
      <c r="G966" t="s">
        <v>78</v>
      </c>
      <c r="H966" t="s">
        <v>222</v>
      </c>
      <c r="I966">
        <v>1545.63</v>
      </c>
      <c r="J966">
        <v>3</v>
      </c>
      <c r="K966">
        <v>0.05</v>
      </c>
      <c r="L966">
        <v>274.3</v>
      </c>
      <c r="M966" t="s">
        <v>170</v>
      </c>
      <c r="N966" t="s">
        <v>80</v>
      </c>
      <c r="O966" t="str">
        <f t="shared" si="30"/>
        <v>Bad</v>
      </c>
      <c r="P966">
        <f t="shared" si="31"/>
        <v>515.21</v>
      </c>
      <c r="Q966">
        <v>45431</v>
      </c>
      <c r="R966">
        <f>YEAR(Table1[[#This Row],[Order_Date_New]])</f>
        <v>2024</v>
      </c>
      <c r="S966">
        <f>MONTH(Table1[[#This Row],[Order_Date_New]])</f>
        <v>5</v>
      </c>
      <c r="T966" t="str">
        <f>TEXT(Table1[[#This Row],[Order_Date_New]],"mmmm")</f>
        <v>May</v>
      </c>
      <c r="U966">
        <f>Table1[[#This Row],[Profit]]/Table1[[#This Row],[Sales]]</f>
        <v>0.17746808744654283</v>
      </c>
      <c r="V966" t="str">
        <f>IF(Table1[[#This Row],[Discount]]=0,"No Discount",IF(Table1[[#This Row],[Discount]]&lt;=0.1,"Low",IF(Table1[[#This Row],[Discount]]&lt;=0.2,"medium","high")))</f>
        <v>Low</v>
      </c>
    </row>
    <row r="967" spans="1:22" x14ac:dyDescent="0.3">
      <c r="A967" t="s">
        <v>1265</v>
      </c>
      <c r="B967" s="6">
        <v>45302</v>
      </c>
      <c r="C967" t="s">
        <v>177</v>
      </c>
      <c r="D967" t="s">
        <v>53</v>
      </c>
      <c r="E967" t="s">
        <v>87</v>
      </c>
      <c r="F967" t="s">
        <v>26</v>
      </c>
      <c r="G967" t="s">
        <v>27</v>
      </c>
      <c r="H967" t="s">
        <v>200</v>
      </c>
      <c r="I967">
        <v>569.14</v>
      </c>
      <c r="J967">
        <v>2</v>
      </c>
      <c r="K967">
        <v>0.15</v>
      </c>
      <c r="L967">
        <v>105.8</v>
      </c>
      <c r="M967" t="s">
        <v>37</v>
      </c>
      <c r="N967" t="s">
        <v>38</v>
      </c>
      <c r="O967" t="str">
        <f t="shared" si="30"/>
        <v>Bad</v>
      </c>
      <c r="P967">
        <f t="shared" si="31"/>
        <v>284.57</v>
      </c>
      <c r="Q967">
        <v>45302</v>
      </c>
      <c r="R967">
        <f>YEAR(Table1[[#This Row],[Order_Date_New]])</f>
        <v>2024</v>
      </c>
      <c r="S967">
        <f>MONTH(Table1[[#This Row],[Order_Date_New]])</f>
        <v>1</v>
      </c>
      <c r="T967" t="str">
        <f>TEXT(Table1[[#This Row],[Order_Date_New]],"mmmm")</f>
        <v>January</v>
      </c>
      <c r="U967">
        <f>Table1[[#This Row],[Profit]]/Table1[[#This Row],[Sales]]</f>
        <v>0.18589450750254771</v>
      </c>
      <c r="V967" t="str">
        <f>IF(Table1[[#This Row],[Discount]]=0,"No Discount",IF(Table1[[#This Row],[Discount]]&lt;=0.1,"Low",IF(Table1[[#This Row],[Discount]]&lt;=0.2,"medium","high")))</f>
        <v>medium</v>
      </c>
    </row>
    <row r="968" spans="1:22" x14ac:dyDescent="0.3">
      <c r="A968" t="s">
        <v>1266</v>
      </c>
      <c r="B968" s="6">
        <v>45605</v>
      </c>
      <c r="C968" t="s">
        <v>410</v>
      </c>
      <c r="D968" t="s">
        <v>128</v>
      </c>
      <c r="E968" t="s">
        <v>129</v>
      </c>
      <c r="F968" t="s">
        <v>60</v>
      </c>
      <c r="G968" t="s">
        <v>98</v>
      </c>
      <c r="H968" t="s">
        <v>141</v>
      </c>
      <c r="I968">
        <v>5968.15</v>
      </c>
      <c r="J968">
        <v>5</v>
      </c>
      <c r="K968">
        <v>0.15</v>
      </c>
      <c r="L968">
        <v>-307.77</v>
      </c>
      <c r="M968" t="s">
        <v>105</v>
      </c>
      <c r="N968" t="s">
        <v>38</v>
      </c>
      <c r="O968" t="str">
        <f t="shared" si="30"/>
        <v>Bad</v>
      </c>
      <c r="P968">
        <f t="shared" si="31"/>
        <v>1193.6299999999999</v>
      </c>
      <c r="Q968">
        <v>45605</v>
      </c>
      <c r="R968">
        <f>YEAR(Table1[[#This Row],[Order_Date_New]])</f>
        <v>2024</v>
      </c>
      <c r="S968">
        <f>MONTH(Table1[[#This Row],[Order_Date_New]])</f>
        <v>11</v>
      </c>
      <c r="T968" t="str">
        <f>TEXT(Table1[[#This Row],[Order_Date_New]],"mmmm")</f>
        <v>November</v>
      </c>
      <c r="U968">
        <f>Table1[[#This Row],[Profit]]/Table1[[#This Row],[Sales]]</f>
        <v>-5.1568744083174856E-2</v>
      </c>
      <c r="V968" t="str">
        <f>IF(Table1[[#This Row],[Discount]]=0,"No Discount",IF(Table1[[#This Row],[Discount]]&lt;=0.1,"Low",IF(Table1[[#This Row],[Discount]]&lt;=0.2,"medium","high")))</f>
        <v>medium</v>
      </c>
    </row>
    <row r="969" spans="1:22" x14ac:dyDescent="0.3">
      <c r="A969" t="s">
        <v>1267</v>
      </c>
      <c r="B969" s="6">
        <v>45679</v>
      </c>
      <c r="C969" t="s">
        <v>276</v>
      </c>
      <c r="D969" t="s">
        <v>128</v>
      </c>
      <c r="E969" t="s">
        <v>202</v>
      </c>
      <c r="F969" t="s">
        <v>60</v>
      </c>
      <c r="G969" t="s">
        <v>98</v>
      </c>
      <c r="H969" t="s">
        <v>141</v>
      </c>
      <c r="I969">
        <v>7458.1</v>
      </c>
      <c r="J969">
        <v>10</v>
      </c>
      <c r="K969">
        <v>0.15</v>
      </c>
      <c r="L969">
        <v>1437.34</v>
      </c>
      <c r="M969" t="s">
        <v>113</v>
      </c>
      <c r="N969" t="s">
        <v>80</v>
      </c>
      <c r="O969" t="str">
        <f t="shared" si="30"/>
        <v>Good</v>
      </c>
      <c r="P969">
        <f t="shared" si="31"/>
        <v>745.81000000000006</v>
      </c>
      <c r="Q969">
        <v>45679</v>
      </c>
      <c r="R969">
        <f>YEAR(Table1[[#This Row],[Order_Date_New]])</f>
        <v>2025</v>
      </c>
      <c r="S969">
        <f>MONTH(Table1[[#This Row],[Order_Date_New]])</f>
        <v>1</v>
      </c>
      <c r="T969" t="str">
        <f>TEXT(Table1[[#This Row],[Order_Date_New]],"mmmm")</f>
        <v>January</v>
      </c>
      <c r="U969">
        <f>Table1[[#This Row],[Profit]]/Table1[[#This Row],[Sales]]</f>
        <v>0.19272200694546868</v>
      </c>
      <c r="V969" t="str">
        <f>IF(Table1[[#This Row],[Discount]]=0,"No Discount",IF(Table1[[#This Row],[Discount]]&lt;=0.1,"Low",IF(Table1[[#This Row],[Discount]]&lt;=0.2,"medium","high")))</f>
        <v>medium</v>
      </c>
    </row>
    <row r="970" spans="1:22" x14ac:dyDescent="0.3">
      <c r="A970" t="s">
        <v>1268</v>
      </c>
      <c r="B970" s="6">
        <v>45587</v>
      </c>
      <c r="C970" t="s">
        <v>301</v>
      </c>
      <c r="D970" t="s">
        <v>33</v>
      </c>
      <c r="E970" t="s">
        <v>34</v>
      </c>
      <c r="F970" t="s">
        <v>60</v>
      </c>
      <c r="G970" t="s">
        <v>78</v>
      </c>
      <c r="H970" t="s">
        <v>125</v>
      </c>
      <c r="I970">
        <v>617.82000000000005</v>
      </c>
      <c r="J970">
        <v>3</v>
      </c>
      <c r="K970">
        <v>0.05</v>
      </c>
      <c r="L970">
        <v>128.08000000000001</v>
      </c>
      <c r="M970" t="s">
        <v>68</v>
      </c>
      <c r="N970" t="s">
        <v>38</v>
      </c>
      <c r="O970" t="str">
        <f t="shared" si="30"/>
        <v>Bad</v>
      </c>
      <c r="P970">
        <f t="shared" si="31"/>
        <v>205.94000000000003</v>
      </c>
      <c r="Q970">
        <v>45587</v>
      </c>
      <c r="R970">
        <f>YEAR(Table1[[#This Row],[Order_Date_New]])</f>
        <v>2024</v>
      </c>
      <c r="S970">
        <f>MONTH(Table1[[#This Row],[Order_Date_New]])</f>
        <v>10</v>
      </c>
      <c r="T970" t="str">
        <f>TEXT(Table1[[#This Row],[Order_Date_New]],"mmmm")</f>
        <v>October</v>
      </c>
      <c r="U970">
        <f>Table1[[#This Row],[Profit]]/Table1[[#This Row],[Sales]]</f>
        <v>0.2073095723673562</v>
      </c>
      <c r="V970" t="str">
        <f>IF(Table1[[#This Row],[Discount]]=0,"No Discount",IF(Table1[[#This Row],[Discount]]&lt;=0.1,"Low",IF(Table1[[#This Row],[Discount]]&lt;=0.2,"medium","high")))</f>
        <v>Low</v>
      </c>
    </row>
    <row r="971" spans="1:22" x14ac:dyDescent="0.3">
      <c r="A971" t="s">
        <v>1269</v>
      </c>
      <c r="B971" s="6">
        <v>45828</v>
      </c>
      <c r="C971" t="s">
        <v>576</v>
      </c>
      <c r="D971" t="s">
        <v>24</v>
      </c>
      <c r="E971" t="s">
        <v>97</v>
      </c>
      <c r="F971" t="s">
        <v>26</v>
      </c>
      <c r="G971" t="s">
        <v>41</v>
      </c>
      <c r="H971" t="s">
        <v>189</v>
      </c>
      <c r="I971">
        <v>942.36</v>
      </c>
      <c r="J971">
        <v>4</v>
      </c>
      <c r="K971">
        <v>0.3</v>
      </c>
      <c r="L971">
        <v>-23.18</v>
      </c>
      <c r="M971" t="s">
        <v>29</v>
      </c>
      <c r="N971" t="s">
        <v>44</v>
      </c>
      <c r="O971" t="str">
        <f t="shared" si="30"/>
        <v>Bad</v>
      </c>
      <c r="P971">
        <f t="shared" si="31"/>
        <v>235.59</v>
      </c>
      <c r="Q971">
        <v>45828</v>
      </c>
      <c r="R971">
        <f>YEAR(Table1[[#This Row],[Order_Date_New]])</f>
        <v>2025</v>
      </c>
      <c r="S971">
        <f>MONTH(Table1[[#This Row],[Order_Date_New]])</f>
        <v>6</v>
      </c>
      <c r="T971" t="str">
        <f>TEXT(Table1[[#This Row],[Order_Date_New]],"mmmm")</f>
        <v>June</v>
      </c>
      <c r="U971">
        <f>Table1[[#This Row],[Profit]]/Table1[[#This Row],[Sales]]</f>
        <v>-2.4597818243558726E-2</v>
      </c>
      <c r="V971" t="str">
        <f>IF(Table1[[#This Row],[Discount]]=0,"No Discount",IF(Table1[[#This Row],[Discount]]&lt;=0.1,"Low",IF(Table1[[#This Row],[Discount]]&lt;=0.2,"medium","high")))</f>
        <v>high</v>
      </c>
    </row>
    <row r="972" spans="1:22" x14ac:dyDescent="0.3">
      <c r="A972" t="s">
        <v>1270</v>
      </c>
      <c r="B972" s="6">
        <v>45560</v>
      </c>
      <c r="C972" t="s">
        <v>398</v>
      </c>
      <c r="D972" t="s">
        <v>128</v>
      </c>
      <c r="E972" t="s">
        <v>202</v>
      </c>
      <c r="F972" t="s">
        <v>72</v>
      </c>
      <c r="G972" t="s">
        <v>88</v>
      </c>
      <c r="H972" t="s">
        <v>119</v>
      </c>
      <c r="I972">
        <v>2154.36</v>
      </c>
      <c r="J972">
        <v>3</v>
      </c>
      <c r="K972">
        <v>0.25</v>
      </c>
      <c r="L972">
        <v>-332.03</v>
      </c>
      <c r="M972" t="s">
        <v>49</v>
      </c>
      <c r="N972" t="s">
        <v>80</v>
      </c>
      <c r="O972" t="str">
        <f t="shared" si="30"/>
        <v>Bad</v>
      </c>
      <c r="P972">
        <f t="shared" si="31"/>
        <v>718.12</v>
      </c>
      <c r="Q972">
        <v>45560</v>
      </c>
      <c r="R972">
        <f>YEAR(Table1[[#This Row],[Order_Date_New]])</f>
        <v>2024</v>
      </c>
      <c r="S972">
        <f>MONTH(Table1[[#This Row],[Order_Date_New]])</f>
        <v>9</v>
      </c>
      <c r="T972" t="str">
        <f>TEXT(Table1[[#This Row],[Order_Date_New]],"mmmm")</f>
        <v>September</v>
      </c>
      <c r="U972">
        <f>Table1[[#This Row],[Profit]]/Table1[[#This Row],[Sales]]</f>
        <v>-0.15412001708163908</v>
      </c>
      <c r="V972" t="str">
        <f>IF(Table1[[#This Row],[Discount]]=0,"No Discount",IF(Table1[[#This Row],[Discount]]&lt;=0.1,"Low",IF(Table1[[#This Row],[Discount]]&lt;=0.2,"medium","high")))</f>
        <v>high</v>
      </c>
    </row>
    <row r="973" spans="1:22" x14ac:dyDescent="0.3">
      <c r="A973" t="s">
        <v>1271</v>
      </c>
      <c r="B973" s="6">
        <v>45832</v>
      </c>
      <c r="C973" t="s">
        <v>601</v>
      </c>
      <c r="D973" t="s">
        <v>128</v>
      </c>
      <c r="E973" t="s">
        <v>146</v>
      </c>
      <c r="F973" t="s">
        <v>60</v>
      </c>
      <c r="G973" t="s">
        <v>61</v>
      </c>
      <c r="H973" t="s">
        <v>67</v>
      </c>
      <c r="I973">
        <v>3565.6</v>
      </c>
      <c r="J973">
        <v>5</v>
      </c>
      <c r="K973">
        <v>0.3</v>
      </c>
      <c r="L973">
        <v>224.18</v>
      </c>
      <c r="M973" t="s">
        <v>113</v>
      </c>
      <c r="N973" t="s">
        <v>44</v>
      </c>
      <c r="O973" t="str">
        <f t="shared" si="30"/>
        <v>Bad</v>
      </c>
      <c r="P973">
        <f t="shared" si="31"/>
        <v>713.12</v>
      </c>
      <c r="Q973">
        <v>45832</v>
      </c>
      <c r="R973">
        <f>YEAR(Table1[[#This Row],[Order_Date_New]])</f>
        <v>2025</v>
      </c>
      <c r="S973">
        <f>MONTH(Table1[[#This Row],[Order_Date_New]])</f>
        <v>6</v>
      </c>
      <c r="T973" t="str">
        <f>TEXT(Table1[[#This Row],[Order_Date_New]],"mmmm")</f>
        <v>June</v>
      </c>
      <c r="U973">
        <f>Table1[[#This Row],[Profit]]/Table1[[#This Row],[Sales]]</f>
        <v>6.2873008750280457E-2</v>
      </c>
      <c r="V973" t="str">
        <f>IF(Table1[[#This Row],[Discount]]=0,"No Discount",IF(Table1[[#This Row],[Discount]]&lt;=0.1,"Low",IF(Table1[[#This Row],[Discount]]&lt;=0.2,"medium","high")))</f>
        <v>high</v>
      </c>
    </row>
    <row r="974" spans="1:22" x14ac:dyDescent="0.3">
      <c r="A974" t="s">
        <v>1272</v>
      </c>
      <c r="B974" s="6">
        <v>45448</v>
      </c>
      <c r="C974" t="s">
        <v>278</v>
      </c>
      <c r="D974" t="s">
        <v>53</v>
      </c>
      <c r="E974" t="s">
        <v>87</v>
      </c>
      <c r="F974" t="s">
        <v>72</v>
      </c>
      <c r="G974" t="s">
        <v>111</v>
      </c>
      <c r="H974" t="s">
        <v>158</v>
      </c>
      <c r="I974">
        <v>2005.83</v>
      </c>
      <c r="J974">
        <v>3</v>
      </c>
      <c r="K974">
        <v>0.1</v>
      </c>
      <c r="L974">
        <v>88.28</v>
      </c>
      <c r="M974" t="s">
        <v>43</v>
      </c>
      <c r="N974" t="s">
        <v>80</v>
      </c>
      <c r="O974" t="str">
        <f t="shared" si="30"/>
        <v>Bad</v>
      </c>
      <c r="P974">
        <f t="shared" si="31"/>
        <v>668.61</v>
      </c>
      <c r="Q974">
        <v>45448</v>
      </c>
      <c r="R974">
        <f>YEAR(Table1[[#This Row],[Order_Date_New]])</f>
        <v>2024</v>
      </c>
      <c r="S974">
        <f>MONTH(Table1[[#This Row],[Order_Date_New]])</f>
        <v>6</v>
      </c>
      <c r="T974" t="str">
        <f>TEXT(Table1[[#This Row],[Order_Date_New]],"mmmm")</f>
        <v>June</v>
      </c>
      <c r="U974">
        <f>Table1[[#This Row],[Profit]]/Table1[[#This Row],[Sales]]</f>
        <v>4.4011705877367475E-2</v>
      </c>
      <c r="V974" t="str">
        <f>IF(Table1[[#This Row],[Discount]]=0,"No Discount",IF(Table1[[#This Row],[Discount]]&lt;=0.1,"Low",IF(Table1[[#This Row],[Discount]]&lt;=0.2,"medium","high")))</f>
        <v>Low</v>
      </c>
    </row>
    <row r="975" spans="1:22" x14ac:dyDescent="0.3">
      <c r="A975" t="s">
        <v>1273</v>
      </c>
      <c r="B975" s="6">
        <v>45347</v>
      </c>
      <c r="C975" t="s">
        <v>224</v>
      </c>
      <c r="D975" t="s">
        <v>33</v>
      </c>
      <c r="E975" t="s">
        <v>66</v>
      </c>
      <c r="F975" t="s">
        <v>26</v>
      </c>
      <c r="G975" t="s">
        <v>27</v>
      </c>
      <c r="H975" t="s">
        <v>271</v>
      </c>
      <c r="I975">
        <v>873.64</v>
      </c>
      <c r="J975">
        <v>1</v>
      </c>
      <c r="K975">
        <v>0.3</v>
      </c>
      <c r="L975">
        <v>-37.43</v>
      </c>
      <c r="M975" t="s">
        <v>37</v>
      </c>
      <c r="N975" t="s">
        <v>38</v>
      </c>
      <c r="O975" t="str">
        <f t="shared" si="30"/>
        <v>Bad</v>
      </c>
      <c r="P975">
        <f t="shared" si="31"/>
        <v>873.64</v>
      </c>
      <c r="Q975">
        <v>45347</v>
      </c>
      <c r="R975">
        <f>YEAR(Table1[[#This Row],[Order_Date_New]])</f>
        <v>2024</v>
      </c>
      <c r="S975">
        <f>MONTH(Table1[[#This Row],[Order_Date_New]])</f>
        <v>2</v>
      </c>
      <c r="T975" t="str">
        <f>TEXT(Table1[[#This Row],[Order_Date_New]],"mmmm")</f>
        <v>February</v>
      </c>
      <c r="U975">
        <f>Table1[[#This Row],[Profit]]/Table1[[#This Row],[Sales]]</f>
        <v>-4.2843734261251772E-2</v>
      </c>
      <c r="V975" t="str">
        <f>IF(Table1[[#This Row],[Discount]]=0,"No Discount",IF(Table1[[#This Row],[Discount]]&lt;=0.1,"Low",IF(Table1[[#This Row],[Discount]]&lt;=0.2,"medium","high")))</f>
        <v>high</v>
      </c>
    </row>
    <row r="976" spans="1:22" x14ac:dyDescent="0.3">
      <c r="A976" t="s">
        <v>1274</v>
      </c>
      <c r="B976" s="6">
        <v>45543</v>
      </c>
      <c r="C976" t="s">
        <v>94</v>
      </c>
      <c r="D976" t="s">
        <v>53</v>
      </c>
      <c r="E976" t="s">
        <v>107</v>
      </c>
      <c r="F976" t="s">
        <v>26</v>
      </c>
      <c r="G976" t="s">
        <v>27</v>
      </c>
      <c r="H976" t="s">
        <v>28</v>
      </c>
      <c r="I976">
        <v>876.9</v>
      </c>
      <c r="J976">
        <v>5</v>
      </c>
      <c r="K976">
        <v>0.2</v>
      </c>
      <c r="L976">
        <v>-63.97</v>
      </c>
      <c r="M976" t="s">
        <v>113</v>
      </c>
      <c r="N976" t="s">
        <v>38</v>
      </c>
      <c r="O976" t="str">
        <f t="shared" si="30"/>
        <v>Bad</v>
      </c>
      <c r="P976">
        <f t="shared" si="31"/>
        <v>175.38</v>
      </c>
      <c r="Q976">
        <v>45543</v>
      </c>
      <c r="R976">
        <f>YEAR(Table1[[#This Row],[Order_Date_New]])</f>
        <v>2024</v>
      </c>
      <c r="S976">
        <f>MONTH(Table1[[#This Row],[Order_Date_New]])</f>
        <v>9</v>
      </c>
      <c r="T976" t="str">
        <f>TEXT(Table1[[#This Row],[Order_Date_New]],"mmmm")</f>
        <v>September</v>
      </c>
      <c r="U976">
        <f>Table1[[#This Row],[Profit]]/Table1[[#This Row],[Sales]]</f>
        <v>-7.2950165355228649E-2</v>
      </c>
      <c r="V976" t="str">
        <f>IF(Table1[[#This Row],[Discount]]=0,"No Discount",IF(Table1[[#This Row],[Discount]]&lt;=0.1,"Low",IF(Table1[[#This Row],[Discount]]&lt;=0.2,"medium","high")))</f>
        <v>medium</v>
      </c>
    </row>
    <row r="977" spans="1:22" x14ac:dyDescent="0.3">
      <c r="A977" t="s">
        <v>1275</v>
      </c>
      <c r="B977" s="6">
        <v>45292</v>
      </c>
      <c r="C977" t="s">
        <v>315</v>
      </c>
      <c r="D977" t="s">
        <v>33</v>
      </c>
      <c r="E977" t="s">
        <v>118</v>
      </c>
      <c r="F977" t="s">
        <v>60</v>
      </c>
      <c r="G977" t="s">
        <v>98</v>
      </c>
      <c r="H977" t="s">
        <v>138</v>
      </c>
      <c r="I977">
        <v>2997.96</v>
      </c>
      <c r="J977">
        <v>4</v>
      </c>
      <c r="K977">
        <v>0.15</v>
      </c>
      <c r="L977">
        <v>-230.14</v>
      </c>
      <c r="M977" t="s">
        <v>105</v>
      </c>
      <c r="N977" t="s">
        <v>44</v>
      </c>
      <c r="O977" t="str">
        <f t="shared" si="30"/>
        <v>Bad</v>
      </c>
      <c r="P977">
        <f t="shared" si="31"/>
        <v>749.49</v>
      </c>
      <c r="Q977">
        <v>45292</v>
      </c>
      <c r="R977">
        <f>YEAR(Table1[[#This Row],[Order_Date_New]])</f>
        <v>2024</v>
      </c>
      <c r="S977">
        <f>MONTH(Table1[[#This Row],[Order_Date_New]])</f>
        <v>1</v>
      </c>
      <c r="T977" t="str">
        <f>TEXT(Table1[[#This Row],[Order_Date_New]],"mmmm")</f>
        <v>January</v>
      </c>
      <c r="U977">
        <f>Table1[[#This Row],[Profit]]/Table1[[#This Row],[Sales]]</f>
        <v>-7.6765533896382868E-2</v>
      </c>
      <c r="V977" t="str">
        <f>IF(Table1[[#This Row],[Discount]]=0,"No Discount",IF(Table1[[#This Row],[Discount]]&lt;=0.1,"Low",IF(Table1[[#This Row],[Discount]]&lt;=0.2,"medium","high")))</f>
        <v>medium</v>
      </c>
    </row>
    <row r="978" spans="1:22" x14ac:dyDescent="0.3">
      <c r="A978" t="s">
        <v>1276</v>
      </c>
      <c r="B978" s="6">
        <v>45313</v>
      </c>
      <c r="C978" t="s">
        <v>32</v>
      </c>
      <c r="D978" t="s">
        <v>53</v>
      </c>
      <c r="E978" t="s">
        <v>87</v>
      </c>
      <c r="F978" t="s">
        <v>72</v>
      </c>
      <c r="G978" t="s">
        <v>88</v>
      </c>
      <c r="H978" t="s">
        <v>119</v>
      </c>
      <c r="I978">
        <v>278.8</v>
      </c>
      <c r="J978">
        <v>2</v>
      </c>
      <c r="K978">
        <v>0.15</v>
      </c>
      <c r="L978">
        <v>65.040000000000006</v>
      </c>
      <c r="M978" t="s">
        <v>90</v>
      </c>
      <c r="N978" t="s">
        <v>80</v>
      </c>
      <c r="O978" t="str">
        <f t="shared" si="30"/>
        <v>Bad</v>
      </c>
      <c r="P978">
        <f t="shared" si="31"/>
        <v>139.4</v>
      </c>
      <c r="Q978">
        <v>45313</v>
      </c>
      <c r="R978">
        <f>YEAR(Table1[[#This Row],[Order_Date_New]])</f>
        <v>2024</v>
      </c>
      <c r="S978">
        <f>MONTH(Table1[[#This Row],[Order_Date_New]])</f>
        <v>1</v>
      </c>
      <c r="T978" t="str">
        <f>TEXT(Table1[[#This Row],[Order_Date_New]],"mmmm")</f>
        <v>January</v>
      </c>
      <c r="U978">
        <f>Table1[[#This Row],[Profit]]/Table1[[#This Row],[Sales]]</f>
        <v>0.23328550932568151</v>
      </c>
      <c r="V978" t="str">
        <f>IF(Table1[[#This Row],[Discount]]=0,"No Discount",IF(Table1[[#This Row],[Discount]]&lt;=0.1,"Low",IF(Table1[[#This Row],[Discount]]&lt;=0.2,"medium","high")))</f>
        <v>medium</v>
      </c>
    </row>
    <row r="979" spans="1:22" x14ac:dyDescent="0.3">
      <c r="A979" t="s">
        <v>1277</v>
      </c>
      <c r="B979" s="6">
        <v>45406</v>
      </c>
      <c r="C979" t="s">
        <v>588</v>
      </c>
      <c r="D979" t="s">
        <v>33</v>
      </c>
      <c r="E979" t="s">
        <v>66</v>
      </c>
      <c r="F979" t="s">
        <v>26</v>
      </c>
      <c r="G979" t="s">
        <v>41</v>
      </c>
      <c r="H979" t="s">
        <v>108</v>
      </c>
      <c r="I979">
        <v>4141.5600000000004</v>
      </c>
      <c r="J979">
        <v>4</v>
      </c>
      <c r="K979">
        <v>0.2</v>
      </c>
      <c r="L979">
        <v>45.75</v>
      </c>
      <c r="M979" t="s">
        <v>133</v>
      </c>
      <c r="N979" t="s">
        <v>38</v>
      </c>
      <c r="O979" t="str">
        <f t="shared" si="30"/>
        <v>Bad</v>
      </c>
      <c r="P979">
        <f t="shared" si="31"/>
        <v>1035.3900000000001</v>
      </c>
      <c r="Q979">
        <v>45406</v>
      </c>
      <c r="R979">
        <f>YEAR(Table1[[#This Row],[Order_Date_New]])</f>
        <v>2024</v>
      </c>
      <c r="S979">
        <f>MONTH(Table1[[#This Row],[Order_Date_New]])</f>
        <v>4</v>
      </c>
      <c r="T979" t="str">
        <f>TEXT(Table1[[#This Row],[Order_Date_New]],"mmmm")</f>
        <v>April</v>
      </c>
      <c r="U979">
        <f>Table1[[#This Row],[Profit]]/Table1[[#This Row],[Sales]]</f>
        <v>1.1046562164981311E-2</v>
      </c>
      <c r="V979" t="str">
        <f>IF(Table1[[#This Row],[Discount]]=0,"No Discount",IF(Table1[[#This Row],[Discount]]&lt;=0.1,"Low",IF(Table1[[#This Row],[Discount]]&lt;=0.2,"medium","high")))</f>
        <v>medium</v>
      </c>
    </row>
    <row r="980" spans="1:22" x14ac:dyDescent="0.3">
      <c r="A980" t="s">
        <v>1278</v>
      </c>
      <c r="B980" s="6">
        <v>45590</v>
      </c>
      <c r="C980" t="s">
        <v>154</v>
      </c>
      <c r="D980" t="s">
        <v>33</v>
      </c>
      <c r="E980" t="s">
        <v>66</v>
      </c>
      <c r="F980" t="s">
        <v>26</v>
      </c>
      <c r="G980" t="s">
        <v>41</v>
      </c>
      <c r="H980" t="s">
        <v>189</v>
      </c>
      <c r="I980">
        <v>371.82</v>
      </c>
      <c r="J980">
        <v>1</v>
      </c>
      <c r="K980">
        <v>0</v>
      </c>
      <c r="L980">
        <v>114.27</v>
      </c>
      <c r="M980" t="s">
        <v>105</v>
      </c>
      <c r="N980" t="s">
        <v>38</v>
      </c>
      <c r="O980" t="str">
        <f t="shared" si="30"/>
        <v>Bad</v>
      </c>
      <c r="P980">
        <f t="shared" si="31"/>
        <v>371.82</v>
      </c>
      <c r="Q980">
        <v>45590</v>
      </c>
      <c r="R980">
        <f>YEAR(Table1[[#This Row],[Order_Date_New]])</f>
        <v>2024</v>
      </c>
      <c r="S980">
        <f>MONTH(Table1[[#This Row],[Order_Date_New]])</f>
        <v>10</v>
      </c>
      <c r="T980" t="str">
        <f>TEXT(Table1[[#This Row],[Order_Date_New]],"mmmm")</f>
        <v>October</v>
      </c>
      <c r="U980">
        <f>Table1[[#This Row],[Profit]]/Table1[[#This Row],[Sales]]</f>
        <v>0.30732612554461836</v>
      </c>
      <c r="V980" t="str">
        <f>IF(Table1[[#This Row],[Discount]]=0,"No Discount",IF(Table1[[#This Row],[Discount]]&lt;=0.1,"Low",IF(Table1[[#This Row],[Discount]]&lt;=0.2,"medium","high")))</f>
        <v>No Discount</v>
      </c>
    </row>
    <row r="981" spans="1:22" x14ac:dyDescent="0.3">
      <c r="A981" t="s">
        <v>1279</v>
      </c>
      <c r="B981" s="6">
        <v>45869</v>
      </c>
      <c r="C981" t="s">
        <v>518</v>
      </c>
      <c r="D981" t="s">
        <v>53</v>
      </c>
      <c r="E981" t="s">
        <v>54</v>
      </c>
      <c r="F981" t="s">
        <v>26</v>
      </c>
      <c r="G981" t="s">
        <v>27</v>
      </c>
      <c r="H981" t="s">
        <v>28</v>
      </c>
      <c r="I981">
        <v>1609.85</v>
      </c>
      <c r="J981">
        <v>5</v>
      </c>
      <c r="K981">
        <v>0.3</v>
      </c>
      <c r="L981">
        <v>91.25</v>
      </c>
      <c r="M981" t="s">
        <v>170</v>
      </c>
      <c r="N981" t="s">
        <v>30</v>
      </c>
      <c r="O981" t="str">
        <f t="shared" si="30"/>
        <v>Bad</v>
      </c>
      <c r="P981">
        <f t="shared" si="31"/>
        <v>321.96999999999997</v>
      </c>
      <c r="Q981">
        <v>45869</v>
      </c>
      <c r="R981">
        <f>YEAR(Table1[[#This Row],[Order_Date_New]])</f>
        <v>2025</v>
      </c>
      <c r="S981">
        <f>MONTH(Table1[[#This Row],[Order_Date_New]])</f>
        <v>7</v>
      </c>
      <c r="T981" t="str">
        <f>TEXT(Table1[[#This Row],[Order_Date_New]],"mmmm")</f>
        <v>July</v>
      </c>
      <c r="U981">
        <f>Table1[[#This Row],[Profit]]/Table1[[#This Row],[Sales]]</f>
        <v>5.6682299593129801E-2</v>
      </c>
      <c r="V981" t="str">
        <f>IF(Table1[[#This Row],[Discount]]=0,"No Discount",IF(Table1[[#This Row],[Discount]]&lt;=0.1,"Low",IF(Table1[[#This Row],[Discount]]&lt;=0.2,"medium","high")))</f>
        <v>high</v>
      </c>
    </row>
    <row r="982" spans="1:22" x14ac:dyDescent="0.3">
      <c r="A982" t="s">
        <v>1280</v>
      </c>
      <c r="B982" s="6">
        <v>45967</v>
      </c>
      <c r="C982" t="s">
        <v>558</v>
      </c>
      <c r="D982" t="s">
        <v>24</v>
      </c>
      <c r="E982" t="s">
        <v>59</v>
      </c>
      <c r="F982" t="s">
        <v>26</v>
      </c>
      <c r="G982" t="s">
        <v>41</v>
      </c>
      <c r="H982" t="s">
        <v>42</v>
      </c>
      <c r="I982">
        <v>2520.1999999999998</v>
      </c>
      <c r="J982">
        <v>4</v>
      </c>
      <c r="K982">
        <v>0.1</v>
      </c>
      <c r="L982">
        <v>3.39</v>
      </c>
      <c r="M982" t="s">
        <v>105</v>
      </c>
      <c r="N982" t="s">
        <v>44</v>
      </c>
      <c r="O982" t="str">
        <f t="shared" si="30"/>
        <v>Bad</v>
      </c>
      <c r="P982">
        <f t="shared" si="31"/>
        <v>630.04999999999995</v>
      </c>
      <c r="Q982">
        <v>45967</v>
      </c>
      <c r="R982">
        <f>YEAR(Table1[[#This Row],[Order_Date_New]])</f>
        <v>2025</v>
      </c>
      <c r="S982">
        <f>MONTH(Table1[[#This Row],[Order_Date_New]])</f>
        <v>11</v>
      </c>
      <c r="T982" t="str">
        <f>TEXT(Table1[[#This Row],[Order_Date_New]],"mmmm")</f>
        <v>November</v>
      </c>
      <c r="U982">
        <f>Table1[[#This Row],[Profit]]/Table1[[#This Row],[Sales]]</f>
        <v>1.3451313387826363E-3</v>
      </c>
      <c r="V982" t="str">
        <f>IF(Table1[[#This Row],[Discount]]=0,"No Discount",IF(Table1[[#This Row],[Discount]]&lt;=0.1,"Low",IF(Table1[[#This Row],[Discount]]&lt;=0.2,"medium","high")))</f>
        <v>Low</v>
      </c>
    </row>
    <row r="983" spans="1:22" x14ac:dyDescent="0.3">
      <c r="A983" t="s">
        <v>1281</v>
      </c>
      <c r="B983" s="6">
        <v>45636</v>
      </c>
      <c r="C983" t="s">
        <v>135</v>
      </c>
      <c r="D983" t="s">
        <v>128</v>
      </c>
      <c r="E983" t="s">
        <v>146</v>
      </c>
      <c r="F983" t="s">
        <v>72</v>
      </c>
      <c r="G983" t="s">
        <v>111</v>
      </c>
      <c r="H983" t="s">
        <v>112</v>
      </c>
      <c r="I983">
        <v>2402.4699999999998</v>
      </c>
      <c r="J983">
        <v>7</v>
      </c>
      <c r="K983">
        <v>0.1</v>
      </c>
      <c r="L983">
        <v>300.33999999999997</v>
      </c>
      <c r="M983" t="s">
        <v>113</v>
      </c>
      <c r="N983" t="s">
        <v>44</v>
      </c>
      <c r="O983" t="str">
        <f t="shared" si="30"/>
        <v>Bad</v>
      </c>
      <c r="P983">
        <f t="shared" si="31"/>
        <v>343.21</v>
      </c>
      <c r="Q983">
        <v>45636</v>
      </c>
      <c r="R983">
        <f>YEAR(Table1[[#This Row],[Order_Date_New]])</f>
        <v>2024</v>
      </c>
      <c r="S983">
        <f>MONTH(Table1[[#This Row],[Order_Date_New]])</f>
        <v>12</v>
      </c>
      <c r="T983" t="str">
        <f>TEXT(Table1[[#This Row],[Order_Date_New]],"mmmm")</f>
        <v>December</v>
      </c>
      <c r="U983">
        <f>Table1[[#This Row],[Profit]]/Table1[[#This Row],[Sales]]</f>
        <v>0.12501300744650298</v>
      </c>
      <c r="V983" t="str">
        <f>IF(Table1[[#This Row],[Discount]]=0,"No Discount",IF(Table1[[#This Row],[Discount]]&lt;=0.1,"Low",IF(Table1[[#This Row],[Discount]]&lt;=0.2,"medium","high")))</f>
        <v>Low</v>
      </c>
    </row>
    <row r="984" spans="1:22" x14ac:dyDescent="0.3">
      <c r="A984" t="s">
        <v>1282</v>
      </c>
      <c r="B984" s="6">
        <v>45495</v>
      </c>
      <c r="C984" t="s">
        <v>224</v>
      </c>
      <c r="D984" t="s">
        <v>33</v>
      </c>
      <c r="E984" t="s">
        <v>34</v>
      </c>
      <c r="F984" t="s">
        <v>60</v>
      </c>
      <c r="G984" t="s">
        <v>61</v>
      </c>
      <c r="H984" t="s">
        <v>62</v>
      </c>
      <c r="I984">
        <v>4246.7</v>
      </c>
      <c r="J984">
        <v>10</v>
      </c>
      <c r="K984">
        <v>0.1</v>
      </c>
      <c r="L984">
        <v>1344.22</v>
      </c>
      <c r="M984" t="s">
        <v>49</v>
      </c>
      <c r="N984" t="s">
        <v>44</v>
      </c>
      <c r="O984" t="str">
        <f t="shared" si="30"/>
        <v>Bad</v>
      </c>
      <c r="P984">
        <f t="shared" si="31"/>
        <v>424.66999999999996</v>
      </c>
      <c r="Q984">
        <v>45495</v>
      </c>
      <c r="R984">
        <f>YEAR(Table1[[#This Row],[Order_Date_New]])</f>
        <v>2024</v>
      </c>
      <c r="S984">
        <f>MONTH(Table1[[#This Row],[Order_Date_New]])</f>
        <v>7</v>
      </c>
      <c r="T984" t="str">
        <f>TEXT(Table1[[#This Row],[Order_Date_New]],"mmmm")</f>
        <v>July</v>
      </c>
      <c r="U984">
        <f>Table1[[#This Row],[Profit]]/Table1[[#This Row],[Sales]]</f>
        <v>0.31653283726187392</v>
      </c>
      <c r="V984" t="str">
        <f>IF(Table1[[#This Row],[Discount]]=0,"No Discount",IF(Table1[[#This Row],[Discount]]&lt;=0.1,"Low",IF(Table1[[#This Row],[Discount]]&lt;=0.2,"medium","high")))</f>
        <v>Low</v>
      </c>
    </row>
    <row r="985" spans="1:22" x14ac:dyDescent="0.3">
      <c r="A985" t="s">
        <v>1283</v>
      </c>
      <c r="B985" s="6">
        <v>45583</v>
      </c>
      <c r="C985" t="s">
        <v>251</v>
      </c>
      <c r="D985" t="s">
        <v>128</v>
      </c>
      <c r="E985" t="s">
        <v>146</v>
      </c>
      <c r="F985" t="s">
        <v>26</v>
      </c>
      <c r="G985" t="s">
        <v>27</v>
      </c>
      <c r="H985" t="s">
        <v>200</v>
      </c>
      <c r="I985">
        <v>2540.31</v>
      </c>
      <c r="J985">
        <v>3</v>
      </c>
      <c r="K985">
        <v>0.15</v>
      </c>
      <c r="L985">
        <v>526.41999999999996</v>
      </c>
      <c r="M985" t="s">
        <v>105</v>
      </c>
      <c r="N985" t="s">
        <v>30</v>
      </c>
      <c r="O985" t="str">
        <f t="shared" si="30"/>
        <v>Bad</v>
      </c>
      <c r="P985">
        <f t="shared" si="31"/>
        <v>846.77</v>
      </c>
      <c r="Q985">
        <v>45583</v>
      </c>
      <c r="R985">
        <f>YEAR(Table1[[#This Row],[Order_Date_New]])</f>
        <v>2024</v>
      </c>
      <c r="S985">
        <f>MONTH(Table1[[#This Row],[Order_Date_New]])</f>
        <v>10</v>
      </c>
      <c r="T985" t="str">
        <f>TEXT(Table1[[#This Row],[Order_Date_New]],"mmmm")</f>
        <v>October</v>
      </c>
      <c r="U985">
        <f>Table1[[#This Row],[Profit]]/Table1[[#This Row],[Sales]]</f>
        <v>0.20722667705909908</v>
      </c>
      <c r="V985" t="str">
        <f>IF(Table1[[#This Row],[Discount]]=0,"No Discount",IF(Table1[[#This Row],[Discount]]&lt;=0.1,"Low",IF(Table1[[#This Row],[Discount]]&lt;=0.2,"medium","high")))</f>
        <v>medium</v>
      </c>
    </row>
    <row r="986" spans="1:22" x14ac:dyDescent="0.3">
      <c r="A986" t="s">
        <v>1284</v>
      </c>
      <c r="B986" s="6">
        <v>45667</v>
      </c>
      <c r="C986" t="s">
        <v>588</v>
      </c>
      <c r="D986" t="s">
        <v>53</v>
      </c>
      <c r="E986" t="s">
        <v>107</v>
      </c>
      <c r="F986" t="s">
        <v>60</v>
      </c>
      <c r="G986" t="s">
        <v>61</v>
      </c>
      <c r="H986" t="s">
        <v>62</v>
      </c>
      <c r="I986">
        <v>2358.15</v>
      </c>
      <c r="J986">
        <v>3</v>
      </c>
      <c r="K986">
        <v>0.25</v>
      </c>
      <c r="L986">
        <v>-342.56</v>
      </c>
      <c r="M986" t="s">
        <v>90</v>
      </c>
      <c r="N986" t="s">
        <v>38</v>
      </c>
      <c r="O986" t="str">
        <f t="shared" si="30"/>
        <v>Bad</v>
      </c>
      <c r="P986">
        <f t="shared" si="31"/>
        <v>786.05000000000007</v>
      </c>
      <c r="Q986">
        <v>45667</v>
      </c>
      <c r="R986">
        <f>YEAR(Table1[[#This Row],[Order_Date_New]])</f>
        <v>2025</v>
      </c>
      <c r="S986">
        <f>MONTH(Table1[[#This Row],[Order_Date_New]])</f>
        <v>1</v>
      </c>
      <c r="T986" t="str">
        <f>TEXT(Table1[[#This Row],[Order_Date_New]],"mmmm")</f>
        <v>January</v>
      </c>
      <c r="U986">
        <f>Table1[[#This Row],[Profit]]/Table1[[#This Row],[Sales]]</f>
        <v>-0.14526641647053834</v>
      </c>
      <c r="V986" t="str">
        <f>IF(Table1[[#This Row],[Discount]]=0,"No Discount",IF(Table1[[#This Row],[Discount]]&lt;=0.1,"Low",IF(Table1[[#This Row],[Discount]]&lt;=0.2,"medium","high")))</f>
        <v>high</v>
      </c>
    </row>
    <row r="987" spans="1:22" x14ac:dyDescent="0.3">
      <c r="A987" t="s">
        <v>1285</v>
      </c>
      <c r="B987" s="6">
        <v>45365</v>
      </c>
      <c r="C987" t="s">
        <v>329</v>
      </c>
      <c r="D987" t="s">
        <v>128</v>
      </c>
      <c r="E987" t="s">
        <v>202</v>
      </c>
      <c r="F987" t="s">
        <v>72</v>
      </c>
      <c r="G987" t="s">
        <v>88</v>
      </c>
      <c r="H987" t="s">
        <v>209</v>
      </c>
      <c r="I987">
        <v>1295.1600000000001</v>
      </c>
      <c r="J987">
        <v>2</v>
      </c>
      <c r="K987">
        <v>0.3</v>
      </c>
      <c r="L987">
        <v>62.67</v>
      </c>
      <c r="M987" t="s">
        <v>105</v>
      </c>
      <c r="N987" t="s">
        <v>30</v>
      </c>
      <c r="O987" t="str">
        <f t="shared" si="30"/>
        <v>Bad</v>
      </c>
      <c r="P987">
        <f t="shared" si="31"/>
        <v>647.58000000000004</v>
      </c>
      <c r="Q987">
        <v>45365</v>
      </c>
      <c r="R987">
        <f>YEAR(Table1[[#This Row],[Order_Date_New]])</f>
        <v>2024</v>
      </c>
      <c r="S987">
        <f>MONTH(Table1[[#This Row],[Order_Date_New]])</f>
        <v>3</v>
      </c>
      <c r="T987" t="str">
        <f>TEXT(Table1[[#This Row],[Order_Date_New]],"mmmm")</f>
        <v>March</v>
      </c>
      <c r="U987">
        <f>Table1[[#This Row],[Profit]]/Table1[[#This Row],[Sales]]</f>
        <v>4.8387843972945425E-2</v>
      </c>
      <c r="V987" t="str">
        <f>IF(Table1[[#This Row],[Discount]]=0,"No Discount",IF(Table1[[#This Row],[Discount]]&lt;=0.1,"Low",IF(Table1[[#This Row],[Discount]]&lt;=0.2,"medium","high")))</f>
        <v>high</v>
      </c>
    </row>
    <row r="988" spans="1:22" x14ac:dyDescent="0.3">
      <c r="A988" t="s">
        <v>1286</v>
      </c>
      <c r="B988" s="6">
        <v>45447</v>
      </c>
      <c r="C988" t="s">
        <v>563</v>
      </c>
      <c r="D988" t="s">
        <v>33</v>
      </c>
      <c r="E988" t="s">
        <v>34</v>
      </c>
      <c r="F988" t="s">
        <v>60</v>
      </c>
      <c r="G988" t="s">
        <v>98</v>
      </c>
      <c r="H988" t="s">
        <v>141</v>
      </c>
      <c r="I988">
        <v>299.45999999999998</v>
      </c>
      <c r="J988">
        <v>1</v>
      </c>
      <c r="K988">
        <v>0</v>
      </c>
      <c r="L988">
        <v>120.22</v>
      </c>
      <c r="M988" t="s">
        <v>90</v>
      </c>
      <c r="N988" t="s">
        <v>30</v>
      </c>
      <c r="O988" t="str">
        <f t="shared" si="30"/>
        <v>Bad</v>
      </c>
      <c r="P988">
        <f t="shared" si="31"/>
        <v>299.45999999999998</v>
      </c>
      <c r="Q988">
        <v>45447</v>
      </c>
      <c r="R988">
        <f>YEAR(Table1[[#This Row],[Order_Date_New]])</f>
        <v>2024</v>
      </c>
      <c r="S988">
        <f>MONTH(Table1[[#This Row],[Order_Date_New]])</f>
        <v>6</v>
      </c>
      <c r="T988" t="str">
        <f>TEXT(Table1[[#This Row],[Order_Date_New]],"mmmm")</f>
        <v>June</v>
      </c>
      <c r="U988">
        <f>Table1[[#This Row],[Profit]]/Table1[[#This Row],[Sales]]</f>
        <v>0.40145595405062451</v>
      </c>
      <c r="V988" t="str">
        <f>IF(Table1[[#This Row],[Discount]]=0,"No Discount",IF(Table1[[#This Row],[Discount]]&lt;=0.1,"Low",IF(Table1[[#This Row],[Discount]]&lt;=0.2,"medium","high")))</f>
        <v>No Discount</v>
      </c>
    </row>
    <row r="989" spans="1:22" x14ac:dyDescent="0.3">
      <c r="A989" t="s">
        <v>1287</v>
      </c>
      <c r="B989" s="6">
        <v>45637</v>
      </c>
      <c r="C989" t="s">
        <v>186</v>
      </c>
      <c r="D989" t="s">
        <v>128</v>
      </c>
      <c r="E989" t="s">
        <v>202</v>
      </c>
      <c r="F989" t="s">
        <v>26</v>
      </c>
      <c r="G989" t="s">
        <v>35</v>
      </c>
      <c r="H989" t="s">
        <v>173</v>
      </c>
      <c r="I989">
        <v>8178.66</v>
      </c>
      <c r="J989">
        <v>7</v>
      </c>
      <c r="K989">
        <v>0.05</v>
      </c>
      <c r="L989">
        <v>316.08</v>
      </c>
      <c r="M989" t="s">
        <v>68</v>
      </c>
      <c r="N989" t="s">
        <v>38</v>
      </c>
      <c r="O989" t="str">
        <f t="shared" si="30"/>
        <v>Bad</v>
      </c>
      <c r="P989">
        <f t="shared" si="31"/>
        <v>1168.3799999999999</v>
      </c>
      <c r="Q989">
        <v>45637</v>
      </c>
      <c r="R989">
        <f>YEAR(Table1[[#This Row],[Order_Date_New]])</f>
        <v>2024</v>
      </c>
      <c r="S989">
        <f>MONTH(Table1[[#This Row],[Order_Date_New]])</f>
        <v>12</v>
      </c>
      <c r="T989" t="str">
        <f>TEXT(Table1[[#This Row],[Order_Date_New]],"mmmm")</f>
        <v>December</v>
      </c>
      <c r="U989">
        <f>Table1[[#This Row],[Profit]]/Table1[[#This Row],[Sales]]</f>
        <v>3.8646917710236151E-2</v>
      </c>
      <c r="V989" t="str">
        <f>IF(Table1[[#This Row],[Discount]]=0,"No Discount",IF(Table1[[#This Row],[Discount]]&lt;=0.1,"Low",IF(Table1[[#This Row],[Discount]]&lt;=0.2,"medium","high")))</f>
        <v>Low</v>
      </c>
    </row>
    <row r="990" spans="1:22" x14ac:dyDescent="0.3">
      <c r="A990" t="s">
        <v>1288</v>
      </c>
      <c r="B990" s="6">
        <v>45959</v>
      </c>
      <c r="C990" t="s">
        <v>115</v>
      </c>
      <c r="D990" t="s">
        <v>53</v>
      </c>
      <c r="E990" t="s">
        <v>77</v>
      </c>
      <c r="F990" t="s">
        <v>72</v>
      </c>
      <c r="G990" t="s">
        <v>88</v>
      </c>
      <c r="H990" t="s">
        <v>119</v>
      </c>
      <c r="I990">
        <v>1793.54</v>
      </c>
      <c r="J990">
        <v>7</v>
      </c>
      <c r="K990">
        <v>0.25</v>
      </c>
      <c r="L990">
        <v>56.25</v>
      </c>
      <c r="M990" t="s">
        <v>90</v>
      </c>
      <c r="N990" t="s">
        <v>80</v>
      </c>
      <c r="O990" t="str">
        <f t="shared" si="30"/>
        <v>Bad</v>
      </c>
      <c r="P990">
        <f t="shared" si="31"/>
        <v>256.21999999999997</v>
      </c>
      <c r="Q990">
        <v>45959</v>
      </c>
      <c r="R990">
        <f>YEAR(Table1[[#This Row],[Order_Date_New]])</f>
        <v>2025</v>
      </c>
      <c r="S990">
        <f>MONTH(Table1[[#This Row],[Order_Date_New]])</f>
        <v>10</v>
      </c>
      <c r="T990" t="str">
        <f>TEXT(Table1[[#This Row],[Order_Date_New]],"mmmm")</f>
        <v>October</v>
      </c>
      <c r="U990">
        <f>Table1[[#This Row],[Profit]]/Table1[[#This Row],[Sales]]</f>
        <v>3.13625567313804E-2</v>
      </c>
      <c r="V990" t="str">
        <f>IF(Table1[[#This Row],[Discount]]=0,"No Discount",IF(Table1[[#This Row],[Discount]]&lt;=0.1,"Low",IF(Table1[[#This Row],[Discount]]&lt;=0.2,"medium","high")))</f>
        <v>high</v>
      </c>
    </row>
    <row r="991" spans="1:22" x14ac:dyDescent="0.3">
      <c r="A991" t="s">
        <v>1289</v>
      </c>
      <c r="B991" s="6">
        <v>45711</v>
      </c>
      <c r="C991" t="s">
        <v>347</v>
      </c>
      <c r="D991" t="s">
        <v>33</v>
      </c>
      <c r="E991" t="s">
        <v>118</v>
      </c>
      <c r="F991" t="s">
        <v>72</v>
      </c>
      <c r="G991" t="s">
        <v>88</v>
      </c>
      <c r="H991" t="s">
        <v>209</v>
      </c>
      <c r="I991">
        <v>7369.3</v>
      </c>
      <c r="J991">
        <v>10</v>
      </c>
      <c r="K991">
        <v>0.1</v>
      </c>
      <c r="L991">
        <v>128.79</v>
      </c>
      <c r="M991" t="s">
        <v>68</v>
      </c>
      <c r="N991" t="s">
        <v>30</v>
      </c>
      <c r="O991" t="str">
        <f t="shared" si="30"/>
        <v>Good</v>
      </c>
      <c r="P991">
        <f t="shared" si="31"/>
        <v>736.93000000000006</v>
      </c>
      <c r="Q991">
        <v>45711</v>
      </c>
      <c r="R991">
        <f>YEAR(Table1[[#This Row],[Order_Date_New]])</f>
        <v>2025</v>
      </c>
      <c r="S991">
        <f>MONTH(Table1[[#This Row],[Order_Date_New]])</f>
        <v>2</v>
      </c>
      <c r="T991" t="str">
        <f>TEXT(Table1[[#This Row],[Order_Date_New]],"mmmm")</f>
        <v>February</v>
      </c>
      <c r="U991">
        <f>Table1[[#This Row],[Profit]]/Table1[[#This Row],[Sales]]</f>
        <v>1.7476558153420269E-2</v>
      </c>
      <c r="V991" t="str">
        <f>IF(Table1[[#This Row],[Discount]]=0,"No Discount",IF(Table1[[#This Row],[Discount]]&lt;=0.1,"Low",IF(Table1[[#This Row],[Discount]]&lt;=0.2,"medium","high")))</f>
        <v>Low</v>
      </c>
    </row>
    <row r="992" spans="1:22" x14ac:dyDescent="0.3">
      <c r="A992" t="s">
        <v>1290</v>
      </c>
      <c r="B992" s="6">
        <v>45370</v>
      </c>
      <c r="C992" t="s">
        <v>266</v>
      </c>
      <c r="D992" t="s">
        <v>53</v>
      </c>
      <c r="E992" t="s">
        <v>54</v>
      </c>
      <c r="F992" t="s">
        <v>26</v>
      </c>
      <c r="G992" t="s">
        <v>27</v>
      </c>
      <c r="H992" t="s">
        <v>200</v>
      </c>
      <c r="I992">
        <v>7309.68</v>
      </c>
      <c r="J992">
        <v>8</v>
      </c>
      <c r="K992">
        <v>0</v>
      </c>
      <c r="L992">
        <v>2359.42</v>
      </c>
      <c r="M992" t="s">
        <v>49</v>
      </c>
      <c r="N992" t="s">
        <v>30</v>
      </c>
      <c r="O992" t="str">
        <f t="shared" si="30"/>
        <v>Good</v>
      </c>
      <c r="P992">
        <f t="shared" si="31"/>
        <v>913.71</v>
      </c>
      <c r="Q992">
        <v>45370</v>
      </c>
      <c r="R992">
        <f>YEAR(Table1[[#This Row],[Order_Date_New]])</f>
        <v>2024</v>
      </c>
      <c r="S992">
        <f>MONTH(Table1[[#This Row],[Order_Date_New]])</f>
        <v>3</v>
      </c>
      <c r="T992" t="str">
        <f>TEXT(Table1[[#This Row],[Order_Date_New]],"mmmm")</f>
        <v>March</v>
      </c>
      <c r="U992">
        <f>Table1[[#This Row],[Profit]]/Table1[[#This Row],[Sales]]</f>
        <v>0.32278020378457062</v>
      </c>
      <c r="V992" t="str">
        <f>IF(Table1[[#This Row],[Discount]]=0,"No Discount",IF(Table1[[#This Row],[Discount]]&lt;=0.1,"Low",IF(Table1[[#This Row],[Discount]]&lt;=0.2,"medium","high")))</f>
        <v>No Discount</v>
      </c>
    </row>
    <row r="993" spans="1:22" x14ac:dyDescent="0.3">
      <c r="A993" t="s">
        <v>1291</v>
      </c>
      <c r="B993" s="6">
        <v>45998</v>
      </c>
      <c r="C993" t="s">
        <v>1151</v>
      </c>
      <c r="D993" t="s">
        <v>128</v>
      </c>
      <c r="E993" t="s">
        <v>146</v>
      </c>
      <c r="F993" t="s">
        <v>26</v>
      </c>
      <c r="G993" t="s">
        <v>41</v>
      </c>
      <c r="H993" t="s">
        <v>42</v>
      </c>
      <c r="I993">
        <v>1539.21</v>
      </c>
      <c r="J993">
        <v>3</v>
      </c>
      <c r="K993">
        <v>0.15</v>
      </c>
      <c r="L993">
        <v>431.45</v>
      </c>
      <c r="M993" t="s">
        <v>29</v>
      </c>
      <c r="N993" t="s">
        <v>44</v>
      </c>
      <c r="O993" t="str">
        <f t="shared" si="30"/>
        <v>Bad</v>
      </c>
      <c r="P993">
        <f t="shared" si="31"/>
        <v>513.07000000000005</v>
      </c>
      <c r="Q993">
        <v>45998</v>
      </c>
      <c r="R993">
        <f>YEAR(Table1[[#This Row],[Order_Date_New]])</f>
        <v>2025</v>
      </c>
      <c r="S993">
        <f>MONTH(Table1[[#This Row],[Order_Date_New]])</f>
        <v>12</v>
      </c>
      <c r="T993" t="str">
        <f>TEXT(Table1[[#This Row],[Order_Date_New]],"mmmm")</f>
        <v>December</v>
      </c>
      <c r="U993">
        <f>Table1[[#This Row],[Profit]]/Table1[[#This Row],[Sales]]</f>
        <v>0.28030613106723579</v>
      </c>
      <c r="V993" t="str">
        <f>IF(Table1[[#This Row],[Discount]]=0,"No Discount",IF(Table1[[#This Row],[Discount]]&lt;=0.1,"Low",IF(Table1[[#This Row],[Discount]]&lt;=0.2,"medium","high")))</f>
        <v>medium</v>
      </c>
    </row>
    <row r="994" spans="1:22" x14ac:dyDescent="0.3">
      <c r="A994" t="s">
        <v>1292</v>
      </c>
      <c r="B994" s="6">
        <v>45866</v>
      </c>
      <c r="C994" t="s">
        <v>327</v>
      </c>
      <c r="D994" t="s">
        <v>53</v>
      </c>
      <c r="E994" t="s">
        <v>54</v>
      </c>
      <c r="F994" t="s">
        <v>60</v>
      </c>
      <c r="G994" t="s">
        <v>61</v>
      </c>
      <c r="H994" t="s">
        <v>62</v>
      </c>
      <c r="I994">
        <v>2703.12</v>
      </c>
      <c r="J994">
        <v>7</v>
      </c>
      <c r="K994">
        <v>0</v>
      </c>
      <c r="L994">
        <v>940.01</v>
      </c>
      <c r="M994" t="s">
        <v>49</v>
      </c>
      <c r="N994" t="s">
        <v>80</v>
      </c>
      <c r="O994" t="str">
        <f t="shared" si="30"/>
        <v>Bad</v>
      </c>
      <c r="P994">
        <f t="shared" si="31"/>
        <v>386.15999999999997</v>
      </c>
      <c r="Q994">
        <v>45866</v>
      </c>
      <c r="R994">
        <f>YEAR(Table1[[#This Row],[Order_Date_New]])</f>
        <v>2025</v>
      </c>
      <c r="S994">
        <f>MONTH(Table1[[#This Row],[Order_Date_New]])</f>
        <v>7</v>
      </c>
      <c r="T994" t="str">
        <f>TEXT(Table1[[#This Row],[Order_Date_New]],"mmmm")</f>
        <v>July</v>
      </c>
      <c r="U994">
        <f>Table1[[#This Row],[Profit]]/Table1[[#This Row],[Sales]]</f>
        <v>0.34775000739885764</v>
      </c>
      <c r="V994" t="str">
        <f>IF(Table1[[#This Row],[Discount]]=0,"No Discount",IF(Table1[[#This Row],[Discount]]&lt;=0.1,"Low",IF(Table1[[#This Row],[Discount]]&lt;=0.2,"medium","high")))</f>
        <v>No Discount</v>
      </c>
    </row>
    <row r="995" spans="1:22" x14ac:dyDescent="0.3">
      <c r="A995" t="s">
        <v>1293</v>
      </c>
      <c r="B995" s="6">
        <v>45310</v>
      </c>
      <c r="C995" t="s">
        <v>258</v>
      </c>
      <c r="D995" t="s">
        <v>53</v>
      </c>
      <c r="E995" t="s">
        <v>107</v>
      </c>
      <c r="F995" t="s">
        <v>60</v>
      </c>
      <c r="G995" t="s">
        <v>61</v>
      </c>
      <c r="H995" t="s">
        <v>122</v>
      </c>
      <c r="I995">
        <v>5973.3</v>
      </c>
      <c r="J995">
        <v>9</v>
      </c>
      <c r="K995">
        <v>0.1</v>
      </c>
      <c r="L995">
        <v>867.98</v>
      </c>
      <c r="M995" t="s">
        <v>68</v>
      </c>
      <c r="N995" t="s">
        <v>80</v>
      </c>
      <c r="O995" t="str">
        <f t="shared" si="30"/>
        <v>Good</v>
      </c>
      <c r="P995">
        <f t="shared" si="31"/>
        <v>663.7</v>
      </c>
      <c r="Q995">
        <v>45310</v>
      </c>
      <c r="R995">
        <f>YEAR(Table1[[#This Row],[Order_Date_New]])</f>
        <v>2024</v>
      </c>
      <c r="S995">
        <f>MONTH(Table1[[#This Row],[Order_Date_New]])</f>
        <v>1</v>
      </c>
      <c r="T995" t="str">
        <f>TEXT(Table1[[#This Row],[Order_Date_New]],"mmmm")</f>
        <v>January</v>
      </c>
      <c r="U995">
        <f>Table1[[#This Row],[Profit]]/Table1[[#This Row],[Sales]]</f>
        <v>0.14530996266720239</v>
      </c>
      <c r="V995" t="str">
        <f>IF(Table1[[#This Row],[Discount]]=0,"No Discount",IF(Table1[[#This Row],[Discount]]&lt;=0.1,"Low",IF(Table1[[#This Row],[Discount]]&lt;=0.2,"medium","high")))</f>
        <v>Low</v>
      </c>
    </row>
    <row r="996" spans="1:22" x14ac:dyDescent="0.3">
      <c r="A996" t="s">
        <v>1294</v>
      </c>
      <c r="B996" s="6">
        <v>45855</v>
      </c>
      <c r="C996" t="s">
        <v>315</v>
      </c>
      <c r="D996" t="s">
        <v>24</v>
      </c>
      <c r="E996" t="s">
        <v>84</v>
      </c>
      <c r="F996" t="s">
        <v>72</v>
      </c>
      <c r="G996" t="s">
        <v>111</v>
      </c>
      <c r="H996" t="s">
        <v>112</v>
      </c>
      <c r="I996">
        <v>5162.08</v>
      </c>
      <c r="J996">
        <v>7</v>
      </c>
      <c r="K996">
        <v>0.15</v>
      </c>
      <c r="L996">
        <v>-74.239999999999995</v>
      </c>
      <c r="M996" t="s">
        <v>29</v>
      </c>
      <c r="N996" t="s">
        <v>80</v>
      </c>
      <c r="O996" t="str">
        <f t="shared" si="30"/>
        <v>Bad</v>
      </c>
      <c r="P996">
        <f t="shared" si="31"/>
        <v>737.43999999999994</v>
      </c>
      <c r="Q996">
        <v>45855</v>
      </c>
      <c r="R996">
        <f>YEAR(Table1[[#This Row],[Order_Date_New]])</f>
        <v>2025</v>
      </c>
      <c r="S996">
        <f>MONTH(Table1[[#This Row],[Order_Date_New]])</f>
        <v>7</v>
      </c>
      <c r="T996" t="str">
        <f>TEXT(Table1[[#This Row],[Order_Date_New]],"mmmm")</f>
        <v>July</v>
      </c>
      <c r="U996">
        <f>Table1[[#This Row],[Profit]]/Table1[[#This Row],[Sales]]</f>
        <v>-1.4381799584663546E-2</v>
      </c>
      <c r="V996" t="str">
        <f>IF(Table1[[#This Row],[Discount]]=0,"No Discount",IF(Table1[[#This Row],[Discount]]&lt;=0.1,"Low",IF(Table1[[#This Row],[Discount]]&lt;=0.2,"medium","high")))</f>
        <v>medium</v>
      </c>
    </row>
    <row r="997" spans="1:22" x14ac:dyDescent="0.3">
      <c r="A997" t="s">
        <v>1295</v>
      </c>
      <c r="B997" s="6">
        <v>45698</v>
      </c>
      <c r="C997" t="s">
        <v>92</v>
      </c>
      <c r="D997" t="s">
        <v>33</v>
      </c>
      <c r="E997" t="s">
        <v>48</v>
      </c>
      <c r="F997" t="s">
        <v>26</v>
      </c>
      <c r="G997" t="s">
        <v>41</v>
      </c>
      <c r="H997" t="s">
        <v>108</v>
      </c>
      <c r="I997">
        <v>1363.59</v>
      </c>
      <c r="J997">
        <v>3</v>
      </c>
      <c r="K997">
        <v>0.1</v>
      </c>
      <c r="L997">
        <v>470.13</v>
      </c>
      <c r="M997" t="s">
        <v>43</v>
      </c>
      <c r="N997" t="s">
        <v>44</v>
      </c>
      <c r="O997" t="str">
        <f t="shared" si="30"/>
        <v>Bad</v>
      </c>
      <c r="P997">
        <f t="shared" si="31"/>
        <v>454.53</v>
      </c>
      <c r="Q997">
        <v>45698</v>
      </c>
      <c r="R997">
        <f>YEAR(Table1[[#This Row],[Order_Date_New]])</f>
        <v>2025</v>
      </c>
      <c r="S997">
        <f>MONTH(Table1[[#This Row],[Order_Date_New]])</f>
        <v>2</v>
      </c>
      <c r="T997" t="str">
        <f>TEXT(Table1[[#This Row],[Order_Date_New]],"mmmm")</f>
        <v>February</v>
      </c>
      <c r="U997">
        <f>Table1[[#This Row],[Profit]]/Table1[[#This Row],[Sales]]</f>
        <v>0.34477372230655845</v>
      </c>
      <c r="V997" t="str">
        <f>IF(Table1[[#This Row],[Discount]]=0,"No Discount",IF(Table1[[#This Row],[Discount]]&lt;=0.1,"Low",IF(Table1[[#This Row],[Discount]]&lt;=0.2,"medium","high")))</f>
        <v>Low</v>
      </c>
    </row>
    <row r="998" spans="1:22" x14ac:dyDescent="0.3">
      <c r="A998" t="s">
        <v>1296</v>
      </c>
      <c r="B998" s="6">
        <v>45418</v>
      </c>
      <c r="C998" t="s">
        <v>733</v>
      </c>
      <c r="D998" t="s">
        <v>53</v>
      </c>
      <c r="E998" t="s">
        <v>77</v>
      </c>
      <c r="F998" t="s">
        <v>72</v>
      </c>
      <c r="G998" t="s">
        <v>111</v>
      </c>
      <c r="H998" t="s">
        <v>112</v>
      </c>
      <c r="I998">
        <v>4257.6099999999997</v>
      </c>
      <c r="J998">
        <v>7</v>
      </c>
      <c r="K998">
        <v>0.2</v>
      </c>
      <c r="L998">
        <v>885.3</v>
      </c>
      <c r="M998" t="s">
        <v>113</v>
      </c>
      <c r="N998" t="s">
        <v>30</v>
      </c>
      <c r="O998" t="str">
        <f t="shared" si="30"/>
        <v>Bad</v>
      </c>
      <c r="P998">
        <f t="shared" si="31"/>
        <v>608.2299999999999</v>
      </c>
      <c r="Q998">
        <v>45418</v>
      </c>
      <c r="R998">
        <f>YEAR(Table1[[#This Row],[Order_Date_New]])</f>
        <v>2024</v>
      </c>
      <c r="S998">
        <f>MONTH(Table1[[#This Row],[Order_Date_New]])</f>
        <v>5</v>
      </c>
      <c r="T998" t="str">
        <f>TEXT(Table1[[#This Row],[Order_Date_New]],"mmmm")</f>
        <v>May</v>
      </c>
      <c r="U998">
        <f>Table1[[#This Row],[Profit]]/Table1[[#This Row],[Sales]]</f>
        <v>0.2079335589685293</v>
      </c>
      <c r="V998" t="str">
        <f>IF(Table1[[#This Row],[Discount]]=0,"No Discount",IF(Table1[[#This Row],[Discount]]&lt;=0.1,"Low",IF(Table1[[#This Row],[Discount]]&lt;=0.2,"medium","high")))</f>
        <v>medium</v>
      </c>
    </row>
    <row r="999" spans="1:22" x14ac:dyDescent="0.3">
      <c r="A999" t="s">
        <v>1297</v>
      </c>
      <c r="B999" s="6">
        <v>45312</v>
      </c>
      <c r="C999" t="s">
        <v>290</v>
      </c>
      <c r="D999" t="s">
        <v>33</v>
      </c>
      <c r="E999" t="s">
        <v>34</v>
      </c>
      <c r="F999" t="s">
        <v>60</v>
      </c>
      <c r="G999" t="s">
        <v>61</v>
      </c>
      <c r="H999" t="s">
        <v>122</v>
      </c>
      <c r="I999">
        <v>2930.27</v>
      </c>
      <c r="J999">
        <v>7</v>
      </c>
      <c r="K999">
        <v>0</v>
      </c>
      <c r="L999">
        <v>1168.75</v>
      </c>
      <c r="M999" t="s">
        <v>90</v>
      </c>
      <c r="N999" t="s">
        <v>80</v>
      </c>
      <c r="O999" t="str">
        <f t="shared" si="30"/>
        <v>Bad</v>
      </c>
      <c r="P999">
        <f t="shared" si="31"/>
        <v>418.61</v>
      </c>
      <c r="Q999">
        <v>45312</v>
      </c>
      <c r="R999">
        <f>YEAR(Table1[[#This Row],[Order_Date_New]])</f>
        <v>2024</v>
      </c>
      <c r="S999">
        <f>MONTH(Table1[[#This Row],[Order_Date_New]])</f>
        <v>1</v>
      </c>
      <c r="T999" t="str">
        <f>TEXT(Table1[[#This Row],[Order_Date_New]],"mmmm")</f>
        <v>January</v>
      </c>
      <c r="U999">
        <f>Table1[[#This Row],[Profit]]/Table1[[#This Row],[Sales]]</f>
        <v>0.3988540305159593</v>
      </c>
      <c r="V999" t="str">
        <f>IF(Table1[[#This Row],[Discount]]=0,"No Discount",IF(Table1[[#This Row],[Discount]]&lt;=0.1,"Low",IF(Table1[[#This Row],[Discount]]&lt;=0.2,"medium","high")))</f>
        <v>No Discount</v>
      </c>
    </row>
    <row r="1000" spans="1:22" x14ac:dyDescent="0.3">
      <c r="A1000" t="s">
        <v>1298</v>
      </c>
      <c r="B1000" s="6">
        <v>45900</v>
      </c>
      <c r="C1000" t="s">
        <v>175</v>
      </c>
      <c r="D1000" t="s">
        <v>53</v>
      </c>
      <c r="E1000" t="s">
        <v>87</v>
      </c>
      <c r="F1000" t="s">
        <v>60</v>
      </c>
      <c r="G1000" t="s">
        <v>61</v>
      </c>
      <c r="H1000" t="s">
        <v>122</v>
      </c>
      <c r="I1000">
        <v>3425.5</v>
      </c>
      <c r="J1000">
        <v>10</v>
      </c>
      <c r="K1000">
        <v>0.2</v>
      </c>
      <c r="L1000">
        <v>657.03</v>
      </c>
      <c r="M1000" t="s">
        <v>133</v>
      </c>
      <c r="N1000" t="s">
        <v>30</v>
      </c>
      <c r="O1000" t="str">
        <f t="shared" si="30"/>
        <v>Bad</v>
      </c>
      <c r="P1000">
        <f t="shared" si="31"/>
        <v>342.55</v>
      </c>
      <c r="Q1000">
        <v>45900</v>
      </c>
      <c r="R1000">
        <f>YEAR(Table1[[#This Row],[Order_Date_New]])</f>
        <v>2025</v>
      </c>
      <c r="S1000">
        <f>MONTH(Table1[[#This Row],[Order_Date_New]])</f>
        <v>8</v>
      </c>
      <c r="T1000" t="str">
        <f>TEXT(Table1[[#This Row],[Order_Date_New]],"mmmm")</f>
        <v>August</v>
      </c>
      <c r="U1000">
        <f>Table1[[#This Row],[Profit]]/Table1[[#This Row],[Sales]]</f>
        <v>0.19180557582834623</v>
      </c>
      <c r="V1000" t="str">
        <f>IF(Table1[[#This Row],[Discount]]=0,"No Discount",IF(Table1[[#This Row],[Discount]]&lt;=0.1,"Low",IF(Table1[[#This Row],[Discount]]&lt;=0.2,"medium","high")))</f>
        <v>medium</v>
      </c>
    </row>
    <row r="1001" spans="1:22" x14ac:dyDescent="0.3">
      <c r="A1001" t="s">
        <v>1299</v>
      </c>
      <c r="B1001" s="6">
        <v>45611</v>
      </c>
      <c r="C1001" t="s">
        <v>199</v>
      </c>
      <c r="D1001" t="s">
        <v>33</v>
      </c>
      <c r="E1001" t="s">
        <v>48</v>
      </c>
      <c r="F1001" t="s">
        <v>60</v>
      </c>
      <c r="G1001" t="s">
        <v>98</v>
      </c>
      <c r="H1001" t="s">
        <v>141</v>
      </c>
      <c r="I1001">
        <v>5809.85</v>
      </c>
      <c r="J1001">
        <v>5</v>
      </c>
      <c r="K1001">
        <v>0.15</v>
      </c>
      <c r="L1001">
        <v>1528.75</v>
      </c>
      <c r="M1001" t="s">
        <v>68</v>
      </c>
      <c r="N1001" t="s">
        <v>30</v>
      </c>
      <c r="O1001" t="str">
        <f t="shared" si="30"/>
        <v>Bad</v>
      </c>
      <c r="P1001">
        <f t="shared" si="31"/>
        <v>1161.97</v>
      </c>
      <c r="Q1001">
        <v>45611</v>
      </c>
      <c r="R1001">
        <f>YEAR(Table1[[#This Row],[Order_Date_New]])</f>
        <v>2024</v>
      </c>
      <c r="S1001">
        <f>MONTH(Table1[[#This Row],[Order_Date_New]])</f>
        <v>11</v>
      </c>
      <c r="T1001" t="str">
        <f>TEXT(Table1[[#This Row],[Order_Date_New]],"mmmm")</f>
        <v>November</v>
      </c>
      <c r="U1001">
        <f>Table1[[#This Row],[Profit]]/Table1[[#This Row],[Sales]]</f>
        <v>0.26313071766052476</v>
      </c>
      <c r="V1001" t="str">
        <f>IF(Table1[[#This Row],[Discount]]=0,"No Discount",IF(Table1[[#This Row],[Discount]]&lt;=0.1,"Low",IF(Table1[[#This Row],[Discount]]&lt;=0.2,"medium","high")))</f>
        <v>medium</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F31C5-B5DC-43F6-954A-9F624E6D6B7F}">
  <dimension ref="A3:F20"/>
  <sheetViews>
    <sheetView workbookViewId="0">
      <selection activeCell="F10" sqref="F10"/>
    </sheetView>
  </sheetViews>
  <sheetFormatPr defaultRowHeight="14.4" x14ac:dyDescent="0.3"/>
  <cols>
    <col min="1" max="1" width="14.77734375" bestFit="1" customWidth="1"/>
    <col min="2" max="2" width="22.44140625" bestFit="1" customWidth="1"/>
    <col min="3" max="3" width="19.21875" bestFit="1" customWidth="1"/>
    <col min="5" max="5" width="16.21875" bestFit="1" customWidth="1"/>
    <col min="6" max="6" width="6.44140625" bestFit="1" customWidth="1"/>
  </cols>
  <sheetData>
    <row r="3" spans="1:6" x14ac:dyDescent="0.3">
      <c r="A3" s="7" t="s">
        <v>1325</v>
      </c>
      <c r="B3" t="s">
        <v>1301</v>
      </c>
    </row>
    <row r="4" spans="1:6" x14ac:dyDescent="0.3">
      <c r="B4" s="9">
        <v>3465455.060000001</v>
      </c>
      <c r="E4" s="12" t="s">
        <v>1332</v>
      </c>
      <c r="F4" s="13"/>
    </row>
    <row r="5" spans="1:6" x14ac:dyDescent="0.3">
      <c r="E5" t="s">
        <v>45</v>
      </c>
      <c r="F5" s="9">
        <f>GETPIVOTDATA("Sales",KPI!$B$3)</f>
        <v>3465455.060000001</v>
      </c>
    </row>
    <row r="6" spans="1:6" x14ac:dyDescent="0.3">
      <c r="A6" s="7" t="s">
        <v>1327</v>
      </c>
      <c r="B6" t="s">
        <v>1314</v>
      </c>
      <c r="E6" t="s">
        <v>50</v>
      </c>
      <c r="F6" s="5">
        <f>GETPIVOTDATA("Profit",KPI!$B$6)</f>
        <v>359412.61000000028</v>
      </c>
    </row>
    <row r="7" spans="1:6" x14ac:dyDescent="0.3">
      <c r="B7" s="5">
        <v>359412.61000000028</v>
      </c>
      <c r="E7" t="s">
        <v>56</v>
      </c>
      <c r="F7">
        <f>GETPIVOTDATA("Order ID",KPI!$B$13)</f>
        <v>1000</v>
      </c>
    </row>
    <row r="8" spans="1:6" x14ac:dyDescent="0.3">
      <c r="E8" t="s">
        <v>63</v>
      </c>
      <c r="F8">
        <f>GETPIVOTDATA("Quantity",KPI!$B$16)</f>
        <v>5541</v>
      </c>
    </row>
    <row r="9" spans="1:6" x14ac:dyDescent="0.3">
      <c r="E9" t="s">
        <v>69</v>
      </c>
      <c r="F9" s="11">
        <f>GETPIVOTDATA("Sales",KPI!$B$10)</f>
        <v>3465.4550600000011</v>
      </c>
    </row>
    <row r="10" spans="1:6" x14ac:dyDescent="0.3">
      <c r="A10" s="7" t="s">
        <v>1328</v>
      </c>
      <c r="B10" t="s">
        <v>1326</v>
      </c>
      <c r="E10" t="s">
        <v>81</v>
      </c>
      <c r="F10" s="10">
        <f>GETPIVOTDATA("profit_margin",KPI!$B$19)</f>
        <v>0.10481829443227618</v>
      </c>
    </row>
    <row r="11" spans="1:6" x14ac:dyDescent="0.3">
      <c r="B11" s="8">
        <v>3465.4550600000011</v>
      </c>
    </row>
    <row r="13" spans="1:6" x14ac:dyDescent="0.3">
      <c r="A13" s="7" t="s">
        <v>1329</v>
      </c>
      <c r="B13" t="s">
        <v>1321</v>
      </c>
    </row>
    <row r="14" spans="1:6" x14ac:dyDescent="0.3">
      <c r="B14" s="14">
        <v>1000</v>
      </c>
    </row>
    <row r="16" spans="1:6" x14ac:dyDescent="0.3">
      <c r="A16" s="7" t="s">
        <v>1330</v>
      </c>
      <c r="B16" t="s">
        <v>1323</v>
      </c>
    </row>
    <row r="17" spans="1:2" x14ac:dyDescent="0.3">
      <c r="B17" s="14">
        <v>5541</v>
      </c>
    </row>
    <row r="19" spans="1:2" x14ac:dyDescent="0.3">
      <c r="A19" s="7" t="s">
        <v>1331</v>
      </c>
      <c r="B19" t="s">
        <v>1315</v>
      </c>
    </row>
    <row r="20" spans="1:2" x14ac:dyDescent="0.3">
      <c r="B20" s="3">
        <v>0.10481829443227618</v>
      </c>
    </row>
  </sheetData>
  <mergeCells count="1">
    <mergeCell ref="E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17"/>
  <sheetViews>
    <sheetView showRowColHeaders="0" zoomScaleNormal="100" workbookViewId="0">
      <selection activeCell="H18" sqref="H18"/>
    </sheetView>
  </sheetViews>
  <sheetFormatPr defaultColWidth="8.6640625" defaultRowHeight="14.4" x14ac:dyDescent="0.3"/>
  <cols>
    <col min="1" max="1" width="12.5546875" customWidth="1"/>
    <col min="2" max="2" width="22.44140625" customWidth="1"/>
  </cols>
  <sheetData>
    <row r="2" spans="1:2" x14ac:dyDescent="0.3">
      <c r="A2" s="7" t="s">
        <v>1300</v>
      </c>
    </row>
    <row r="4" spans="1:2" x14ac:dyDescent="0.3">
      <c r="A4" s="1" t="s">
        <v>1318</v>
      </c>
      <c r="B4" t="s">
        <v>1301</v>
      </c>
    </row>
    <row r="5" spans="1:2" x14ac:dyDescent="0.3">
      <c r="A5" s="2" t="s">
        <v>1302</v>
      </c>
      <c r="B5" s="5">
        <v>355999.32999999996</v>
      </c>
    </row>
    <row r="6" spans="1:2" x14ac:dyDescent="0.3">
      <c r="A6" s="2" t="s">
        <v>1303</v>
      </c>
      <c r="B6" s="5">
        <v>140042.73000000001</v>
      </c>
    </row>
    <row r="7" spans="1:2" x14ac:dyDescent="0.3">
      <c r="A7" s="2" t="s">
        <v>1304</v>
      </c>
      <c r="B7" s="5">
        <v>367070.95000000007</v>
      </c>
    </row>
    <row r="8" spans="1:2" x14ac:dyDescent="0.3">
      <c r="A8" s="2" t="s">
        <v>1305</v>
      </c>
      <c r="B8" s="5">
        <v>310082.86000000004</v>
      </c>
    </row>
    <row r="9" spans="1:2" x14ac:dyDescent="0.3">
      <c r="A9" s="2" t="s">
        <v>1306</v>
      </c>
      <c r="B9" s="5">
        <v>266511</v>
      </c>
    </row>
    <row r="10" spans="1:2" x14ac:dyDescent="0.3">
      <c r="A10" s="2" t="s">
        <v>1307</v>
      </c>
      <c r="B10" s="5">
        <v>287893.18</v>
      </c>
    </row>
    <row r="11" spans="1:2" x14ac:dyDescent="0.3">
      <c r="A11" s="2" t="s">
        <v>1308</v>
      </c>
      <c r="B11" s="5">
        <v>346784.4800000001</v>
      </c>
    </row>
    <row r="12" spans="1:2" x14ac:dyDescent="0.3">
      <c r="A12" s="2" t="s">
        <v>1309</v>
      </c>
      <c r="B12" s="5">
        <v>239372.65000000008</v>
      </c>
    </row>
    <row r="13" spans="1:2" x14ac:dyDescent="0.3">
      <c r="A13" s="2" t="s">
        <v>1310</v>
      </c>
      <c r="B13" s="5">
        <v>297494.26</v>
      </c>
    </row>
    <row r="14" spans="1:2" x14ac:dyDescent="0.3">
      <c r="A14" s="2" t="s">
        <v>1311</v>
      </c>
      <c r="B14" s="5">
        <v>225012.92999999996</v>
      </c>
    </row>
    <row r="15" spans="1:2" x14ac:dyDescent="0.3">
      <c r="A15" s="2" t="s">
        <v>1312</v>
      </c>
      <c r="B15" s="5">
        <v>284343.11000000004</v>
      </c>
    </row>
    <row r="16" spans="1:2" x14ac:dyDescent="0.3">
      <c r="A16" s="2" t="s">
        <v>1313</v>
      </c>
      <c r="B16" s="5">
        <v>344847.57999999996</v>
      </c>
    </row>
    <row r="17" spans="1:2" x14ac:dyDescent="0.3">
      <c r="A17" s="2" t="s">
        <v>1319</v>
      </c>
      <c r="B17" s="5">
        <v>3465455.0600000005</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showGridLines="0" zoomScaleNormal="100" workbookViewId="0">
      <selection activeCell="I3" sqref="I3"/>
    </sheetView>
  </sheetViews>
  <sheetFormatPr defaultColWidth="8.6640625" defaultRowHeight="14.4" x14ac:dyDescent="0.3"/>
  <cols>
    <col min="1" max="1" width="12.5546875" customWidth="1"/>
    <col min="2" max="2" width="11.6640625" bestFit="1" customWidth="1"/>
    <col min="3" max="3" width="12.5546875" bestFit="1" customWidth="1"/>
    <col min="4" max="4" width="11.6640625" bestFit="1" customWidth="1"/>
  </cols>
  <sheetData>
    <row r="1" spans="1:2" x14ac:dyDescent="0.3">
      <c r="A1" s="7" t="s">
        <v>1316</v>
      </c>
    </row>
    <row r="2" spans="1:2" x14ac:dyDescent="0.3">
      <c r="A2" s="1" t="s">
        <v>1318</v>
      </c>
      <c r="B2" t="s">
        <v>1301</v>
      </c>
    </row>
    <row r="3" spans="1:2" x14ac:dyDescent="0.3">
      <c r="A3" s="2" t="s">
        <v>33</v>
      </c>
      <c r="B3" s="5">
        <v>892650.60999999975</v>
      </c>
    </row>
    <row r="4" spans="1:2" x14ac:dyDescent="0.3">
      <c r="A4" s="2" t="s">
        <v>53</v>
      </c>
      <c r="B4" s="5">
        <v>889350.76000000013</v>
      </c>
    </row>
    <row r="5" spans="1:2" x14ac:dyDescent="0.3">
      <c r="A5" s="2" t="s">
        <v>128</v>
      </c>
      <c r="B5" s="5">
        <v>888709.5399999998</v>
      </c>
    </row>
    <row r="6" spans="1:2" x14ac:dyDescent="0.3">
      <c r="A6" s="2" t="s">
        <v>24</v>
      </c>
      <c r="B6" s="5">
        <v>794744.14999999991</v>
      </c>
    </row>
    <row r="7" spans="1:2" x14ac:dyDescent="0.3">
      <c r="A7" s="2" t="s">
        <v>1319</v>
      </c>
      <c r="B7" s="5">
        <v>3465455.0599999996</v>
      </c>
    </row>
    <row r="11" spans="1:2" x14ac:dyDescent="0.3">
      <c r="A11" s="7"/>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8308-479B-4730-9A5F-7D4EC0E274B3}">
  <dimension ref="A1:B14"/>
  <sheetViews>
    <sheetView workbookViewId="0"/>
  </sheetViews>
  <sheetFormatPr defaultRowHeight="14.4" x14ac:dyDescent="0.3"/>
  <cols>
    <col min="1" max="1" width="15.44140625" bestFit="1" customWidth="1"/>
    <col min="2" max="3" width="11.6640625" bestFit="1" customWidth="1"/>
  </cols>
  <sheetData>
    <row r="1" spans="1:2" x14ac:dyDescent="0.3">
      <c r="A1" s="7" t="s">
        <v>1333</v>
      </c>
    </row>
    <row r="3" spans="1:2" x14ac:dyDescent="0.3">
      <c r="A3" s="1" t="s">
        <v>1318</v>
      </c>
      <c r="B3" t="s">
        <v>1301</v>
      </c>
    </row>
    <row r="4" spans="1:2" x14ac:dyDescent="0.3">
      <c r="A4" s="2" t="s">
        <v>141</v>
      </c>
      <c r="B4" s="5">
        <v>213389.86000000004</v>
      </c>
    </row>
    <row r="5" spans="1:2" x14ac:dyDescent="0.3">
      <c r="A5" s="2" t="s">
        <v>293</v>
      </c>
      <c r="B5" s="5">
        <v>172205.51999999996</v>
      </c>
    </row>
    <row r="6" spans="1:2" x14ac:dyDescent="0.3">
      <c r="A6" s="2" t="s">
        <v>119</v>
      </c>
      <c r="B6" s="5">
        <v>165051.09999999998</v>
      </c>
    </row>
    <row r="7" spans="1:2" x14ac:dyDescent="0.3">
      <c r="A7" s="2" t="s">
        <v>112</v>
      </c>
      <c r="B7" s="5">
        <v>158867.86000000002</v>
      </c>
    </row>
    <row r="8" spans="1:2" x14ac:dyDescent="0.3">
      <c r="A8" s="2" t="s">
        <v>271</v>
      </c>
      <c r="B8" s="5">
        <v>155448.88</v>
      </c>
    </row>
    <row r="9" spans="1:2" x14ac:dyDescent="0.3">
      <c r="A9" s="2" t="s">
        <v>62</v>
      </c>
      <c r="B9" s="5">
        <v>138350.93</v>
      </c>
    </row>
    <row r="10" spans="1:2" x14ac:dyDescent="0.3">
      <c r="A10" s="2" t="s">
        <v>108</v>
      </c>
      <c r="B10" s="5">
        <v>137670.46999999997</v>
      </c>
    </row>
    <row r="11" spans="1:2" x14ac:dyDescent="0.3">
      <c r="A11" s="2" t="s">
        <v>89</v>
      </c>
      <c r="B11" s="5">
        <v>135858.04</v>
      </c>
    </row>
    <row r="12" spans="1:2" x14ac:dyDescent="0.3">
      <c r="A12" s="2" t="s">
        <v>28</v>
      </c>
      <c r="B12" s="5">
        <v>133570.01</v>
      </c>
    </row>
    <row r="13" spans="1:2" x14ac:dyDescent="0.3">
      <c r="A13" s="2" t="s">
        <v>122</v>
      </c>
      <c r="B13" s="5">
        <v>132379.78000000003</v>
      </c>
    </row>
    <row r="14" spans="1:2" x14ac:dyDescent="0.3">
      <c r="A14" s="2" t="s">
        <v>1319</v>
      </c>
      <c r="B14" s="5">
        <v>1542792.45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68FF5-AF86-400C-A5A8-77778B1367E5}">
  <dimension ref="B2:C14"/>
  <sheetViews>
    <sheetView workbookViewId="0">
      <selection activeCell="E8" sqref="E8"/>
    </sheetView>
  </sheetViews>
  <sheetFormatPr defaultRowHeight="14.4" x14ac:dyDescent="0.3"/>
  <cols>
    <col min="1" max="1" width="14.6640625" bestFit="1" customWidth="1"/>
    <col min="2" max="2" width="12.5546875" bestFit="1" customWidth="1"/>
    <col min="3" max="4" width="11.6640625" bestFit="1" customWidth="1"/>
  </cols>
  <sheetData>
    <row r="2" spans="2:3" x14ac:dyDescent="0.3">
      <c r="B2" s="7" t="s">
        <v>1322</v>
      </c>
    </row>
    <row r="3" spans="2:3" x14ac:dyDescent="0.3">
      <c r="B3" s="1" t="s">
        <v>1318</v>
      </c>
      <c r="C3" t="s">
        <v>1301</v>
      </c>
    </row>
    <row r="4" spans="2:3" x14ac:dyDescent="0.3">
      <c r="B4" s="2" t="s">
        <v>49</v>
      </c>
      <c r="C4" s="5">
        <v>405495.69000000006</v>
      </c>
    </row>
    <row r="5" spans="2:3" x14ac:dyDescent="0.3">
      <c r="B5" s="2" t="s">
        <v>105</v>
      </c>
      <c r="C5" s="5">
        <v>395387.20999999996</v>
      </c>
    </row>
    <row r="6" spans="2:3" x14ac:dyDescent="0.3">
      <c r="B6" s="2" t="s">
        <v>90</v>
      </c>
      <c r="C6" s="5">
        <v>374029.37000000005</v>
      </c>
    </row>
    <row r="7" spans="2:3" x14ac:dyDescent="0.3">
      <c r="B7" s="2" t="s">
        <v>43</v>
      </c>
      <c r="C7" s="5">
        <v>351157.02</v>
      </c>
    </row>
    <row r="8" spans="2:3" x14ac:dyDescent="0.3">
      <c r="B8" s="2" t="s">
        <v>29</v>
      </c>
      <c r="C8" s="5">
        <v>350695.37999999989</v>
      </c>
    </row>
    <row r="9" spans="2:3" x14ac:dyDescent="0.3">
      <c r="B9" s="2" t="s">
        <v>113</v>
      </c>
      <c r="C9" s="5">
        <v>341609.5799999999</v>
      </c>
    </row>
    <row r="10" spans="2:3" x14ac:dyDescent="0.3">
      <c r="B10" s="2" t="s">
        <v>37</v>
      </c>
      <c r="C10" s="5">
        <v>334323.11000000004</v>
      </c>
    </row>
    <row r="11" spans="2:3" x14ac:dyDescent="0.3">
      <c r="B11" s="2" t="s">
        <v>170</v>
      </c>
      <c r="C11" s="5">
        <v>321778.47000000015</v>
      </c>
    </row>
    <row r="12" spans="2:3" x14ac:dyDescent="0.3">
      <c r="B12" s="2" t="s">
        <v>68</v>
      </c>
      <c r="C12" s="5">
        <v>311338.44</v>
      </c>
    </row>
    <row r="13" spans="2:3" x14ac:dyDescent="0.3">
      <c r="B13" s="2" t="s">
        <v>133</v>
      </c>
      <c r="C13" s="5">
        <v>279640.78999999998</v>
      </c>
    </row>
    <row r="14" spans="2:3" x14ac:dyDescent="0.3">
      <c r="B14" s="2" t="s">
        <v>1319</v>
      </c>
      <c r="C14" s="5">
        <v>3465455.06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1F129-EC82-4DED-A2F2-480BC1A61FC5}">
  <dimension ref="B2:D15"/>
  <sheetViews>
    <sheetView workbookViewId="0">
      <selection activeCell="P14" sqref="P14"/>
    </sheetView>
  </sheetViews>
  <sheetFormatPr defaultRowHeight="14.4" x14ac:dyDescent="0.3"/>
  <cols>
    <col min="2" max="3" width="13.109375" bestFit="1" customWidth="1"/>
    <col min="4" max="4" width="12.109375" bestFit="1" customWidth="1"/>
    <col min="5" max="5" width="13.5546875" bestFit="1" customWidth="1"/>
    <col min="6" max="7" width="10.77734375" bestFit="1" customWidth="1"/>
  </cols>
  <sheetData>
    <row r="2" spans="2:4" x14ac:dyDescent="0.3">
      <c r="C2" s="7" t="s">
        <v>1317</v>
      </c>
    </row>
    <row r="3" spans="2:4" x14ac:dyDescent="0.3">
      <c r="C3" s="1" t="s">
        <v>1318</v>
      </c>
      <c r="D3" t="s">
        <v>1301</v>
      </c>
    </row>
    <row r="4" spans="2:4" x14ac:dyDescent="0.3">
      <c r="C4" s="2" t="s">
        <v>26</v>
      </c>
      <c r="D4">
        <v>1166785.4600000002</v>
      </c>
    </row>
    <row r="5" spans="2:4" x14ac:dyDescent="0.3">
      <c r="C5" s="2" t="s">
        <v>72</v>
      </c>
      <c r="D5">
        <v>1157702.67</v>
      </c>
    </row>
    <row r="6" spans="2:4" x14ac:dyDescent="0.3">
      <c r="C6" s="2" t="s">
        <v>60</v>
      </c>
      <c r="D6">
        <v>1140966.9300000004</v>
      </c>
    </row>
    <row r="7" spans="2:4" x14ac:dyDescent="0.3">
      <c r="C7" s="2" t="s">
        <v>1319</v>
      </c>
      <c r="D7">
        <v>3465455.0600000005</v>
      </c>
    </row>
    <row r="9" spans="2:4" x14ac:dyDescent="0.3">
      <c r="B9" s="7"/>
      <c r="C9" s="7" t="s">
        <v>1320</v>
      </c>
    </row>
    <row r="11" spans="2:4" x14ac:dyDescent="0.3">
      <c r="C11" s="1" t="s">
        <v>1318</v>
      </c>
      <c r="D11" t="s">
        <v>1314</v>
      </c>
    </row>
    <row r="12" spans="2:4" x14ac:dyDescent="0.3">
      <c r="C12" s="2" t="s">
        <v>60</v>
      </c>
      <c r="D12" s="5">
        <v>121478.71000000005</v>
      </c>
    </row>
    <row r="13" spans="2:4" x14ac:dyDescent="0.3">
      <c r="C13" s="2" t="s">
        <v>26</v>
      </c>
      <c r="D13" s="5">
        <v>119851.33000000006</v>
      </c>
    </row>
    <row r="14" spans="2:4" x14ac:dyDescent="0.3">
      <c r="C14" s="2" t="s">
        <v>72</v>
      </c>
      <c r="D14" s="5">
        <v>118082.57</v>
      </c>
    </row>
    <row r="15" spans="2:4" x14ac:dyDescent="0.3">
      <c r="C15" s="2" t="s">
        <v>1319</v>
      </c>
      <c r="D15" s="5">
        <v>359412.6100000001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02C43-D661-4737-A959-47362B71F99E}">
  <dimension ref="B2:C9"/>
  <sheetViews>
    <sheetView workbookViewId="0">
      <selection activeCell="F9" sqref="F9"/>
    </sheetView>
  </sheetViews>
  <sheetFormatPr defaultRowHeight="14.4" x14ac:dyDescent="0.3"/>
  <cols>
    <col min="2" max="2" width="12.6640625" bestFit="1" customWidth="1"/>
    <col min="3" max="3" width="11.6640625" bestFit="1" customWidth="1"/>
  </cols>
  <sheetData>
    <row r="2" spans="2:3" x14ac:dyDescent="0.3">
      <c r="B2" s="7" t="s">
        <v>1324</v>
      </c>
      <c r="C2" s="7"/>
    </row>
    <row r="4" spans="2:3" x14ac:dyDescent="0.3">
      <c r="B4" s="1" t="s">
        <v>1318</v>
      </c>
      <c r="C4" t="s">
        <v>1301</v>
      </c>
    </row>
    <row r="5" spans="2:3" x14ac:dyDescent="0.3">
      <c r="B5" s="2" t="s">
        <v>38</v>
      </c>
      <c r="C5" s="5">
        <v>917791.49999999953</v>
      </c>
    </row>
    <row r="6" spans="2:3" x14ac:dyDescent="0.3">
      <c r="B6" s="2" t="s">
        <v>30</v>
      </c>
      <c r="C6" s="5">
        <v>893221.53</v>
      </c>
    </row>
    <row r="7" spans="2:3" x14ac:dyDescent="0.3">
      <c r="B7" s="2" t="s">
        <v>80</v>
      </c>
      <c r="C7" s="5">
        <v>841316.08999999985</v>
      </c>
    </row>
    <row r="8" spans="2:3" x14ac:dyDescent="0.3">
      <c r="B8" s="2" t="s">
        <v>44</v>
      </c>
      <c r="C8" s="5">
        <v>813125.93999999971</v>
      </c>
    </row>
    <row r="9" spans="2:3" x14ac:dyDescent="0.3">
      <c r="B9" s="2" t="s">
        <v>1319</v>
      </c>
      <c r="C9" s="5">
        <v>3465455.0599999987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3909-502A-4BF8-910A-4CB455897712}">
  <dimension ref="P12:U40"/>
  <sheetViews>
    <sheetView showGridLines="0" showRowColHeaders="0" tabSelected="1" zoomScaleNormal="100" workbookViewId="0">
      <selection activeCell="B40" sqref="B40"/>
    </sheetView>
  </sheetViews>
  <sheetFormatPr defaultRowHeight="14.4" x14ac:dyDescent="0.3"/>
  <cols>
    <col min="1" max="16384" width="8.88671875" style="4"/>
  </cols>
  <sheetData>
    <row r="12" spans="21:21" x14ac:dyDescent="0.3">
      <c r="U12" s="4" t="s">
        <v>1335</v>
      </c>
    </row>
    <row r="40" spans="16:16" x14ac:dyDescent="0.3">
      <c r="P40" s="4" t="s">
        <v>1334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SalesData</vt:lpstr>
      <vt:lpstr>KPI</vt:lpstr>
      <vt:lpstr>Time series Analysis</vt:lpstr>
      <vt:lpstr>Regional Analysis</vt:lpstr>
      <vt:lpstr>Product  Analysis</vt:lpstr>
      <vt:lpstr>Salesman Performance</vt:lpstr>
      <vt:lpstr>Category Analysis</vt:lpstr>
      <vt:lpstr>Segment Analysis</vt:lpstr>
      <vt:lpstr>SALES PERFORMANCE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Adarsh Nadda</cp:lastModifiedBy>
  <cp:revision>1</cp:revision>
  <dcterms:created xsi:type="dcterms:W3CDTF">2026-07-18T08:06:12Z</dcterms:created>
  <dcterms:modified xsi:type="dcterms:W3CDTF">2026-07-26T12:21:42Z</dcterms:modified>
  <dc:language>en-US</dc:language>
</cp:coreProperties>
</file>